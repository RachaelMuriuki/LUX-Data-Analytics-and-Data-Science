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documents.LD\2026 Projects\"/>
    </mc:Choice>
  </mc:AlternateContent>
  <xr:revisionPtr revIDLastSave="0" documentId="13_ncr:1_{3D64BCCB-5550-4242-BD29-C12F26BBC0A3}" xr6:coauthVersionLast="47" xr6:coauthVersionMax="47" xr10:uidLastSave="{00000000-0000-0000-0000-000000000000}"/>
  <bookViews>
    <workbookView xWindow="-110" yWindow="-110" windowWidth="19420" windowHeight="10300" firstSheet="1" activeTab="3" xr2:uid="{00000000-000D-0000-FFFF-FFFF00000000}"/>
  </bookViews>
  <sheets>
    <sheet name="Original Data" sheetId="3" r:id="rId1"/>
    <sheet name="FirstTimeSalesByCounty&amp;Month" sheetId="7" r:id="rId2"/>
    <sheet name="ABC.AnalysisBySKU" sheetId="8" r:id="rId3"/>
    <sheet name="SalespersonProductivity" sheetId="9" r:id="rId4"/>
    <sheet name="ChannelMix&amp;Cannibalization" sheetId="10" r:id="rId5"/>
    <sheet name="ServiceLevelProxy" sheetId="11" r:id="rId6"/>
    <sheet name="PriceCompliance" sheetId="12" r:id="rId7"/>
    <sheet name="KPI's" sheetId="14" r:id="rId8"/>
    <sheet name="RevenueByMonth" sheetId="16" r:id="rId9"/>
    <sheet name="Staging_table" sheetId="4" r:id="rId10"/>
    <sheet name="Region&amp;ChannelProfit" sheetId="17" r:id="rId11"/>
    <sheet name="SKUsByRevenue" sheetId="18" r:id="rId12"/>
    <sheet name="Dashboard" sheetId="20" r:id="rId13"/>
    <sheet name="ReadMe" sheetId="21" r:id="rId14"/>
    <sheet name="Brief" sheetId="2" r:id="rId15"/>
  </sheets>
  <definedNames>
    <definedName name="_xlnm._FilterDatabase" localSheetId="9" hidden="1">Staging_table!$A$1:$AD$633</definedName>
    <definedName name="Slicer_Channel">#N/A</definedName>
    <definedName name="Slicer_Country">#N/A</definedName>
    <definedName name="Slicer_Month">#N/A</definedName>
    <definedName name="Slicer_ProductCategory">#N/A</definedName>
    <definedName name="Slicer_Region">#N/A</definedName>
    <definedName name="Slicer_Salesperson">#N/A</definedName>
  </definedNames>
  <calcPr calcId="191029"/>
  <pivotCaches>
    <pivotCache cacheId="167"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calcChain.xml><?xml version="1.0" encoding="utf-8"?>
<calcChain xmlns="http://schemas.openxmlformats.org/spreadsheetml/2006/main">
  <c r="P3" i="4" l="1"/>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2" i="4"/>
  <c r="C3" i="4"/>
  <c r="C4" i="4"/>
  <c r="C5" i="4"/>
  <c r="C6" i="4"/>
  <c r="C7" i="4"/>
  <c r="F7" i="4" s="1"/>
  <c r="C8" i="4"/>
  <c r="C9" i="4"/>
  <c r="C10" i="4"/>
  <c r="C11" i="4"/>
  <c r="C12" i="4"/>
  <c r="C13" i="4"/>
  <c r="C14" i="4"/>
  <c r="C15" i="4"/>
  <c r="F15" i="4" s="1"/>
  <c r="C16" i="4"/>
  <c r="C17" i="4"/>
  <c r="C18" i="4"/>
  <c r="C19" i="4"/>
  <c r="C20" i="4"/>
  <c r="C21" i="4"/>
  <c r="C22" i="4"/>
  <c r="C23" i="4"/>
  <c r="F23" i="4" s="1"/>
  <c r="C24" i="4"/>
  <c r="C25" i="4"/>
  <c r="C26" i="4"/>
  <c r="C27" i="4"/>
  <c r="C28" i="4"/>
  <c r="C29" i="4"/>
  <c r="C30" i="4"/>
  <c r="C31" i="4"/>
  <c r="F31" i="4" s="1"/>
  <c r="C32" i="4"/>
  <c r="C33" i="4"/>
  <c r="C34" i="4"/>
  <c r="C35" i="4"/>
  <c r="C36" i="4"/>
  <c r="C37" i="4"/>
  <c r="C38" i="4"/>
  <c r="C39" i="4"/>
  <c r="F39" i="4" s="1"/>
  <c r="C40" i="4"/>
  <c r="C41" i="4"/>
  <c r="C42" i="4"/>
  <c r="C43" i="4"/>
  <c r="C44" i="4"/>
  <c r="C45" i="4"/>
  <c r="C46" i="4"/>
  <c r="C47" i="4"/>
  <c r="F47" i="4" s="1"/>
  <c r="C48" i="4"/>
  <c r="C49" i="4"/>
  <c r="C50" i="4"/>
  <c r="C51" i="4"/>
  <c r="C52" i="4"/>
  <c r="C53" i="4"/>
  <c r="C54" i="4"/>
  <c r="C55" i="4"/>
  <c r="F55" i="4" s="1"/>
  <c r="C56" i="4"/>
  <c r="C57" i="4"/>
  <c r="C58" i="4"/>
  <c r="C59" i="4"/>
  <c r="C60" i="4"/>
  <c r="C61" i="4"/>
  <c r="C62" i="4"/>
  <c r="C63" i="4"/>
  <c r="F63" i="4" s="1"/>
  <c r="C64" i="4"/>
  <c r="C65" i="4"/>
  <c r="C66" i="4"/>
  <c r="C67" i="4"/>
  <c r="C68" i="4"/>
  <c r="C69" i="4"/>
  <c r="C70" i="4"/>
  <c r="C71" i="4"/>
  <c r="F71" i="4" s="1"/>
  <c r="C72" i="4"/>
  <c r="C73" i="4"/>
  <c r="C74" i="4"/>
  <c r="C75" i="4"/>
  <c r="C76" i="4"/>
  <c r="C77" i="4"/>
  <c r="C78" i="4"/>
  <c r="C79" i="4"/>
  <c r="F79" i="4" s="1"/>
  <c r="C80" i="4"/>
  <c r="C81" i="4"/>
  <c r="C82" i="4"/>
  <c r="C83" i="4"/>
  <c r="C84" i="4"/>
  <c r="C85" i="4"/>
  <c r="C86" i="4"/>
  <c r="C87" i="4"/>
  <c r="F87" i="4" s="1"/>
  <c r="C88" i="4"/>
  <c r="C89" i="4"/>
  <c r="C90" i="4"/>
  <c r="C91" i="4"/>
  <c r="C92" i="4"/>
  <c r="C93" i="4"/>
  <c r="C94" i="4"/>
  <c r="C95" i="4"/>
  <c r="F95" i="4" s="1"/>
  <c r="C96" i="4"/>
  <c r="C97" i="4"/>
  <c r="C98" i="4"/>
  <c r="C99" i="4"/>
  <c r="C100" i="4"/>
  <c r="C101" i="4"/>
  <c r="C102" i="4"/>
  <c r="C103" i="4"/>
  <c r="F103" i="4" s="1"/>
  <c r="C104" i="4"/>
  <c r="C105" i="4"/>
  <c r="C106" i="4"/>
  <c r="C107" i="4"/>
  <c r="C108" i="4"/>
  <c r="C109" i="4"/>
  <c r="C110" i="4"/>
  <c r="C111" i="4"/>
  <c r="F111" i="4" s="1"/>
  <c r="C112" i="4"/>
  <c r="C113" i="4"/>
  <c r="C114" i="4"/>
  <c r="C115" i="4"/>
  <c r="C116" i="4"/>
  <c r="C117" i="4"/>
  <c r="C118" i="4"/>
  <c r="C119" i="4"/>
  <c r="F119" i="4" s="1"/>
  <c r="C120" i="4"/>
  <c r="C121" i="4"/>
  <c r="C122" i="4"/>
  <c r="C123" i="4"/>
  <c r="C124" i="4"/>
  <c r="C125" i="4"/>
  <c r="C126" i="4"/>
  <c r="C127" i="4"/>
  <c r="F127" i="4" s="1"/>
  <c r="C128" i="4"/>
  <c r="C129" i="4"/>
  <c r="C130" i="4"/>
  <c r="C131" i="4"/>
  <c r="C132" i="4"/>
  <c r="C133" i="4"/>
  <c r="C134" i="4"/>
  <c r="C135" i="4"/>
  <c r="F135" i="4" s="1"/>
  <c r="C136" i="4"/>
  <c r="C137" i="4"/>
  <c r="C138" i="4"/>
  <c r="C139" i="4"/>
  <c r="C140" i="4"/>
  <c r="C141" i="4"/>
  <c r="C142" i="4"/>
  <c r="C143" i="4"/>
  <c r="F143" i="4" s="1"/>
  <c r="C144" i="4"/>
  <c r="C145" i="4"/>
  <c r="C146" i="4"/>
  <c r="C147" i="4"/>
  <c r="C148" i="4"/>
  <c r="C149" i="4"/>
  <c r="C150" i="4"/>
  <c r="C151" i="4"/>
  <c r="F151" i="4" s="1"/>
  <c r="C152" i="4"/>
  <c r="C153" i="4"/>
  <c r="C154" i="4"/>
  <c r="C155" i="4"/>
  <c r="C156" i="4"/>
  <c r="C157" i="4"/>
  <c r="C158" i="4"/>
  <c r="C159" i="4"/>
  <c r="F159" i="4" s="1"/>
  <c r="C160" i="4"/>
  <c r="C161" i="4"/>
  <c r="C162" i="4"/>
  <c r="C163" i="4"/>
  <c r="C164" i="4"/>
  <c r="C165" i="4"/>
  <c r="C166" i="4"/>
  <c r="C167" i="4"/>
  <c r="F167" i="4" s="1"/>
  <c r="C168" i="4"/>
  <c r="C169" i="4"/>
  <c r="C170" i="4"/>
  <c r="C171" i="4"/>
  <c r="C172" i="4"/>
  <c r="C173" i="4"/>
  <c r="C174" i="4"/>
  <c r="C175" i="4"/>
  <c r="F175" i="4" s="1"/>
  <c r="C176" i="4"/>
  <c r="C177" i="4"/>
  <c r="C178" i="4"/>
  <c r="C179" i="4"/>
  <c r="C180" i="4"/>
  <c r="C181" i="4"/>
  <c r="C182" i="4"/>
  <c r="C183" i="4"/>
  <c r="F183" i="4" s="1"/>
  <c r="C184" i="4"/>
  <c r="C185" i="4"/>
  <c r="C186" i="4"/>
  <c r="C187" i="4"/>
  <c r="C188" i="4"/>
  <c r="C189" i="4"/>
  <c r="C190" i="4"/>
  <c r="C191" i="4"/>
  <c r="F191" i="4" s="1"/>
  <c r="C192" i="4"/>
  <c r="C193" i="4"/>
  <c r="C194" i="4"/>
  <c r="C195" i="4"/>
  <c r="C196" i="4"/>
  <c r="C197" i="4"/>
  <c r="C198" i="4"/>
  <c r="C199" i="4"/>
  <c r="F199" i="4" s="1"/>
  <c r="C200" i="4"/>
  <c r="C201" i="4"/>
  <c r="C202" i="4"/>
  <c r="C203" i="4"/>
  <c r="C204" i="4"/>
  <c r="C205" i="4"/>
  <c r="C206" i="4"/>
  <c r="C207" i="4"/>
  <c r="F207" i="4" s="1"/>
  <c r="C208" i="4"/>
  <c r="C209" i="4"/>
  <c r="C210" i="4"/>
  <c r="C211" i="4"/>
  <c r="C212" i="4"/>
  <c r="C213" i="4"/>
  <c r="C214" i="4"/>
  <c r="C215" i="4"/>
  <c r="F215" i="4" s="1"/>
  <c r="C216" i="4"/>
  <c r="C217" i="4"/>
  <c r="C218" i="4"/>
  <c r="C219" i="4"/>
  <c r="C220" i="4"/>
  <c r="C221" i="4"/>
  <c r="C222" i="4"/>
  <c r="C223" i="4"/>
  <c r="F223" i="4" s="1"/>
  <c r="C224" i="4"/>
  <c r="C225" i="4"/>
  <c r="C226" i="4"/>
  <c r="C227" i="4"/>
  <c r="C228" i="4"/>
  <c r="C229" i="4"/>
  <c r="C230" i="4"/>
  <c r="C231" i="4"/>
  <c r="F231" i="4" s="1"/>
  <c r="C232" i="4"/>
  <c r="C233" i="4"/>
  <c r="C234" i="4"/>
  <c r="C235" i="4"/>
  <c r="C236" i="4"/>
  <c r="C237" i="4"/>
  <c r="C238" i="4"/>
  <c r="C239" i="4"/>
  <c r="F239" i="4" s="1"/>
  <c r="C240" i="4"/>
  <c r="C241" i="4"/>
  <c r="C242" i="4"/>
  <c r="C243" i="4"/>
  <c r="C244" i="4"/>
  <c r="C245" i="4"/>
  <c r="C246" i="4"/>
  <c r="C247" i="4"/>
  <c r="F247" i="4" s="1"/>
  <c r="C248" i="4"/>
  <c r="C249" i="4"/>
  <c r="C250" i="4"/>
  <c r="C251" i="4"/>
  <c r="C252" i="4"/>
  <c r="C253" i="4"/>
  <c r="C254" i="4"/>
  <c r="C255" i="4"/>
  <c r="F255" i="4" s="1"/>
  <c r="C256" i="4"/>
  <c r="C257" i="4"/>
  <c r="C258" i="4"/>
  <c r="C259" i="4"/>
  <c r="C260" i="4"/>
  <c r="C261" i="4"/>
  <c r="C262" i="4"/>
  <c r="C263" i="4"/>
  <c r="F263" i="4" s="1"/>
  <c r="C264" i="4"/>
  <c r="C265" i="4"/>
  <c r="C266" i="4"/>
  <c r="C267" i="4"/>
  <c r="C268" i="4"/>
  <c r="C269" i="4"/>
  <c r="C270" i="4"/>
  <c r="C271" i="4"/>
  <c r="F271" i="4" s="1"/>
  <c r="C272" i="4"/>
  <c r="C273" i="4"/>
  <c r="C274" i="4"/>
  <c r="C275" i="4"/>
  <c r="C276" i="4"/>
  <c r="C277" i="4"/>
  <c r="C278" i="4"/>
  <c r="C279" i="4"/>
  <c r="F279" i="4" s="1"/>
  <c r="C280" i="4"/>
  <c r="C281" i="4"/>
  <c r="C282" i="4"/>
  <c r="C283" i="4"/>
  <c r="C284" i="4"/>
  <c r="C285" i="4"/>
  <c r="C286" i="4"/>
  <c r="C287" i="4"/>
  <c r="F287" i="4" s="1"/>
  <c r="C288" i="4"/>
  <c r="C289" i="4"/>
  <c r="C290" i="4"/>
  <c r="C291" i="4"/>
  <c r="C292" i="4"/>
  <c r="C293" i="4"/>
  <c r="C294" i="4"/>
  <c r="C295" i="4"/>
  <c r="F295" i="4" s="1"/>
  <c r="C296" i="4"/>
  <c r="C297" i="4"/>
  <c r="C298" i="4"/>
  <c r="C299" i="4"/>
  <c r="C300" i="4"/>
  <c r="C301" i="4"/>
  <c r="C302" i="4"/>
  <c r="C303" i="4"/>
  <c r="F303" i="4" s="1"/>
  <c r="C304" i="4"/>
  <c r="C305" i="4"/>
  <c r="C306" i="4"/>
  <c r="C307" i="4"/>
  <c r="C308" i="4"/>
  <c r="C309" i="4"/>
  <c r="C310" i="4"/>
  <c r="C311" i="4"/>
  <c r="F311" i="4" s="1"/>
  <c r="C312" i="4"/>
  <c r="C313" i="4"/>
  <c r="C314" i="4"/>
  <c r="C315" i="4"/>
  <c r="C316" i="4"/>
  <c r="C317" i="4"/>
  <c r="C318" i="4"/>
  <c r="C319" i="4"/>
  <c r="F319" i="4" s="1"/>
  <c r="C320" i="4"/>
  <c r="C321" i="4"/>
  <c r="C322" i="4"/>
  <c r="C323" i="4"/>
  <c r="C324" i="4"/>
  <c r="C325" i="4"/>
  <c r="C326" i="4"/>
  <c r="C327" i="4"/>
  <c r="F327" i="4" s="1"/>
  <c r="C328" i="4"/>
  <c r="C329" i="4"/>
  <c r="C330" i="4"/>
  <c r="C331" i="4"/>
  <c r="C332" i="4"/>
  <c r="C333" i="4"/>
  <c r="C334" i="4"/>
  <c r="C335" i="4"/>
  <c r="F335" i="4" s="1"/>
  <c r="C336" i="4"/>
  <c r="C337" i="4"/>
  <c r="C338" i="4"/>
  <c r="C339" i="4"/>
  <c r="C340" i="4"/>
  <c r="C341" i="4"/>
  <c r="C342" i="4"/>
  <c r="C343" i="4"/>
  <c r="F343" i="4" s="1"/>
  <c r="C344" i="4"/>
  <c r="C345" i="4"/>
  <c r="C346" i="4"/>
  <c r="C347" i="4"/>
  <c r="C348" i="4"/>
  <c r="C349" i="4"/>
  <c r="C350" i="4"/>
  <c r="C351" i="4"/>
  <c r="F351" i="4" s="1"/>
  <c r="C352" i="4"/>
  <c r="C353" i="4"/>
  <c r="C354" i="4"/>
  <c r="C355" i="4"/>
  <c r="C356" i="4"/>
  <c r="C357" i="4"/>
  <c r="C358" i="4"/>
  <c r="C359" i="4"/>
  <c r="F359" i="4" s="1"/>
  <c r="C360" i="4"/>
  <c r="C361" i="4"/>
  <c r="C362" i="4"/>
  <c r="C363" i="4"/>
  <c r="C364" i="4"/>
  <c r="C365" i="4"/>
  <c r="C366" i="4"/>
  <c r="C367" i="4"/>
  <c r="F367" i="4" s="1"/>
  <c r="C368" i="4"/>
  <c r="C369" i="4"/>
  <c r="C370" i="4"/>
  <c r="C371" i="4"/>
  <c r="C372" i="4"/>
  <c r="C373" i="4"/>
  <c r="C374" i="4"/>
  <c r="C375" i="4"/>
  <c r="F375" i="4" s="1"/>
  <c r="C376" i="4"/>
  <c r="C377" i="4"/>
  <c r="C378" i="4"/>
  <c r="C379" i="4"/>
  <c r="C380" i="4"/>
  <c r="C381" i="4"/>
  <c r="C382" i="4"/>
  <c r="C383" i="4"/>
  <c r="F383" i="4" s="1"/>
  <c r="C384" i="4"/>
  <c r="C385" i="4"/>
  <c r="C386" i="4"/>
  <c r="C387" i="4"/>
  <c r="C388" i="4"/>
  <c r="C389" i="4"/>
  <c r="C390" i="4"/>
  <c r="C391" i="4"/>
  <c r="F391" i="4" s="1"/>
  <c r="C392" i="4"/>
  <c r="C393" i="4"/>
  <c r="C394" i="4"/>
  <c r="C395" i="4"/>
  <c r="C396" i="4"/>
  <c r="C397" i="4"/>
  <c r="C398" i="4"/>
  <c r="C399" i="4"/>
  <c r="F399" i="4" s="1"/>
  <c r="C400" i="4"/>
  <c r="C401" i="4"/>
  <c r="C402" i="4"/>
  <c r="C403" i="4"/>
  <c r="C404" i="4"/>
  <c r="C405" i="4"/>
  <c r="C406" i="4"/>
  <c r="C407" i="4"/>
  <c r="F407" i="4" s="1"/>
  <c r="C408" i="4"/>
  <c r="C409" i="4"/>
  <c r="C410" i="4"/>
  <c r="C411" i="4"/>
  <c r="C412" i="4"/>
  <c r="C413" i="4"/>
  <c r="C414" i="4"/>
  <c r="C415" i="4"/>
  <c r="F415" i="4" s="1"/>
  <c r="C416" i="4"/>
  <c r="C417" i="4"/>
  <c r="C418" i="4"/>
  <c r="C419" i="4"/>
  <c r="C420" i="4"/>
  <c r="C421" i="4"/>
  <c r="C422" i="4"/>
  <c r="C423" i="4"/>
  <c r="F423" i="4" s="1"/>
  <c r="C424" i="4"/>
  <c r="C425" i="4"/>
  <c r="C426" i="4"/>
  <c r="C427" i="4"/>
  <c r="C428" i="4"/>
  <c r="C429" i="4"/>
  <c r="C430" i="4"/>
  <c r="C431" i="4"/>
  <c r="F431" i="4" s="1"/>
  <c r="C432" i="4"/>
  <c r="C433" i="4"/>
  <c r="C434" i="4"/>
  <c r="C435" i="4"/>
  <c r="C436" i="4"/>
  <c r="C437" i="4"/>
  <c r="C438" i="4"/>
  <c r="C439" i="4"/>
  <c r="F439" i="4" s="1"/>
  <c r="C440" i="4"/>
  <c r="C441" i="4"/>
  <c r="C442" i="4"/>
  <c r="C443" i="4"/>
  <c r="C444" i="4"/>
  <c r="C445" i="4"/>
  <c r="C446" i="4"/>
  <c r="C447" i="4"/>
  <c r="F447" i="4" s="1"/>
  <c r="C448" i="4"/>
  <c r="C449" i="4"/>
  <c r="C450" i="4"/>
  <c r="C451" i="4"/>
  <c r="C452" i="4"/>
  <c r="C453" i="4"/>
  <c r="C454" i="4"/>
  <c r="C455" i="4"/>
  <c r="F455" i="4" s="1"/>
  <c r="C456" i="4"/>
  <c r="C457" i="4"/>
  <c r="C458" i="4"/>
  <c r="C459" i="4"/>
  <c r="C460" i="4"/>
  <c r="C461" i="4"/>
  <c r="C462" i="4"/>
  <c r="C463" i="4"/>
  <c r="F463" i="4" s="1"/>
  <c r="C464" i="4"/>
  <c r="C465" i="4"/>
  <c r="C466" i="4"/>
  <c r="C467" i="4"/>
  <c r="C468" i="4"/>
  <c r="C469" i="4"/>
  <c r="C470" i="4"/>
  <c r="C471" i="4"/>
  <c r="F471" i="4" s="1"/>
  <c r="C472" i="4"/>
  <c r="C473" i="4"/>
  <c r="C474" i="4"/>
  <c r="C475" i="4"/>
  <c r="C476" i="4"/>
  <c r="C477" i="4"/>
  <c r="C478" i="4"/>
  <c r="C479" i="4"/>
  <c r="F479" i="4" s="1"/>
  <c r="C480" i="4"/>
  <c r="C481" i="4"/>
  <c r="C482" i="4"/>
  <c r="C483" i="4"/>
  <c r="C484" i="4"/>
  <c r="C485" i="4"/>
  <c r="C486" i="4"/>
  <c r="C487" i="4"/>
  <c r="F487" i="4" s="1"/>
  <c r="C488" i="4"/>
  <c r="C489" i="4"/>
  <c r="C490" i="4"/>
  <c r="C491" i="4"/>
  <c r="C492" i="4"/>
  <c r="C493" i="4"/>
  <c r="C494" i="4"/>
  <c r="C495" i="4"/>
  <c r="F495" i="4" s="1"/>
  <c r="C496" i="4"/>
  <c r="C497" i="4"/>
  <c r="C498" i="4"/>
  <c r="C499" i="4"/>
  <c r="C500" i="4"/>
  <c r="C501" i="4"/>
  <c r="C502" i="4"/>
  <c r="C503" i="4"/>
  <c r="F503" i="4" s="1"/>
  <c r="C504" i="4"/>
  <c r="C505" i="4"/>
  <c r="C506" i="4"/>
  <c r="C507" i="4"/>
  <c r="C508" i="4"/>
  <c r="C509" i="4"/>
  <c r="C510" i="4"/>
  <c r="C511" i="4"/>
  <c r="F511" i="4" s="1"/>
  <c r="C512" i="4"/>
  <c r="C513" i="4"/>
  <c r="C514" i="4"/>
  <c r="C515" i="4"/>
  <c r="C516" i="4"/>
  <c r="C517" i="4"/>
  <c r="C518" i="4"/>
  <c r="C519" i="4"/>
  <c r="F519" i="4" s="1"/>
  <c r="C520" i="4"/>
  <c r="C521" i="4"/>
  <c r="C522" i="4"/>
  <c r="C523" i="4"/>
  <c r="C524" i="4"/>
  <c r="C525" i="4"/>
  <c r="C526" i="4"/>
  <c r="C527" i="4"/>
  <c r="F527" i="4" s="1"/>
  <c r="C528" i="4"/>
  <c r="C529" i="4"/>
  <c r="C530" i="4"/>
  <c r="C531" i="4"/>
  <c r="C532" i="4"/>
  <c r="C533" i="4"/>
  <c r="C534" i="4"/>
  <c r="C535" i="4"/>
  <c r="F535" i="4" s="1"/>
  <c r="C536" i="4"/>
  <c r="C537" i="4"/>
  <c r="C538" i="4"/>
  <c r="C539" i="4"/>
  <c r="C540" i="4"/>
  <c r="C541" i="4"/>
  <c r="C542" i="4"/>
  <c r="C543" i="4"/>
  <c r="F543" i="4" s="1"/>
  <c r="C544" i="4"/>
  <c r="C545" i="4"/>
  <c r="C546" i="4"/>
  <c r="C547" i="4"/>
  <c r="C548" i="4"/>
  <c r="C549" i="4"/>
  <c r="C550" i="4"/>
  <c r="C551" i="4"/>
  <c r="F551" i="4" s="1"/>
  <c r="C552" i="4"/>
  <c r="C553" i="4"/>
  <c r="C554" i="4"/>
  <c r="C555" i="4"/>
  <c r="C556" i="4"/>
  <c r="C557" i="4"/>
  <c r="C558" i="4"/>
  <c r="C559" i="4"/>
  <c r="F559" i="4" s="1"/>
  <c r="C560" i="4"/>
  <c r="C561" i="4"/>
  <c r="C562" i="4"/>
  <c r="C563" i="4"/>
  <c r="C564" i="4"/>
  <c r="C565" i="4"/>
  <c r="C566" i="4"/>
  <c r="C567" i="4"/>
  <c r="F567" i="4" s="1"/>
  <c r="C568" i="4"/>
  <c r="C569" i="4"/>
  <c r="C570" i="4"/>
  <c r="C571" i="4"/>
  <c r="C572" i="4"/>
  <c r="C573" i="4"/>
  <c r="C574" i="4"/>
  <c r="C575" i="4"/>
  <c r="F575" i="4" s="1"/>
  <c r="C576" i="4"/>
  <c r="C577" i="4"/>
  <c r="C578" i="4"/>
  <c r="C579" i="4"/>
  <c r="C580" i="4"/>
  <c r="C581" i="4"/>
  <c r="C582" i="4"/>
  <c r="C583" i="4"/>
  <c r="F583" i="4" s="1"/>
  <c r="C584" i="4"/>
  <c r="C585" i="4"/>
  <c r="C586" i="4"/>
  <c r="C587" i="4"/>
  <c r="C588" i="4"/>
  <c r="C589" i="4"/>
  <c r="C590" i="4"/>
  <c r="C591" i="4"/>
  <c r="F591" i="4" s="1"/>
  <c r="C592" i="4"/>
  <c r="C593" i="4"/>
  <c r="C594" i="4"/>
  <c r="C595" i="4"/>
  <c r="C596" i="4"/>
  <c r="C597" i="4"/>
  <c r="C598" i="4"/>
  <c r="C599" i="4"/>
  <c r="F599" i="4" s="1"/>
  <c r="C600" i="4"/>
  <c r="C601" i="4"/>
  <c r="C602" i="4"/>
  <c r="C603" i="4"/>
  <c r="C604" i="4"/>
  <c r="C605" i="4"/>
  <c r="C606" i="4"/>
  <c r="C607" i="4"/>
  <c r="F607" i="4" s="1"/>
  <c r="C608" i="4"/>
  <c r="C609" i="4"/>
  <c r="C610" i="4"/>
  <c r="C611" i="4"/>
  <c r="C612" i="4"/>
  <c r="C613" i="4"/>
  <c r="C614" i="4"/>
  <c r="C615" i="4"/>
  <c r="F615" i="4" s="1"/>
  <c r="C616" i="4"/>
  <c r="C617" i="4"/>
  <c r="C618" i="4"/>
  <c r="C619" i="4"/>
  <c r="C620" i="4"/>
  <c r="C621" i="4"/>
  <c r="C622" i="4"/>
  <c r="C623" i="4"/>
  <c r="F623" i="4" s="1"/>
  <c r="C624" i="4"/>
  <c r="C625" i="4"/>
  <c r="C626" i="4"/>
  <c r="C627" i="4"/>
  <c r="C628" i="4"/>
  <c r="C629" i="4"/>
  <c r="C630" i="4"/>
  <c r="C631" i="4"/>
  <c r="F631" i="4" s="1"/>
  <c r="C632" i="4"/>
  <c r="C633" i="4"/>
  <c r="C2" i="4"/>
  <c r="E614" i="4" l="1"/>
  <c r="F614" i="4"/>
  <c r="E414" i="4"/>
  <c r="F414" i="4"/>
  <c r="E630" i="4"/>
  <c r="F630" i="4"/>
  <c r="E582" i="4"/>
  <c r="F582" i="4"/>
  <c r="E526" i="4"/>
  <c r="F526" i="4"/>
  <c r="E494" i="4"/>
  <c r="F494" i="4"/>
  <c r="E462" i="4"/>
  <c r="F462" i="4"/>
  <c r="E438" i="4"/>
  <c r="F438" i="4"/>
  <c r="E390" i="4"/>
  <c r="F390" i="4"/>
  <c r="E374" i="4"/>
  <c r="F374" i="4"/>
  <c r="E342" i="4"/>
  <c r="F342" i="4"/>
  <c r="E302" i="4"/>
  <c r="F302" i="4"/>
  <c r="E262" i="4"/>
  <c r="F262" i="4"/>
  <c r="E190" i="4"/>
  <c r="F190" i="4"/>
  <c r="E629" i="4"/>
  <c r="F629" i="4"/>
  <c r="E621" i="4"/>
  <c r="F621" i="4"/>
  <c r="E613" i="4"/>
  <c r="F613" i="4"/>
  <c r="E605" i="4"/>
  <c r="F605" i="4"/>
  <c r="E597" i="4"/>
  <c r="F597" i="4"/>
  <c r="E589" i="4"/>
  <c r="F589" i="4"/>
  <c r="E581" i="4"/>
  <c r="F581" i="4"/>
  <c r="E573" i="4"/>
  <c r="F573" i="4"/>
  <c r="E565" i="4"/>
  <c r="F565" i="4"/>
  <c r="E557" i="4"/>
  <c r="F557" i="4"/>
  <c r="E549" i="4"/>
  <c r="F549" i="4"/>
  <c r="E541" i="4"/>
  <c r="F541" i="4"/>
  <c r="E533" i="4"/>
  <c r="F533" i="4"/>
  <c r="E525" i="4"/>
  <c r="F525" i="4"/>
  <c r="E517" i="4"/>
  <c r="F517" i="4"/>
  <c r="E509" i="4"/>
  <c r="F509" i="4"/>
  <c r="E501" i="4"/>
  <c r="F501" i="4"/>
  <c r="E493" i="4"/>
  <c r="F493" i="4"/>
  <c r="E485" i="4"/>
  <c r="F485" i="4"/>
  <c r="E477" i="4"/>
  <c r="F477" i="4"/>
  <c r="E469" i="4"/>
  <c r="F469" i="4"/>
  <c r="E461" i="4"/>
  <c r="F461" i="4"/>
  <c r="E453" i="4"/>
  <c r="F453" i="4"/>
  <c r="E445" i="4"/>
  <c r="F445" i="4"/>
  <c r="E437" i="4"/>
  <c r="F437" i="4"/>
  <c r="E429" i="4"/>
  <c r="F429" i="4"/>
  <c r="E421" i="4"/>
  <c r="F421" i="4"/>
  <c r="E413" i="4"/>
  <c r="F413" i="4"/>
  <c r="E405" i="4"/>
  <c r="F405" i="4"/>
  <c r="E397" i="4"/>
  <c r="F397" i="4"/>
  <c r="E389" i="4"/>
  <c r="F389" i="4"/>
  <c r="E381" i="4"/>
  <c r="F381" i="4"/>
  <c r="E373" i="4"/>
  <c r="F373" i="4"/>
  <c r="E365" i="4"/>
  <c r="F365" i="4"/>
  <c r="E357" i="4"/>
  <c r="F357" i="4"/>
  <c r="E349" i="4"/>
  <c r="F349" i="4"/>
  <c r="E341" i="4"/>
  <c r="F341" i="4"/>
  <c r="E333" i="4"/>
  <c r="F333" i="4"/>
  <c r="E325" i="4"/>
  <c r="F325" i="4"/>
  <c r="E317" i="4"/>
  <c r="F317" i="4"/>
  <c r="E309" i="4"/>
  <c r="F309" i="4"/>
  <c r="E301" i="4"/>
  <c r="F301" i="4"/>
  <c r="E293" i="4"/>
  <c r="F293" i="4"/>
  <c r="E285" i="4"/>
  <c r="F285" i="4"/>
  <c r="E277" i="4"/>
  <c r="F277" i="4"/>
  <c r="E269" i="4"/>
  <c r="F269" i="4"/>
  <c r="E261" i="4"/>
  <c r="F261" i="4"/>
  <c r="E253" i="4"/>
  <c r="F253" i="4"/>
  <c r="E245" i="4"/>
  <c r="F245" i="4"/>
  <c r="E237" i="4"/>
  <c r="F237" i="4"/>
  <c r="E229" i="4"/>
  <c r="F229" i="4"/>
  <c r="E221" i="4"/>
  <c r="F221" i="4"/>
  <c r="E213" i="4"/>
  <c r="F213" i="4"/>
  <c r="E205" i="4"/>
  <c r="F205" i="4"/>
  <c r="E197" i="4"/>
  <c r="F197" i="4"/>
  <c r="E189" i="4"/>
  <c r="F189" i="4"/>
  <c r="E181" i="4"/>
  <c r="F181" i="4"/>
  <c r="E173" i="4"/>
  <c r="F173" i="4"/>
  <c r="E165" i="4"/>
  <c r="F165" i="4"/>
  <c r="E157" i="4"/>
  <c r="F157" i="4"/>
  <c r="E149" i="4"/>
  <c r="F149" i="4"/>
  <c r="E141" i="4"/>
  <c r="F141" i="4"/>
  <c r="E133" i="4"/>
  <c r="F133" i="4"/>
  <c r="E125" i="4"/>
  <c r="F125" i="4"/>
  <c r="E117" i="4"/>
  <c r="F117" i="4"/>
  <c r="E109" i="4"/>
  <c r="F109" i="4"/>
  <c r="E101" i="4"/>
  <c r="F101" i="4"/>
  <c r="E93" i="4"/>
  <c r="F93" i="4"/>
  <c r="E85" i="4"/>
  <c r="F85" i="4"/>
  <c r="E77" i="4"/>
  <c r="F77" i="4"/>
  <c r="E69" i="4"/>
  <c r="F69" i="4"/>
  <c r="E61" i="4"/>
  <c r="F61" i="4"/>
  <c r="E53" i="4"/>
  <c r="F53" i="4"/>
  <c r="E45" i="4"/>
  <c r="F45" i="4"/>
  <c r="E37" i="4"/>
  <c r="F37" i="4"/>
  <c r="E29" i="4"/>
  <c r="F29" i="4"/>
  <c r="E21" i="4"/>
  <c r="F21" i="4"/>
  <c r="E13" i="4"/>
  <c r="F13" i="4"/>
  <c r="E5" i="4"/>
  <c r="F5" i="4"/>
  <c r="E612" i="4"/>
  <c r="F612" i="4"/>
  <c r="E580" i="4"/>
  <c r="F580" i="4"/>
  <c r="E556" i="4"/>
  <c r="F556" i="4"/>
  <c r="E532" i="4"/>
  <c r="F532" i="4"/>
  <c r="E500" i="4"/>
  <c r="F500" i="4"/>
  <c r="E468" i="4"/>
  <c r="F468" i="4"/>
  <c r="E444" i="4"/>
  <c r="F444" i="4"/>
  <c r="E412" i="4"/>
  <c r="F412" i="4"/>
  <c r="E380" i="4"/>
  <c r="F380" i="4"/>
  <c r="E356" i="4"/>
  <c r="F356" i="4"/>
  <c r="E332" i="4"/>
  <c r="F332" i="4"/>
  <c r="E292" i="4"/>
  <c r="F292" i="4"/>
  <c r="E252" i="4"/>
  <c r="F252" i="4"/>
  <c r="E172" i="4"/>
  <c r="F172" i="4"/>
  <c r="E598" i="4"/>
  <c r="F598" i="4"/>
  <c r="E550" i="4"/>
  <c r="F550" i="4"/>
  <c r="E518" i="4"/>
  <c r="F518" i="4"/>
  <c r="E486" i="4"/>
  <c r="F486" i="4"/>
  <c r="E446" i="4"/>
  <c r="F446" i="4"/>
  <c r="E398" i="4"/>
  <c r="F398" i="4"/>
  <c r="E358" i="4"/>
  <c r="F358" i="4"/>
  <c r="E334" i="4"/>
  <c r="F334" i="4"/>
  <c r="E310" i="4"/>
  <c r="F310" i="4"/>
  <c r="E286" i="4"/>
  <c r="F286" i="4"/>
  <c r="E254" i="4"/>
  <c r="F254" i="4"/>
  <c r="E230" i="4"/>
  <c r="F230" i="4"/>
  <c r="E198" i="4"/>
  <c r="F198" i="4"/>
  <c r="E166" i="4"/>
  <c r="F166" i="4"/>
  <c r="E142" i="4"/>
  <c r="F142" i="4"/>
  <c r="E118" i="4"/>
  <c r="F118" i="4"/>
  <c r="E102" i="4"/>
  <c r="F102" i="4"/>
  <c r="E78" i="4"/>
  <c r="F78" i="4"/>
  <c r="E46" i="4"/>
  <c r="F46" i="4"/>
  <c r="E628" i="4"/>
  <c r="F628" i="4"/>
  <c r="E604" i="4"/>
  <c r="F604" i="4"/>
  <c r="E588" i="4"/>
  <c r="F588" i="4"/>
  <c r="E564" i="4"/>
  <c r="F564" i="4"/>
  <c r="E540" i="4"/>
  <c r="F540" i="4"/>
  <c r="E516" i="4"/>
  <c r="F516" i="4"/>
  <c r="E492" i="4"/>
  <c r="F492" i="4"/>
  <c r="E476" i="4"/>
  <c r="F476" i="4"/>
  <c r="E452" i="4"/>
  <c r="F452" i="4"/>
  <c r="E428" i="4"/>
  <c r="F428" i="4"/>
  <c r="E404" i="4"/>
  <c r="F404" i="4"/>
  <c r="E388" i="4"/>
  <c r="F388" i="4"/>
  <c r="E364" i="4"/>
  <c r="F364" i="4"/>
  <c r="E340" i="4"/>
  <c r="F340" i="4"/>
  <c r="E316" i="4"/>
  <c r="F316" i="4"/>
  <c r="E300" i="4"/>
  <c r="F300" i="4"/>
  <c r="E276" i="4"/>
  <c r="F276" i="4"/>
  <c r="E260" i="4"/>
  <c r="F260" i="4"/>
  <c r="E244" i="4"/>
  <c r="F244" i="4"/>
  <c r="E228" i="4"/>
  <c r="F228" i="4"/>
  <c r="E196" i="4"/>
  <c r="F196" i="4"/>
  <c r="E627" i="4"/>
  <c r="F627" i="4"/>
  <c r="E619" i="4"/>
  <c r="F619" i="4"/>
  <c r="E611" i="4"/>
  <c r="F611" i="4"/>
  <c r="E603" i="4"/>
  <c r="F603" i="4"/>
  <c r="E595" i="4"/>
  <c r="F595" i="4"/>
  <c r="E587" i="4"/>
  <c r="F587" i="4"/>
  <c r="E579" i="4"/>
  <c r="F579" i="4"/>
  <c r="E571" i="4"/>
  <c r="F571" i="4"/>
  <c r="E563" i="4"/>
  <c r="F563" i="4"/>
  <c r="E555" i="4"/>
  <c r="F555" i="4"/>
  <c r="E547" i="4"/>
  <c r="F547" i="4"/>
  <c r="E539" i="4"/>
  <c r="F539" i="4"/>
  <c r="E531" i="4"/>
  <c r="F531" i="4"/>
  <c r="E523" i="4"/>
  <c r="F523" i="4"/>
  <c r="E515" i="4"/>
  <c r="F515" i="4"/>
  <c r="E507" i="4"/>
  <c r="F507" i="4"/>
  <c r="E499" i="4"/>
  <c r="F499" i="4"/>
  <c r="E491" i="4"/>
  <c r="F491" i="4"/>
  <c r="E483" i="4"/>
  <c r="F483" i="4"/>
  <c r="E475" i="4"/>
  <c r="F475" i="4"/>
  <c r="E467" i="4"/>
  <c r="F467" i="4"/>
  <c r="E459" i="4"/>
  <c r="F459" i="4"/>
  <c r="E451" i="4"/>
  <c r="F451" i="4"/>
  <c r="E443" i="4"/>
  <c r="F443" i="4"/>
  <c r="E435" i="4"/>
  <c r="F435" i="4"/>
  <c r="E427" i="4"/>
  <c r="F427" i="4"/>
  <c r="E419" i="4"/>
  <c r="F419" i="4"/>
  <c r="E411" i="4"/>
  <c r="F411" i="4"/>
  <c r="E403" i="4"/>
  <c r="F403" i="4"/>
  <c r="E395" i="4"/>
  <c r="F395" i="4"/>
  <c r="E387" i="4"/>
  <c r="F387" i="4"/>
  <c r="E379" i="4"/>
  <c r="F379" i="4"/>
  <c r="E371" i="4"/>
  <c r="F371" i="4"/>
  <c r="E363" i="4"/>
  <c r="F363" i="4"/>
  <c r="E355" i="4"/>
  <c r="F355" i="4"/>
  <c r="E347" i="4"/>
  <c r="F347" i="4"/>
  <c r="E339" i="4"/>
  <c r="F339" i="4"/>
  <c r="E331" i="4"/>
  <c r="F331" i="4"/>
  <c r="E323" i="4"/>
  <c r="F323" i="4"/>
  <c r="E315" i="4"/>
  <c r="F315" i="4"/>
  <c r="E307" i="4"/>
  <c r="F307" i="4"/>
  <c r="E299" i="4"/>
  <c r="F299" i="4"/>
  <c r="E291" i="4"/>
  <c r="F291" i="4"/>
  <c r="E283" i="4"/>
  <c r="F283" i="4"/>
  <c r="E275" i="4"/>
  <c r="F275" i="4"/>
  <c r="E267" i="4"/>
  <c r="F267" i="4"/>
  <c r="E259" i="4"/>
  <c r="F259" i="4"/>
  <c r="E251" i="4"/>
  <c r="F251" i="4"/>
  <c r="E243" i="4"/>
  <c r="F243" i="4"/>
  <c r="E235" i="4"/>
  <c r="F235" i="4"/>
  <c r="E227" i="4"/>
  <c r="F227" i="4"/>
  <c r="E219" i="4"/>
  <c r="F219" i="4"/>
  <c r="E211" i="4"/>
  <c r="F211" i="4"/>
  <c r="E203" i="4"/>
  <c r="F203" i="4"/>
  <c r="E195" i="4"/>
  <c r="F195" i="4"/>
  <c r="E187" i="4"/>
  <c r="F187" i="4"/>
  <c r="E179" i="4"/>
  <c r="F179" i="4"/>
  <c r="E171" i="4"/>
  <c r="F171" i="4"/>
  <c r="E163" i="4"/>
  <c r="F163" i="4"/>
  <c r="E155" i="4"/>
  <c r="F155" i="4"/>
  <c r="E147" i="4"/>
  <c r="F147" i="4"/>
  <c r="E139" i="4"/>
  <c r="F139" i="4"/>
  <c r="E131" i="4"/>
  <c r="F131" i="4"/>
  <c r="E123" i="4"/>
  <c r="F123" i="4"/>
  <c r="E115" i="4"/>
  <c r="F115" i="4"/>
  <c r="E107" i="4"/>
  <c r="F107" i="4"/>
  <c r="E99" i="4"/>
  <c r="F99" i="4"/>
  <c r="E91" i="4"/>
  <c r="F91" i="4"/>
  <c r="E83" i="4"/>
  <c r="F83" i="4"/>
  <c r="E75" i="4"/>
  <c r="F75" i="4"/>
  <c r="E67" i="4"/>
  <c r="F67" i="4"/>
  <c r="E59" i="4"/>
  <c r="F59" i="4"/>
  <c r="E51" i="4"/>
  <c r="F51" i="4"/>
  <c r="E43" i="4"/>
  <c r="F43" i="4"/>
  <c r="E35" i="4"/>
  <c r="F35" i="4"/>
  <c r="E27" i="4"/>
  <c r="F27" i="4"/>
  <c r="E19" i="4"/>
  <c r="F19" i="4"/>
  <c r="E11" i="4"/>
  <c r="F11" i="4"/>
  <c r="E3" i="4"/>
  <c r="F3" i="4"/>
  <c r="E606" i="4"/>
  <c r="F606" i="4"/>
  <c r="E574" i="4"/>
  <c r="F574" i="4"/>
  <c r="E558" i="4"/>
  <c r="F558" i="4"/>
  <c r="E534" i="4"/>
  <c r="F534" i="4"/>
  <c r="E502" i="4"/>
  <c r="F502" i="4"/>
  <c r="E470" i="4"/>
  <c r="F470" i="4"/>
  <c r="E430" i="4"/>
  <c r="F430" i="4"/>
  <c r="E366" i="4"/>
  <c r="F366" i="4"/>
  <c r="E326" i="4"/>
  <c r="F326" i="4"/>
  <c r="E294" i="4"/>
  <c r="F294" i="4"/>
  <c r="E270" i="4"/>
  <c r="F270" i="4"/>
  <c r="E238" i="4"/>
  <c r="F238" i="4"/>
  <c r="E222" i="4"/>
  <c r="F222" i="4"/>
  <c r="E206" i="4"/>
  <c r="F206" i="4"/>
  <c r="E182" i="4"/>
  <c r="F182" i="4"/>
  <c r="E158" i="4"/>
  <c r="F158" i="4"/>
  <c r="E150" i="4"/>
  <c r="F150" i="4"/>
  <c r="E126" i="4"/>
  <c r="F126" i="4"/>
  <c r="E94" i="4"/>
  <c r="F94" i="4"/>
  <c r="E62" i="4"/>
  <c r="F62" i="4"/>
  <c r="E38" i="4"/>
  <c r="F38" i="4"/>
  <c r="E2" i="4"/>
  <c r="F2" i="4"/>
  <c r="E620" i="4"/>
  <c r="F620" i="4"/>
  <c r="E596" i="4"/>
  <c r="F596" i="4"/>
  <c r="E572" i="4"/>
  <c r="F572" i="4"/>
  <c r="E548" i="4"/>
  <c r="F548" i="4"/>
  <c r="E524" i="4"/>
  <c r="F524" i="4"/>
  <c r="E508" i="4"/>
  <c r="F508" i="4"/>
  <c r="E484" i="4"/>
  <c r="F484" i="4"/>
  <c r="E460" i="4"/>
  <c r="F460" i="4"/>
  <c r="E436" i="4"/>
  <c r="F436" i="4"/>
  <c r="E420" i="4"/>
  <c r="F420" i="4"/>
  <c r="E396" i="4"/>
  <c r="F396" i="4"/>
  <c r="E372" i="4"/>
  <c r="F372" i="4"/>
  <c r="E348" i="4"/>
  <c r="F348" i="4"/>
  <c r="E324" i="4"/>
  <c r="F324" i="4"/>
  <c r="E308" i="4"/>
  <c r="F308" i="4"/>
  <c r="E284" i="4"/>
  <c r="F284" i="4"/>
  <c r="E268" i="4"/>
  <c r="F268" i="4"/>
  <c r="E236" i="4"/>
  <c r="F236" i="4"/>
  <c r="E220" i="4"/>
  <c r="F220" i="4"/>
  <c r="E212" i="4"/>
  <c r="F212" i="4"/>
  <c r="E204" i="4"/>
  <c r="F204" i="4"/>
  <c r="E188" i="4"/>
  <c r="F188" i="4"/>
  <c r="E180" i="4"/>
  <c r="F180" i="4"/>
  <c r="E164" i="4"/>
  <c r="F164" i="4"/>
  <c r="E156" i="4"/>
  <c r="F156" i="4"/>
  <c r="E148" i="4"/>
  <c r="F148" i="4"/>
  <c r="E140" i="4"/>
  <c r="F140" i="4"/>
  <c r="E132" i="4"/>
  <c r="F132" i="4"/>
  <c r="E124" i="4"/>
  <c r="F124" i="4"/>
  <c r="E116" i="4"/>
  <c r="F116" i="4"/>
  <c r="E108" i="4"/>
  <c r="F108" i="4"/>
  <c r="E100" i="4"/>
  <c r="F100" i="4"/>
  <c r="E92" i="4"/>
  <c r="F92" i="4"/>
  <c r="E84" i="4"/>
  <c r="F84" i="4"/>
  <c r="E76" i="4"/>
  <c r="F76" i="4"/>
  <c r="E68" i="4"/>
  <c r="F68" i="4"/>
  <c r="E60" i="4"/>
  <c r="F60" i="4"/>
  <c r="E52" i="4"/>
  <c r="F52" i="4"/>
  <c r="E44" i="4"/>
  <c r="F44" i="4"/>
  <c r="E36" i="4"/>
  <c r="F36" i="4"/>
  <c r="E28" i="4"/>
  <c r="F28" i="4"/>
  <c r="E20" i="4"/>
  <c r="F20" i="4"/>
  <c r="E12" i="4"/>
  <c r="F12" i="4"/>
  <c r="E4" i="4"/>
  <c r="F4" i="4"/>
  <c r="E626" i="4"/>
  <c r="F626" i="4"/>
  <c r="E618" i="4"/>
  <c r="F618" i="4"/>
  <c r="E610" i="4"/>
  <c r="F610" i="4"/>
  <c r="E602" i="4"/>
  <c r="F602" i="4"/>
  <c r="E594" i="4"/>
  <c r="F594" i="4"/>
  <c r="E586" i="4"/>
  <c r="F586" i="4"/>
  <c r="E578" i="4"/>
  <c r="F578" i="4"/>
  <c r="E570" i="4"/>
  <c r="F570" i="4"/>
  <c r="E562" i="4"/>
  <c r="F562" i="4"/>
  <c r="E554" i="4"/>
  <c r="F554" i="4"/>
  <c r="E546" i="4"/>
  <c r="F546" i="4"/>
  <c r="E538" i="4"/>
  <c r="F538" i="4"/>
  <c r="E530" i="4"/>
  <c r="F530" i="4"/>
  <c r="E522" i="4"/>
  <c r="F522" i="4"/>
  <c r="E514" i="4"/>
  <c r="F514" i="4"/>
  <c r="E506" i="4"/>
  <c r="F506" i="4"/>
  <c r="E498" i="4"/>
  <c r="F498" i="4"/>
  <c r="E490" i="4"/>
  <c r="F490" i="4"/>
  <c r="E482" i="4"/>
  <c r="F482" i="4"/>
  <c r="E474" i="4"/>
  <c r="F474" i="4"/>
  <c r="E466" i="4"/>
  <c r="F466" i="4"/>
  <c r="E458" i="4"/>
  <c r="F458" i="4"/>
  <c r="E450" i="4"/>
  <c r="F450" i="4"/>
  <c r="E442" i="4"/>
  <c r="F442" i="4"/>
  <c r="E434" i="4"/>
  <c r="F434" i="4"/>
  <c r="E426" i="4"/>
  <c r="F426" i="4"/>
  <c r="E418" i="4"/>
  <c r="F418" i="4"/>
  <c r="E410" i="4"/>
  <c r="F410" i="4"/>
  <c r="E402" i="4"/>
  <c r="F402" i="4"/>
  <c r="E394" i="4"/>
  <c r="F394" i="4"/>
  <c r="E386" i="4"/>
  <c r="F386" i="4"/>
  <c r="E378" i="4"/>
  <c r="F378" i="4"/>
  <c r="E370" i="4"/>
  <c r="F370" i="4"/>
  <c r="E362" i="4"/>
  <c r="F362" i="4"/>
  <c r="E354" i="4"/>
  <c r="F354" i="4"/>
  <c r="E346" i="4"/>
  <c r="F346" i="4"/>
  <c r="E338" i="4"/>
  <c r="F338" i="4"/>
  <c r="E330" i="4"/>
  <c r="F330" i="4"/>
  <c r="E322" i="4"/>
  <c r="F322" i="4"/>
  <c r="E314" i="4"/>
  <c r="F314" i="4"/>
  <c r="E306" i="4"/>
  <c r="F306" i="4"/>
  <c r="E298" i="4"/>
  <c r="F298" i="4"/>
  <c r="E290" i="4"/>
  <c r="F290" i="4"/>
  <c r="E282" i="4"/>
  <c r="F282" i="4"/>
  <c r="E274" i="4"/>
  <c r="F274" i="4"/>
  <c r="E266" i="4"/>
  <c r="F266" i="4"/>
  <c r="E258" i="4"/>
  <c r="F258" i="4"/>
  <c r="E250" i="4"/>
  <c r="F250" i="4"/>
  <c r="E242" i="4"/>
  <c r="F242" i="4"/>
  <c r="E234" i="4"/>
  <c r="F234" i="4"/>
  <c r="E226" i="4"/>
  <c r="F226" i="4"/>
  <c r="E218" i="4"/>
  <c r="F218" i="4"/>
  <c r="E210" i="4"/>
  <c r="F210" i="4"/>
  <c r="E202" i="4"/>
  <c r="F202" i="4"/>
  <c r="E194" i="4"/>
  <c r="F194" i="4"/>
  <c r="E186" i="4"/>
  <c r="F186" i="4"/>
  <c r="E178" i="4"/>
  <c r="F178" i="4"/>
  <c r="E170" i="4"/>
  <c r="F170" i="4"/>
  <c r="E162" i="4"/>
  <c r="F162" i="4"/>
  <c r="E154" i="4"/>
  <c r="F154" i="4"/>
  <c r="E146" i="4"/>
  <c r="F146" i="4"/>
  <c r="E138" i="4"/>
  <c r="F138" i="4"/>
  <c r="E130" i="4"/>
  <c r="F130" i="4"/>
  <c r="E122" i="4"/>
  <c r="F122" i="4"/>
  <c r="E114" i="4"/>
  <c r="F114" i="4"/>
  <c r="E106" i="4"/>
  <c r="F106" i="4"/>
  <c r="E98" i="4"/>
  <c r="F98" i="4"/>
  <c r="E90" i="4"/>
  <c r="F90" i="4"/>
  <c r="E82" i="4"/>
  <c r="F82" i="4"/>
  <c r="E74" i="4"/>
  <c r="F74" i="4"/>
  <c r="E66" i="4"/>
  <c r="F66" i="4"/>
  <c r="E58" i="4"/>
  <c r="F58" i="4"/>
  <c r="E50" i="4"/>
  <c r="F50" i="4"/>
  <c r="E42" i="4"/>
  <c r="F42" i="4"/>
  <c r="E34" i="4"/>
  <c r="F34" i="4"/>
  <c r="E26" i="4"/>
  <c r="F26" i="4"/>
  <c r="E18" i="4"/>
  <c r="F18" i="4"/>
  <c r="E10" i="4"/>
  <c r="F10" i="4"/>
  <c r="E622" i="4"/>
  <c r="F622" i="4"/>
  <c r="E566" i="4"/>
  <c r="F566" i="4"/>
  <c r="E510" i="4"/>
  <c r="F510" i="4"/>
  <c r="E478" i="4"/>
  <c r="F478" i="4"/>
  <c r="E454" i="4"/>
  <c r="F454" i="4"/>
  <c r="E422" i="4"/>
  <c r="F422" i="4"/>
  <c r="E382" i="4"/>
  <c r="F382" i="4"/>
  <c r="E350" i="4"/>
  <c r="F350" i="4"/>
  <c r="E318" i="4"/>
  <c r="F318" i="4"/>
  <c r="E278" i="4"/>
  <c r="F278" i="4"/>
  <c r="E246" i="4"/>
  <c r="F246" i="4"/>
  <c r="E214" i="4"/>
  <c r="F214" i="4"/>
  <c r="E174" i="4"/>
  <c r="F174" i="4"/>
  <c r="E134" i="4"/>
  <c r="F134" i="4"/>
  <c r="E110" i="4"/>
  <c r="F110" i="4"/>
  <c r="E86" i="4"/>
  <c r="F86" i="4"/>
  <c r="E70" i="4"/>
  <c r="F70" i="4"/>
  <c r="E54" i="4"/>
  <c r="F54" i="4"/>
  <c r="E30" i="4"/>
  <c r="F30" i="4"/>
  <c r="E22" i="4"/>
  <c r="F22" i="4"/>
  <c r="E14" i="4"/>
  <c r="F14" i="4"/>
  <c r="E6" i="4"/>
  <c r="F6" i="4"/>
  <c r="E617" i="4"/>
  <c r="F617" i="4"/>
  <c r="E601" i="4"/>
  <c r="F601" i="4"/>
  <c r="E593" i="4"/>
  <c r="F593" i="4"/>
  <c r="E577" i="4"/>
  <c r="F577" i="4"/>
  <c r="E561" i="4"/>
  <c r="F561" i="4"/>
  <c r="E545" i="4"/>
  <c r="F545" i="4"/>
  <c r="E529" i="4"/>
  <c r="F529" i="4"/>
  <c r="E513" i="4"/>
  <c r="F513" i="4"/>
  <c r="E497" i="4"/>
  <c r="F497" i="4"/>
  <c r="E481" i="4"/>
  <c r="F481" i="4"/>
  <c r="E457" i="4"/>
  <c r="F457" i="4"/>
  <c r="E441" i="4"/>
  <c r="F441" i="4"/>
  <c r="E425" i="4"/>
  <c r="F425" i="4"/>
  <c r="E417" i="4"/>
  <c r="F417" i="4"/>
  <c r="E401" i="4"/>
  <c r="F401" i="4"/>
  <c r="E385" i="4"/>
  <c r="F385" i="4"/>
  <c r="E369" i="4"/>
  <c r="F369" i="4"/>
  <c r="E353" i="4"/>
  <c r="F353" i="4"/>
  <c r="E337" i="4"/>
  <c r="F337" i="4"/>
  <c r="E321" i="4"/>
  <c r="F321" i="4"/>
  <c r="E305" i="4"/>
  <c r="F305" i="4"/>
  <c r="E289" i="4"/>
  <c r="F289" i="4"/>
  <c r="E233" i="4"/>
  <c r="F233" i="4"/>
  <c r="E590" i="4"/>
  <c r="F590" i="4"/>
  <c r="E542" i="4"/>
  <c r="F542" i="4"/>
  <c r="E406" i="4"/>
  <c r="F406" i="4"/>
  <c r="E633" i="4"/>
  <c r="F633" i="4"/>
  <c r="E625" i="4"/>
  <c r="F625" i="4"/>
  <c r="E609" i="4"/>
  <c r="F609" i="4"/>
  <c r="E585" i="4"/>
  <c r="F585" i="4"/>
  <c r="E569" i="4"/>
  <c r="F569" i="4"/>
  <c r="E553" i="4"/>
  <c r="F553" i="4"/>
  <c r="E537" i="4"/>
  <c r="F537" i="4"/>
  <c r="E521" i="4"/>
  <c r="F521" i="4"/>
  <c r="E505" i="4"/>
  <c r="F505" i="4"/>
  <c r="E489" i="4"/>
  <c r="F489" i="4"/>
  <c r="E473" i="4"/>
  <c r="F473" i="4"/>
  <c r="E465" i="4"/>
  <c r="F465" i="4"/>
  <c r="E449" i="4"/>
  <c r="F449" i="4"/>
  <c r="E433" i="4"/>
  <c r="F433" i="4"/>
  <c r="E409" i="4"/>
  <c r="F409" i="4"/>
  <c r="E393" i="4"/>
  <c r="F393" i="4"/>
  <c r="E377" i="4"/>
  <c r="F377" i="4"/>
  <c r="E361" i="4"/>
  <c r="F361" i="4"/>
  <c r="E345" i="4"/>
  <c r="F345" i="4"/>
  <c r="E329" i="4"/>
  <c r="F329" i="4"/>
  <c r="E313" i="4"/>
  <c r="F313" i="4"/>
  <c r="E297" i="4"/>
  <c r="F297" i="4"/>
  <c r="E281" i="4"/>
  <c r="F281" i="4"/>
  <c r="E273" i="4"/>
  <c r="F273" i="4"/>
  <c r="E265" i="4"/>
  <c r="F265" i="4"/>
  <c r="E257" i="4"/>
  <c r="F257" i="4"/>
  <c r="E249" i="4"/>
  <c r="F249" i="4"/>
  <c r="E241" i="4"/>
  <c r="F241" i="4"/>
  <c r="E225" i="4"/>
  <c r="F225" i="4"/>
  <c r="E217" i="4"/>
  <c r="F217" i="4"/>
  <c r="E209" i="4"/>
  <c r="F209" i="4"/>
  <c r="E201" i="4"/>
  <c r="F201" i="4"/>
  <c r="E193" i="4"/>
  <c r="F193" i="4"/>
  <c r="E185" i="4"/>
  <c r="F185" i="4"/>
  <c r="E177" i="4"/>
  <c r="F177" i="4"/>
  <c r="E169" i="4"/>
  <c r="F169" i="4"/>
  <c r="E161" i="4"/>
  <c r="F161" i="4"/>
  <c r="E153" i="4"/>
  <c r="F153" i="4"/>
  <c r="E145" i="4"/>
  <c r="F145" i="4"/>
  <c r="E137" i="4"/>
  <c r="F137" i="4"/>
  <c r="E129" i="4"/>
  <c r="F129" i="4"/>
  <c r="E121" i="4"/>
  <c r="F121" i="4"/>
  <c r="E113" i="4"/>
  <c r="F113" i="4"/>
  <c r="E105" i="4"/>
  <c r="F105" i="4"/>
  <c r="E97" i="4"/>
  <c r="F97" i="4"/>
  <c r="E89" i="4"/>
  <c r="F89" i="4"/>
  <c r="E81" i="4"/>
  <c r="F81" i="4"/>
  <c r="E73" i="4"/>
  <c r="F73" i="4"/>
  <c r="E65" i="4"/>
  <c r="F65" i="4"/>
  <c r="E57" i="4"/>
  <c r="F57" i="4"/>
  <c r="E49" i="4"/>
  <c r="F49" i="4"/>
  <c r="E41" i="4"/>
  <c r="F41" i="4"/>
  <c r="E33" i="4"/>
  <c r="F33" i="4"/>
  <c r="E25" i="4"/>
  <c r="F25" i="4"/>
  <c r="E17" i="4"/>
  <c r="F17" i="4"/>
  <c r="E9" i="4"/>
  <c r="F9" i="4"/>
  <c r="E632" i="4"/>
  <c r="F632" i="4"/>
  <c r="E624" i="4"/>
  <c r="F624" i="4"/>
  <c r="E616" i="4"/>
  <c r="F616" i="4"/>
  <c r="E608" i="4"/>
  <c r="F608" i="4"/>
  <c r="E600" i="4"/>
  <c r="F600" i="4"/>
  <c r="E592" i="4"/>
  <c r="F592" i="4"/>
  <c r="E584" i="4"/>
  <c r="F584" i="4"/>
  <c r="E576" i="4"/>
  <c r="F576" i="4"/>
  <c r="E568" i="4"/>
  <c r="F568" i="4"/>
  <c r="E560" i="4"/>
  <c r="F560" i="4"/>
  <c r="E552" i="4"/>
  <c r="F552" i="4"/>
  <c r="E544" i="4"/>
  <c r="F544" i="4"/>
  <c r="E536" i="4"/>
  <c r="F536" i="4"/>
  <c r="E528" i="4"/>
  <c r="F528" i="4"/>
  <c r="E520" i="4"/>
  <c r="F520" i="4"/>
  <c r="E512" i="4"/>
  <c r="F512" i="4"/>
  <c r="E504" i="4"/>
  <c r="F504" i="4"/>
  <c r="E496" i="4"/>
  <c r="F496" i="4"/>
  <c r="E488" i="4"/>
  <c r="F488" i="4"/>
  <c r="E480" i="4"/>
  <c r="F480" i="4"/>
  <c r="E472" i="4"/>
  <c r="F472" i="4"/>
  <c r="E464" i="4"/>
  <c r="F464" i="4"/>
  <c r="E456" i="4"/>
  <c r="F456" i="4"/>
  <c r="E448" i="4"/>
  <c r="F448" i="4"/>
  <c r="E440" i="4"/>
  <c r="F440" i="4"/>
  <c r="E432" i="4"/>
  <c r="F432" i="4"/>
  <c r="E424" i="4"/>
  <c r="F424" i="4"/>
  <c r="E416" i="4"/>
  <c r="F416" i="4"/>
  <c r="E408" i="4"/>
  <c r="F408" i="4"/>
  <c r="E400" i="4"/>
  <c r="F400" i="4"/>
  <c r="E392" i="4"/>
  <c r="F392" i="4"/>
  <c r="E384" i="4"/>
  <c r="F384" i="4"/>
  <c r="E376" i="4"/>
  <c r="F376" i="4"/>
  <c r="E368" i="4"/>
  <c r="F368" i="4"/>
  <c r="E360" i="4"/>
  <c r="F360" i="4"/>
  <c r="E352" i="4"/>
  <c r="F352" i="4"/>
  <c r="E344" i="4"/>
  <c r="F344" i="4"/>
  <c r="E336" i="4"/>
  <c r="F336" i="4"/>
  <c r="E328" i="4"/>
  <c r="F328" i="4"/>
  <c r="E320" i="4"/>
  <c r="F320" i="4"/>
  <c r="E312" i="4"/>
  <c r="F312" i="4"/>
  <c r="E304" i="4"/>
  <c r="F304" i="4"/>
  <c r="E296" i="4"/>
  <c r="F296" i="4"/>
  <c r="E288" i="4"/>
  <c r="F288" i="4"/>
  <c r="E280" i="4"/>
  <c r="F280" i="4"/>
  <c r="E272" i="4"/>
  <c r="F272" i="4"/>
  <c r="E264" i="4"/>
  <c r="F264" i="4"/>
  <c r="E256" i="4"/>
  <c r="F256" i="4"/>
  <c r="E248" i="4"/>
  <c r="F248" i="4"/>
  <c r="E240" i="4"/>
  <c r="F240" i="4"/>
  <c r="E232" i="4"/>
  <c r="F232" i="4"/>
  <c r="E224" i="4"/>
  <c r="F224" i="4"/>
  <c r="E216" i="4"/>
  <c r="F216" i="4"/>
  <c r="E208" i="4"/>
  <c r="F208" i="4"/>
  <c r="E200" i="4"/>
  <c r="F200" i="4"/>
  <c r="E192" i="4"/>
  <c r="F192" i="4"/>
  <c r="E184" i="4"/>
  <c r="F184" i="4"/>
  <c r="E176" i="4"/>
  <c r="F176" i="4"/>
  <c r="E168" i="4"/>
  <c r="F168" i="4"/>
  <c r="E160" i="4"/>
  <c r="F160" i="4"/>
  <c r="E152" i="4"/>
  <c r="F152" i="4"/>
  <c r="E144" i="4"/>
  <c r="F144" i="4"/>
  <c r="E136" i="4"/>
  <c r="F136" i="4"/>
  <c r="E128" i="4"/>
  <c r="F128" i="4"/>
  <c r="E120" i="4"/>
  <c r="F120" i="4"/>
  <c r="E112" i="4"/>
  <c r="F112" i="4"/>
  <c r="E104" i="4"/>
  <c r="F104" i="4"/>
  <c r="E96" i="4"/>
  <c r="F96" i="4"/>
  <c r="E88" i="4"/>
  <c r="F88" i="4"/>
  <c r="E80" i="4"/>
  <c r="F80" i="4"/>
  <c r="E72" i="4"/>
  <c r="F72" i="4"/>
  <c r="E64" i="4"/>
  <c r="F64" i="4"/>
  <c r="E56" i="4"/>
  <c r="F56" i="4"/>
  <c r="E48" i="4"/>
  <c r="F48" i="4"/>
  <c r="E40" i="4"/>
  <c r="F40" i="4"/>
  <c r="E32" i="4"/>
  <c r="F32" i="4"/>
  <c r="E24" i="4"/>
  <c r="F24" i="4"/>
  <c r="E16" i="4"/>
  <c r="F16" i="4"/>
  <c r="E8" i="4"/>
  <c r="F8" i="4"/>
  <c r="G631" i="4"/>
  <c r="E631" i="4"/>
  <c r="G623" i="4"/>
  <c r="E623" i="4"/>
  <c r="G615" i="4"/>
  <c r="E615" i="4"/>
  <c r="G607" i="4"/>
  <c r="E607" i="4"/>
  <c r="G599" i="4"/>
  <c r="E599" i="4"/>
  <c r="G591" i="4"/>
  <c r="E591" i="4"/>
  <c r="G583" i="4"/>
  <c r="E583" i="4"/>
  <c r="G575" i="4"/>
  <c r="E575" i="4"/>
  <c r="G567" i="4"/>
  <c r="E567" i="4"/>
  <c r="G559" i="4"/>
  <c r="E559" i="4"/>
  <c r="G551" i="4"/>
  <c r="E551" i="4"/>
  <c r="G543" i="4"/>
  <c r="E543" i="4"/>
  <c r="G535" i="4"/>
  <c r="E535" i="4"/>
  <c r="G527" i="4"/>
  <c r="E527" i="4"/>
  <c r="G519" i="4"/>
  <c r="E519" i="4"/>
  <c r="G511" i="4"/>
  <c r="E511" i="4"/>
  <c r="G503" i="4"/>
  <c r="E503" i="4"/>
  <c r="G495" i="4"/>
  <c r="E495" i="4"/>
  <c r="G487" i="4"/>
  <c r="E487" i="4"/>
  <c r="G479" i="4"/>
  <c r="E479" i="4"/>
  <c r="G471" i="4"/>
  <c r="E471" i="4"/>
  <c r="G463" i="4"/>
  <c r="E463" i="4"/>
  <c r="G455" i="4"/>
  <c r="E455" i="4"/>
  <c r="G447" i="4"/>
  <c r="E447" i="4"/>
  <c r="G439" i="4"/>
  <c r="E439" i="4"/>
  <c r="G431" i="4"/>
  <c r="E431" i="4"/>
  <c r="G423" i="4"/>
  <c r="E423" i="4"/>
  <c r="G415" i="4"/>
  <c r="E415" i="4"/>
  <c r="G407" i="4"/>
  <c r="E407" i="4"/>
  <c r="G399" i="4"/>
  <c r="E399" i="4"/>
  <c r="G391" i="4"/>
  <c r="E391" i="4"/>
  <c r="G383" i="4"/>
  <c r="E383" i="4"/>
  <c r="G375" i="4"/>
  <c r="E375" i="4"/>
  <c r="G367" i="4"/>
  <c r="E367" i="4"/>
  <c r="G359" i="4"/>
  <c r="E359" i="4"/>
  <c r="G351" i="4"/>
  <c r="E351" i="4"/>
  <c r="G343" i="4"/>
  <c r="E343" i="4"/>
  <c r="G335" i="4"/>
  <c r="E335" i="4"/>
  <c r="G327" i="4"/>
  <c r="E327" i="4"/>
  <c r="G319" i="4"/>
  <c r="E319" i="4"/>
  <c r="G311" i="4"/>
  <c r="E311" i="4"/>
  <c r="G303" i="4"/>
  <c r="E303" i="4"/>
  <c r="G295" i="4"/>
  <c r="E295" i="4"/>
  <c r="G287" i="4"/>
  <c r="E287" i="4"/>
  <c r="G279" i="4"/>
  <c r="E279" i="4"/>
  <c r="G271" i="4"/>
  <c r="E271" i="4"/>
  <c r="G263" i="4"/>
  <c r="E263" i="4"/>
  <c r="G255" i="4"/>
  <c r="E255" i="4"/>
  <c r="G247" i="4"/>
  <c r="E247" i="4"/>
  <c r="G239" i="4"/>
  <c r="E239" i="4"/>
  <c r="G231" i="4"/>
  <c r="E231" i="4"/>
  <c r="G223" i="4"/>
  <c r="E223" i="4"/>
  <c r="G215" i="4"/>
  <c r="E215" i="4"/>
  <c r="G207" i="4"/>
  <c r="E207" i="4"/>
  <c r="G199" i="4"/>
  <c r="E199" i="4"/>
  <c r="G191" i="4"/>
  <c r="E191" i="4"/>
  <c r="G183" i="4"/>
  <c r="E183" i="4"/>
  <c r="G175" i="4"/>
  <c r="E175" i="4"/>
  <c r="G167" i="4"/>
  <c r="E167" i="4"/>
  <c r="G159" i="4"/>
  <c r="E159" i="4"/>
  <c r="G151" i="4"/>
  <c r="E151" i="4"/>
  <c r="G143" i="4"/>
  <c r="E143" i="4"/>
  <c r="G135" i="4"/>
  <c r="E135" i="4"/>
  <c r="G127" i="4"/>
  <c r="E127" i="4"/>
  <c r="G119" i="4"/>
  <c r="E119" i="4"/>
  <c r="G111" i="4"/>
  <c r="E111" i="4"/>
  <c r="G103" i="4"/>
  <c r="E103" i="4"/>
  <c r="G95" i="4"/>
  <c r="E95" i="4"/>
  <c r="G87" i="4"/>
  <c r="E87" i="4"/>
  <c r="G79" i="4"/>
  <c r="E79" i="4"/>
  <c r="G71" i="4"/>
  <c r="E71" i="4"/>
  <c r="G63" i="4"/>
  <c r="E63" i="4"/>
  <c r="G55" i="4"/>
  <c r="E55" i="4"/>
  <c r="G47" i="4"/>
  <c r="E47" i="4"/>
  <c r="G39" i="4"/>
  <c r="E39" i="4"/>
  <c r="G31" i="4"/>
  <c r="E31" i="4"/>
  <c r="G23" i="4"/>
  <c r="E23" i="4"/>
  <c r="G15" i="4"/>
  <c r="E15" i="4"/>
  <c r="G7" i="4"/>
  <c r="E7" i="4"/>
  <c r="G582" i="4"/>
  <c r="G550" i="4"/>
  <c r="G502" i="4"/>
  <c r="G454" i="4"/>
  <c r="G446" i="4"/>
  <c r="G438" i="4"/>
  <c r="G430" i="4"/>
  <c r="G422" i="4"/>
  <c r="G414" i="4"/>
  <c r="G406" i="4"/>
  <c r="G398" i="4"/>
  <c r="G390" i="4"/>
  <c r="G382" i="4"/>
  <c r="G606" i="4"/>
  <c r="G566" i="4"/>
  <c r="G526" i="4"/>
  <c r="G486" i="4"/>
  <c r="G621" i="4"/>
  <c r="G613" i="4"/>
  <c r="G581" i="4"/>
  <c r="G573" i="4"/>
  <c r="G565" i="4"/>
  <c r="G557" i="4"/>
  <c r="G549" i="4"/>
  <c r="G541" i="4"/>
  <c r="G533" i="4"/>
  <c r="G525" i="4"/>
  <c r="G517" i="4"/>
  <c r="G509" i="4"/>
  <c r="G501" i="4"/>
  <c r="G493" i="4"/>
  <c r="G485" i="4"/>
  <c r="G477" i="4"/>
  <c r="G469" i="4"/>
  <c r="G461" i="4"/>
  <c r="G453" i="4"/>
  <c r="G445" i="4"/>
  <c r="G614" i="4"/>
  <c r="G574" i="4"/>
  <c r="G542" i="4"/>
  <c r="G494" i="4"/>
  <c r="G462" i="4"/>
  <c r="G605" i="4"/>
  <c r="G622" i="4"/>
  <c r="G598" i="4"/>
  <c r="G558" i="4"/>
  <c r="G518" i="4"/>
  <c r="G470" i="4"/>
  <c r="G597" i="4"/>
  <c r="G630" i="4"/>
  <c r="G590" i="4"/>
  <c r="G534" i="4"/>
  <c r="G510" i="4"/>
  <c r="G478" i="4"/>
  <c r="G629" i="4"/>
  <c r="G589" i="4"/>
  <c r="G632" i="4"/>
  <c r="G576" i="4"/>
  <c r="G568" i="4"/>
  <c r="G512" i="4"/>
  <c r="G504" i="4"/>
  <c r="G448" i="4"/>
  <c r="G440" i="4"/>
  <c r="G384" i="4"/>
  <c r="G376" i="4"/>
  <c r="G320" i="4"/>
  <c r="G312" i="4"/>
  <c r="G256" i="4"/>
  <c r="G248" i="4"/>
  <c r="G192" i="4"/>
  <c r="G184" i="4"/>
  <c r="G128" i="4"/>
  <c r="G120" i="4"/>
  <c r="G64" i="4"/>
  <c r="G56" i="4"/>
  <c r="G544" i="4"/>
  <c r="G528" i="4"/>
  <c r="G488" i="4"/>
  <c r="G432" i="4"/>
  <c r="G400" i="4"/>
  <c r="G392" i="4"/>
  <c r="G344" i="4"/>
  <c r="G328" i="4"/>
  <c r="G304" i="4"/>
  <c r="G296" i="4"/>
  <c r="G272" i="4"/>
  <c r="G264" i="4"/>
  <c r="G240" i="4"/>
  <c r="G232" i="4"/>
  <c r="G224" i="4"/>
  <c r="G216" i="4"/>
  <c r="G208" i="4"/>
  <c r="G200" i="4"/>
  <c r="G176" i="4"/>
  <c r="G168" i="4"/>
  <c r="G160" i="4"/>
  <c r="G152" i="4"/>
  <c r="G144" i="4"/>
  <c r="G136" i="4"/>
  <c r="G112" i="4"/>
  <c r="G104" i="4"/>
  <c r="G96" i="4"/>
  <c r="G88" i="4"/>
  <c r="G80" i="4"/>
  <c r="G72" i="4"/>
  <c r="G48" i="4"/>
  <c r="G40" i="4"/>
  <c r="G32" i="4"/>
  <c r="G24" i="4"/>
  <c r="G16" i="4"/>
  <c r="G8" i="4"/>
  <c r="G624" i="4"/>
  <c r="G616" i="4"/>
  <c r="G608" i="4"/>
  <c r="G600" i="4"/>
  <c r="G592" i="4"/>
  <c r="G584" i="4"/>
  <c r="G560" i="4"/>
  <c r="G552" i="4"/>
  <c r="G520" i="4"/>
  <c r="G480" i="4"/>
  <c r="G464" i="4"/>
  <c r="G424" i="4"/>
  <c r="G416" i="4"/>
  <c r="G360" i="4"/>
  <c r="G280" i="4"/>
  <c r="G336" i="4"/>
  <c r="G627" i="4"/>
  <c r="G619" i="4"/>
  <c r="G611" i="4"/>
  <c r="G603" i="4"/>
  <c r="G595" i="4"/>
  <c r="G587" i="4"/>
  <c r="G579" i="4"/>
  <c r="G571" i="4"/>
  <c r="G563" i="4"/>
  <c r="G555" i="4"/>
  <c r="G547" i="4"/>
  <c r="G539" i="4"/>
  <c r="G531" i="4"/>
  <c r="G523" i="4"/>
  <c r="G515" i="4"/>
  <c r="G507" i="4"/>
  <c r="G499" i="4"/>
  <c r="G491" i="4"/>
  <c r="G483" i="4"/>
  <c r="G475" i="4"/>
  <c r="G536" i="4"/>
  <c r="G496" i="4"/>
  <c r="G472" i="4"/>
  <c r="G456" i="4"/>
  <c r="G408" i="4"/>
  <c r="G368" i="4"/>
  <c r="G352" i="4"/>
  <c r="G288" i="4"/>
  <c r="G625" i="4"/>
  <c r="G617" i="4"/>
  <c r="G593" i="4"/>
  <c r="G569" i="4"/>
  <c r="G545" i="4"/>
  <c r="G529" i="4"/>
  <c r="G521" i="4"/>
  <c r="G505" i="4"/>
  <c r="G497" i="4"/>
  <c r="G473" i="4"/>
  <c r="G457" i="4"/>
  <c r="G441" i="4"/>
  <c r="G433" i="4"/>
  <c r="G425" i="4"/>
  <c r="G409" i="4"/>
  <c r="G401" i="4"/>
  <c r="G393" i="4"/>
  <c r="G385" i="4"/>
  <c r="G377" i="4"/>
  <c r="G369" i="4"/>
  <c r="G361" i="4"/>
  <c r="G353" i="4"/>
  <c r="G345" i="4"/>
  <c r="G337" i="4"/>
  <c r="G329" i="4"/>
  <c r="G321" i="4"/>
  <c r="G313" i="4"/>
  <c r="G305" i="4"/>
  <c r="G297" i="4"/>
  <c r="G289" i="4"/>
  <c r="G281" i="4"/>
  <c r="G273" i="4"/>
  <c r="G265" i="4"/>
  <c r="G257" i="4"/>
  <c r="G249" i="4"/>
  <c r="G241" i="4"/>
  <c r="G233" i="4"/>
  <c r="G225" i="4"/>
  <c r="G217" i="4"/>
  <c r="G209" i="4"/>
  <c r="G201" i="4"/>
  <c r="G193" i="4"/>
  <c r="G185" i="4"/>
  <c r="G177" i="4"/>
  <c r="G169" i="4"/>
  <c r="G161" i="4"/>
  <c r="G153" i="4"/>
  <c r="G145" i="4"/>
  <c r="G137" i="4"/>
  <c r="G129" i="4"/>
  <c r="G121" i="4"/>
  <c r="G113" i="4"/>
  <c r="G105" i="4"/>
  <c r="G97" i="4"/>
  <c r="G89" i="4"/>
  <c r="G81" i="4"/>
  <c r="G73" i="4"/>
  <c r="G65" i="4"/>
  <c r="G57" i="4"/>
  <c r="G49" i="4"/>
  <c r="G41" i="4"/>
  <c r="G33" i="4"/>
  <c r="G25" i="4"/>
  <c r="G17" i="4"/>
  <c r="G9" i="4"/>
  <c r="G601" i="4"/>
  <c r="G577" i="4"/>
  <c r="G553" i="4"/>
  <c r="G489" i="4"/>
  <c r="G481" i="4"/>
  <c r="G465" i="4"/>
  <c r="G449" i="4"/>
  <c r="G417" i="4"/>
  <c r="G633" i="4"/>
  <c r="G609" i="4"/>
  <c r="G585" i="4"/>
  <c r="G561" i="4"/>
  <c r="G537" i="4"/>
  <c r="G513" i="4"/>
  <c r="G374" i="4"/>
  <c r="G366" i="4"/>
  <c r="G358" i="4"/>
  <c r="G350" i="4"/>
  <c r="G342" i="4"/>
  <c r="G334" i="4"/>
  <c r="G326" i="4"/>
  <c r="G318" i="4"/>
  <c r="G310" i="4"/>
  <c r="G302" i="4"/>
  <c r="G294" i="4"/>
  <c r="G286" i="4"/>
  <c r="G278" i="4"/>
  <c r="G270" i="4"/>
  <c r="G262" i="4"/>
  <c r="G254" i="4"/>
  <c r="G246" i="4"/>
  <c r="G238" i="4"/>
  <c r="G230" i="4"/>
  <c r="G222" i="4"/>
  <c r="G214" i="4"/>
  <c r="G206" i="4"/>
  <c r="G198" i="4"/>
  <c r="G190" i="4"/>
  <c r="G182" i="4"/>
  <c r="G174" i="4"/>
  <c r="G166" i="4"/>
  <c r="G158" i="4"/>
  <c r="G150" i="4"/>
  <c r="G142" i="4"/>
  <c r="G134" i="4"/>
  <c r="G126" i="4"/>
  <c r="G118" i="4"/>
  <c r="G110" i="4"/>
  <c r="G102" i="4"/>
  <c r="G94" i="4"/>
  <c r="G86" i="4"/>
  <c r="G78" i="4"/>
  <c r="G70" i="4"/>
  <c r="G62" i="4"/>
  <c r="G54" i="4"/>
  <c r="G46" i="4"/>
  <c r="G38" i="4"/>
  <c r="G30" i="4"/>
  <c r="G22" i="4"/>
  <c r="G14" i="4"/>
  <c r="G6" i="4"/>
  <c r="G459" i="4"/>
  <c r="G443" i="4"/>
  <c r="G427" i="4"/>
  <c r="G411" i="4"/>
  <c r="G395" i="4"/>
  <c r="G379" i="4"/>
  <c r="G363" i="4"/>
  <c r="G347" i="4"/>
  <c r="G331" i="4"/>
  <c r="G315" i="4"/>
  <c r="G299" i="4"/>
  <c r="G283" i="4"/>
  <c r="G267" i="4"/>
  <c r="G251" i="4"/>
  <c r="G235" i="4"/>
  <c r="G211" i="4"/>
  <c r="G195" i="4"/>
  <c r="G179" i="4"/>
  <c r="G163" i="4"/>
  <c r="G123" i="4"/>
  <c r="G437" i="4"/>
  <c r="G429" i="4"/>
  <c r="G421" i="4"/>
  <c r="G413" i="4"/>
  <c r="G405" i="4"/>
  <c r="G397" i="4"/>
  <c r="G389" i="4"/>
  <c r="G381" i="4"/>
  <c r="G373" i="4"/>
  <c r="G365" i="4"/>
  <c r="G357" i="4"/>
  <c r="G349" i="4"/>
  <c r="G341" i="4"/>
  <c r="G333" i="4"/>
  <c r="G325" i="4"/>
  <c r="G317" i="4"/>
  <c r="G309" i="4"/>
  <c r="G301" i="4"/>
  <c r="G293" i="4"/>
  <c r="G285" i="4"/>
  <c r="G277" i="4"/>
  <c r="G269" i="4"/>
  <c r="G261" i="4"/>
  <c r="G253" i="4"/>
  <c r="G245" i="4"/>
  <c r="G237" i="4"/>
  <c r="G229" i="4"/>
  <c r="G221" i="4"/>
  <c r="G213" i="4"/>
  <c r="G205" i="4"/>
  <c r="G197" i="4"/>
  <c r="G189" i="4"/>
  <c r="G181" i="4"/>
  <c r="G173" i="4"/>
  <c r="G165" i="4"/>
  <c r="G157" i="4"/>
  <c r="G149" i="4"/>
  <c r="G141" i="4"/>
  <c r="G133" i="4"/>
  <c r="G125" i="4"/>
  <c r="G117" i="4"/>
  <c r="G109" i="4"/>
  <c r="G101" i="4"/>
  <c r="G93" i="4"/>
  <c r="G85" i="4"/>
  <c r="G77" i="4"/>
  <c r="G69" i="4"/>
  <c r="G61" i="4"/>
  <c r="G53" i="4"/>
  <c r="G45" i="4"/>
  <c r="G37" i="4"/>
  <c r="G29" i="4"/>
  <c r="G21" i="4"/>
  <c r="G13" i="4"/>
  <c r="G5" i="4"/>
  <c r="G467" i="4"/>
  <c r="G451" i="4"/>
  <c r="G435" i="4"/>
  <c r="G419" i="4"/>
  <c r="G403" i="4"/>
  <c r="G387" i="4"/>
  <c r="G371" i="4"/>
  <c r="G355" i="4"/>
  <c r="G339" i="4"/>
  <c r="G323" i="4"/>
  <c r="G307" i="4"/>
  <c r="G291" i="4"/>
  <c r="G275" i="4"/>
  <c r="G259" i="4"/>
  <c r="G243" i="4"/>
  <c r="G227" i="4"/>
  <c r="G219" i="4"/>
  <c r="G203" i="4"/>
  <c r="G187" i="4"/>
  <c r="G171" i="4"/>
  <c r="G155" i="4"/>
  <c r="G147" i="4"/>
  <c r="G139" i="4"/>
  <c r="G131" i="4"/>
  <c r="G115" i="4"/>
  <c r="G107" i="4"/>
  <c r="G99" i="4"/>
  <c r="G91" i="4"/>
  <c r="G83" i="4"/>
  <c r="G75" i="4"/>
  <c r="G67" i="4"/>
  <c r="G59" i="4"/>
  <c r="G51" i="4"/>
  <c r="G43" i="4"/>
  <c r="G35" i="4"/>
  <c r="G27" i="4"/>
  <c r="G19" i="4"/>
  <c r="G11" i="4"/>
  <c r="G3" i="4"/>
  <c r="G2" i="4"/>
  <c r="G612" i="4"/>
  <c r="G588" i="4"/>
  <c r="G580" i="4"/>
  <c r="G540" i="4"/>
  <c r="G500" i="4"/>
  <c r="G492" i="4"/>
  <c r="G460" i="4"/>
  <c r="G444" i="4"/>
  <c r="G412" i="4"/>
  <c r="G388" i="4"/>
  <c r="G380" i="4"/>
  <c r="G356" i="4"/>
  <c r="G340" i="4"/>
  <c r="G268" i="4"/>
  <c r="G628" i="4"/>
  <c r="G604" i="4"/>
  <c r="G572" i="4"/>
  <c r="G556" i="4"/>
  <c r="G548" i="4"/>
  <c r="G532" i="4"/>
  <c r="G508" i="4"/>
  <c r="G476" i="4"/>
  <c r="G452" i="4"/>
  <c r="G428" i="4"/>
  <c r="G420" i="4"/>
  <c r="G396" i="4"/>
  <c r="G364" i="4"/>
  <c r="G292" i="4"/>
  <c r="G620" i="4"/>
  <c r="G596" i="4"/>
  <c r="G564" i="4"/>
  <c r="G524" i="4"/>
  <c r="G516" i="4"/>
  <c r="G484" i="4"/>
  <c r="G468" i="4"/>
  <c r="G436" i="4"/>
  <c r="G404" i="4"/>
  <c r="G372" i="4"/>
  <c r="G348" i="4"/>
  <c r="G332" i="4"/>
  <c r="G324" i="4"/>
  <c r="G316" i="4"/>
  <c r="G308" i="4"/>
  <c r="G300" i="4"/>
  <c r="G284" i="4"/>
  <c r="G276" i="4"/>
  <c r="G260" i="4"/>
  <c r="G252" i="4"/>
  <c r="G244" i="4"/>
  <c r="G228" i="4"/>
  <c r="G212" i="4"/>
  <c r="G204" i="4"/>
  <c r="G188" i="4"/>
  <c r="G172" i="4"/>
  <c r="G156" i="4"/>
  <c r="G148" i="4"/>
  <c r="G140" i="4"/>
  <c r="G132" i="4"/>
  <c r="G116" i="4"/>
  <c r="G108" i="4"/>
  <c r="G100" i="4"/>
  <c r="G92" i="4"/>
  <c r="G84" i="4"/>
  <c r="G76" i="4"/>
  <c r="G68" i="4"/>
  <c r="G60" i="4"/>
  <c r="G52" i="4"/>
  <c r="G44" i="4"/>
  <c r="G36" i="4"/>
  <c r="G28" i="4"/>
  <c r="G20" i="4"/>
  <c r="G12" i="4"/>
  <c r="G4" i="4"/>
  <c r="G236" i="4"/>
  <c r="G220" i="4"/>
  <c r="G196" i="4"/>
  <c r="G180" i="4"/>
  <c r="G164" i="4"/>
  <c r="G124" i="4"/>
  <c r="G626" i="4"/>
  <c r="G618" i="4"/>
  <c r="G610" i="4"/>
  <c r="G602" i="4"/>
  <c r="G594" i="4"/>
  <c r="G586" i="4"/>
  <c r="G578" i="4"/>
  <c r="G570" i="4"/>
  <c r="G562" i="4"/>
  <c r="G554" i="4"/>
  <c r="G546" i="4"/>
  <c r="G538" i="4"/>
  <c r="G530" i="4"/>
  <c r="G522" i="4"/>
  <c r="G514" i="4"/>
  <c r="G506" i="4"/>
  <c r="G498" i="4"/>
  <c r="G490" i="4"/>
  <c r="G482" i="4"/>
  <c r="G474" i="4"/>
  <c r="G466" i="4"/>
  <c r="G458" i="4"/>
  <c r="G450" i="4"/>
  <c r="G442" i="4"/>
  <c r="G434" i="4"/>
  <c r="G426" i="4"/>
  <c r="G418" i="4"/>
  <c r="G410" i="4"/>
  <c r="G402" i="4"/>
  <c r="G394" i="4"/>
  <c r="G386" i="4"/>
  <c r="G378" i="4"/>
  <c r="G370" i="4"/>
  <c r="G362" i="4"/>
  <c r="G354" i="4"/>
  <c r="G346" i="4"/>
  <c r="G338" i="4"/>
  <c r="G330" i="4"/>
  <c r="G322" i="4"/>
  <c r="G314" i="4"/>
  <c r="G306" i="4"/>
  <c r="G298" i="4"/>
  <c r="G290" i="4"/>
  <c r="G282" i="4"/>
  <c r="G274" i="4"/>
  <c r="G266" i="4"/>
  <c r="G258" i="4"/>
  <c r="G250" i="4"/>
  <c r="G242" i="4"/>
  <c r="G234" i="4"/>
  <c r="G226" i="4"/>
  <c r="G218" i="4"/>
  <c r="G210" i="4"/>
  <c r="G202" i="4"/>
  <c r="G194" i="4"/>
  <c r="G186" i="4"/>
  <c r="G178" i="4"/>
  <c r="G170" i="4"/>
  <c r="G162" i="4"/>
  <c r="G154" i="4"/>
  <c r="G146" i="4"/>
  <c r="G138" i="4"/>
  <c r="G130" i="4"/>
  <c r="G122" i="4"/>
  <c r="G114" i="4"/>
  <c r="G106" i="4"/>
  <c r="G98" i="4"/>
  <c r="G90" i="4"/>
  <c r="G82" i="4"/>
  <c r="G74" i="4"/>
  <c r="G66" i="4"/>
  <c r="G58" i="4"/>
  <c r="G50" i="4"/>
  <c r="G42" i="4"/>
  <c r="G34" i="4"/>
  <c r="G26" i="4"/>
  <c r="G18" i="4"/>
  <c r="G10" i="4"/>
  <c r="AF3" i="4" l="1"/>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0"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2" i="4"/>
  <c r="J2" i="4"/>
  <c r="J3"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7" i="4"/>
  <c r="AB208" i="4"/>
  <c r="AB209" i="4"/>
  <c r="AB210" i="4"/>
  <c r="AB211" i="4"/>
  <c r="AB212" i="4"/>
  <c r="AB213" i="4"/>
  <c r="AB214" i="4"/>
  <c r="AB215" i="4"/>
  <c r="AB216" i="4"/>
  <c r="AB217" i="4"/>
  <c r="AB218" i="4"/>
  <c r="AB219" i="4"/>
  <c r="AB220" i="4"/>
  <c r="AB221" i="4"/>
  <c r="AB222" i="4"/>
  <c r="AB223" i="4"/>
  <c r="AB224" i="4"/>
  <c r="AB225" i="4"/>
  <c r="AB226" i="4"/>
  <c r="AB227" i="4"/>
  <c r="AB228" i="4"/>
  <c r="AB229" i="4"/>
  <c r="AB230" i="4"/>
  <c r="AB231" i="4"/>
  <c r="AB232" i="4"/>
  <c r="AB233" i="4"/>
  <c r="AB234" i="4"/>
  <c r="AB235" i="4"/>
  <c r="AB236" i="4"/>
  <c r="AB237" i="4"/>
  <c r="AB238" i="4"/>
  <c r="AB239" i="4"/>
  <c r="AB240" i="4"/>
  <c r="AB241" i="4"/>
  <c r="AB242" i="4"/>
  <c r="AB243" i="4"/>
  <c r="AB244" i="4"/>
  <c r="AB245" i="4"/>
  <c r="AB246" i="4"/>
  <c r="AB247" i="4"/>
  <c r="AB248" i="4"/>
  <c r="AB249" i="4"/>
  <c r="AB250" i="4"/>
  <c r="AB251" i="4"/>
  <c r="AB252" i="4"/>
  <c r="AB253" i="4"/>
  <c r="AB254" i="4"/>
  <c r="AB255" i="4"/>
  <c r="AB256" i="4"/>
  <c r="AB257" i="4"/>
  <c r="AB258" i="4"/>
  <c r="AB259" i="4"/>
  <c r="AB260" i="4"/>
  <c r="AB261" i="4"/>
  <c r="AB262" i="4"/>
  <c r="AB263" i="4"/>
  <c r="AB264" i="4"/>
  <c r="AB265" i="4"/>
  <c r="AB266" i="4"/>
  <c r="AB267" i="4"/>
  <c r="AB268" i="4"/>
  <c r="AB269" i="4"/>
  <c r="AB270" i="4"/>
  <c r="AB271" i="4"/>
  <c r="AB272" i="4"/>
  <c r="AB273" i="4"/>
  <c r="AB274" i="4"/>
  <c r="AB275" i="4"/>
  <c r="AB276" i="4"/>
  <c r="AB277" i="4"/>
  <c r="AB278" i="4"/>
  <c r="AB279" i="4"/>
  <c r="AB280" i="4"/>
  <c r="AB281" i="4"/>
  <c r="AB282"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B312" i="4"/>
  <c r="AB313" i="4"/>
  <c r="AB314" i="4"/>
  <c r="AB315" i="4"/>
  <c r="AB316" i="4"/>
  <c r="AB317" i="4"/>
  <c r="AB318" i="4"/>
  <c r="AB319" i="4"/>
  <c r="AB320" i="4"/>
  <c r="AB321" i="4"/>
  <c r="AB322" i="4"/>
  <c r="AB323" i="4"/>
  <c r="AB324" i="4"/>
  <c r="AB325" i="4"/>
  <c r="AB326" i="4"/>
  <c r="AB327" i="4"/>
  <c r="AB328" i="4"/>
  <c r="AB329" i="4"/>
  <c r="AB330" i="4"/>
  <c r="AB331" i="4"/>
  <c r="AB332" i="4"/>
  <c r="AB333" i="4"/>
  <c r="AB334" i="4"/>
  <c r="AB335" i="4"/>
  <c r="AB336" i="4"/>
  <c r="AB337" i="4"/>
  <c r="AB338" i="4"/>
  <c r="AB339" i="4"/>
  <c r="AB340" i="4"/>
  <c r="AB341" i="4"/>
  <c r="AB342" i="4"/>
  <c r="AB343" i="4"/>
  <c r="AB344" i="4"/>
  <c r="AB345" i="4"/>
  <c r="AB346" i="4"/>
  <c r="AB347" i="4"/>
  <c r="AB348" i="4"/>
  <c r="AB349" i="4"/>
  <c r="AB350" i="4"/>
  <c r="AB351" i="4"/>
  <c r="AB352" i="4"/>
  <c r="AB353" i="4"/>
  <c r="AB354" i="4"/>
  <c r="AB355" i="4"/>
  <c r="AB356" i="4"/>
  <c r="AB357" i="4"/>
  <c r="AB358" i="4"/>
  <c r="AB359" i="4"/>
  <c r="AB360" i="4"/>
  <c r="AB361" i="4"/>
  <c r="AB362" i="4"/>
  <c r="AB363" i="4"/>
  <c r="AB364" i="4"/>
  <c r="AB365" i="4"/>
  <c r="AB366" i="4"/>
  <c r="AB367" i="4"/>
  <c r="AB368" i="4"/>
  <c r="AB369" i="4"/>
  <c r="AB370" i="4"/>
  <c r="AB371" i="4"/>
  <c r="AB372" i="4"/>
  <c r="AB373" i="4"/>
  <c r="AB374" i="4"/>
  <c r="AB375" i="4"/>
  <c r="AB376" i="4"/>
  <c r="AB377" i="4"/>
  <c r="AB378" i="4"/>
  <c r="AB379" i="4"/>
  <c r="AB380" i="4"/>
  <c r="AB381" i="4"/>
  <c r="AB382" i="4"/>
  <c r="AB383" i="4"/>
  <c r="AB384" i="4"/>
  <c r="AB385" i="4"/>
  <c r="AB386" i="4"/>
  <c r="AB387" i="4"/>
  <c r="AB388" i="4"/>
  <c r="AB389" i="4"/>
  <c r="AB390" i="4"/>
  <c r="AB391" i="4"/>
  <c r="AB392" i="4"/>
  <c r="AB393"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0" i="4"/>
  <c r="AB421" i="4"/>
  <c r="AB422" i="4"/>
  <c r="AB423" i="4"/>
  <c r="AB424" i="4"/>
  <c r="AB425" i="4"/>
  <c r="AB426" i="4"/>
  <c r="AB427" i="4"/>
  <c r="AB428" i="4"/>
  <c r="AB429" i="4"/>
  <c r="AB430" i="4"/>
  <c r="AB431" i="4"/>
  <c r="AB432" i="4"/>
  <c r="AB433" i="4"/>
  <c r="AB434" i="4"/>
  <c r="AB435" i="4"/>
  <c r="AB436" i="4"/>
  <c r="AB437" i="4"/>
  <c r="AB438" i="4"/>
  <c r="AB439" i="4"/>
  <c r="AB440" i="4"/>
  <c r="AB441" i="4"/>
  <c r="AB442" i="4"/>
  <c r="AB443" i="4"/>
  <c r="AB444" i="4"/>
  <c r="AB445" i="4"/>
  <c r="AB446" i="4"/>
  <c r="AB447" i="4"/>
  <c r="AB448" i="4"/>
  <c r="AB449" i="4"/>
  <c r="AB450" i="4"/>
  <c r="AB451" i="4"/>
  <c r="AB452" i="4"/>
  <c r="AB453" i="4"/>
  <c r="AB454" i="4"/>
  <c r="AB455" i="4"/>
  <c r="AB456" i="4"/>
  <c r="AB457" i="4"/>
  <c r="AB458" i="4"/>
  <c r="AB459" i="4"/>
  <c r="AB460" i="4"/>
  <c r="AB461" i="4"/>
  <c r="AB462"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1" i="4"/>
  <c r="AB492" i="4"/>
  <c r="AB493" i="4"/>
  <c r="AB494" i="4"/>
  <c r="AB495" i="4"/>
  <c r="AB496" i="4"/>
  <c r="AB497"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7"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4" i="4"/>
  <c r="AB565" i="4"/>
  <c r="AB566" i="4"/>
  <c r="AB567" i="4"/>
  <c r="AB568" i="4"/>
  <c r="AB569" i="4"/>
  <c r="AB570" i="4"/>
  <c r="AB571" i="4"/>
  <c r="AB572" i="4"/>
  <c r="AB573" i="4"/>
  <c r="AB574" i="4"/>
  <c r="AB575" i="4"/>
  <c r="AB576" i="4"/>
  <c r="AB577" i="4"/>
  <c r="AB578" i="4"/>
  <c r="AB579" i="4"/>
  <c r="AB580" i="4"/>
  <c r="AB581" i="4"/>
  <c r="AB582" i="4"/>
  <c r="AB583" i="4"/>
  <c r="AB584" i="4"/>
  <c r="AB585" i="4"/>
  <c r="AB586" i="4"/>
  <c r="AB587" i="4"/>
  <c r="AB588" i="4"/>
  <c r="AB589" i="4"/>
  <c r="AB590" i="4"/>
  <c r="AB591" i="4"/>
  <c r="AB592" i="4"/>
  <c r="AB593" i="4"/>
  <c r="AB594" i="4"/>
  <c r="AB595" i="4"/>
  <c r="AB596" i="4"/>
  <c r="AB597" i="4"/>
  <c r="AB598" i="4"/>
  <c r="AB599" i="4"/>
  <c r="AB600" i="4"/>
  <c r="AB601" i="4"/>
  <c r="AB602" i="4"/>
  <c r="AB603" i="4"/>
  <c r="AB604" i="4"/>
  <c r="AB605" i="4"/>
  <c r="AB606" i="4"/>
  <c r="AB607" i="4"/>
  <c r="AB608" i="4"/>
  <c r="AB609" i="4"/>
  <c r="AB610" i="4"/>
  <c r="AB611" i="4"/>
  <c r="AB612" i="4"/>
  <c r="AB613" i="4"/>
  <c r="AB614" i="4"/>
  <c r="AB615" i="4"/>
  <c r="AB616" i="4"/>
  <c r="AB617" i="4"/>
  <c r="AB618" i="4"/>
  <c r="AB619" i="4"/>
  <c r="AB620" i="4"/>
  <c r="AB621" i="4"/>
  <c r="AB622" i="4"/>
  <c r="AB623" i="4"/>
  <c r="AB624" i="4"/>
  <c r="AB625" i="4"/>
  <c r="AB626" i="4"/>
  <c r="AB627" i="4"/>
  <c r="AB628" i="4"/>
  <c r="AB629" i="4"/>
  <c r="AB630" i="4"/>
  <c r="AB631" i="4"/>
  <c r="AB632" i="4"/>
  <c r="AB633" i="4"/>
  <c r="AB2"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5" i="4"/>
  <c r="AC256" i="4"/>
  <c r="AC257" i="4"/>
  <c r="AC258" i="4"/>
  <c r="AC259" i="4"/>
  <c r="AC260" i="4"/>
  <c r="AC261" i="4"/>
  <c r="AC262"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C503" i="4"/>
  <c r="AC504" i="4"/>
  <c r="AC505" i="4"/>
  <c r="AC506" i="4"/>
  <c r="AC507" i="4"/>
  <c r="AC508" i="4"/>
  <c r="AC509" i="4"/>
  <c r="AC510" i="4"/>
  <c r="AC511" i="4"/>
  <c r="AC512" i="4"/>
  <c r="AC513" i="4"/>
  <c r="AC514" i="4"/>
  <c r="AC515" i="4"/>
  <c r="AC516" i="4"/>
  <c r="AC517" i="4"/>
  <c r="AC518" i="4"/>
  <c r="AC519" i="4"/>
  <c r="AC520" i="4"/>
  <c r="AC521" i="4"/>
  <c r="AC522" i="4"/>
  <c r="AC523" i="4"/>
  <c r="AC524" i="4"/>
  <c r="AC525" i="4"/>
  <c r="AC526" i="4"/>
  <c r="AC527" i="4"/>
  <c r="AC528" i="4"/>
  <c r="AC529" i="4"/>
  <c r="AC530" i="4"/>
  <c r="AC531" i="4"/>
  <c r="AC532" i="4"/>
  <c r="AC533" i="4"/>
  <c r="AC534" i="4"/>
  <c r="AC535" i="4"/>
  <c r="AC536" i="4"/>
  <c r="AC537" i="4"/>
  <c r="AC538" i="4"/>
  <c r="AC539" i="4"/>
  <c r="AC540" i="4"/>
  <c r="AC541" i="4"/>
  <c r="AC542" i="4"/>
  <c r="AC543" i="4"/>
  <c r="AC544" i="4"/>
  <c r="AC545" i="4"/>
  <c r="AC546" i="4"/>
  <c r="AC547" i="4"/>
  <c r="AC548" i="4"/>
  <c r="AC549" i="4"/>
  <c r="AC550" i="4"/>
  <c r="AC551" i="4"/>
  <c r="AC552" i="4"/>
  <c r="AC553" i="4"/>
  <c r="AC554" i="4"/>
  <c r="AC555" i="4"/>
  <c r="AC556" i="4"/>
  <c r="AC557" i="4"/>
  <c r="AC558" i="4"/>
  <c r="AC559" i="4"/>
  <c r="AC560" i="4"/>
  <c r="AC561" i="4"/>
  <c r="AC562" i="4"/>
  <c r="AC563" i="4"/>
  <c r="AC564" i="4"/>
  <c r="AC565" i="4"/>
  <c r="AC566" i="4"/>
  <c r="AC567" i="4"/>
  <c r="AC568" i="4"/>
  <c r="AC569" i="4"/>
  <c r="AC570" i="4"/>
  <c r="AC571" i="4"/>
  <c r="AC572" i="4"/>
  <c r="AC573" i="4"/>
  <c r="AC574" i="4"/>
  <c r="AC575" i="4"/>
  <c r="AC576" i="4"/>
  <c r="AC577" i="4"/>
  <c r="AC578" i="4"/>
  <c r="AC579" i="4"/>
  <c r="AC580" i="4"/>
  <c r="AC581" i="4"/>
  <c r="AC582" i="4"/>
  <c r="AC583" i="4"/>
  <c r="AC584" i="4"/>
  <c r="AC585" i="4"/>
  <c r="AC586" i="4"/>
  <c r="AC587" i="4"/>
  <c r="AC588" i="4"/>
  <c r="AC589" i="4"/>
  <c r="AC590" i="4"/>
  <c r="AC591" i="4"/>
  <c r="AC592" i="4"/>
  <c r="AC593" i="4"/>
  <c r="AC594" i="4"/>
  <c r="AC595" i="4"/>
  <c r="AC596" i="4"/>
  <c r="AC597" i="4"/>
  <c r="AC598" i="4"/>
  <c r="AC599" i="4"/>
  <c r="AC600" i="4"/>
  <c r="AC601" i="4"/>
  <c r="AC602" i="4"/>
  <c r="AC603" i="4"/>
  <c r="AC604" i="4"/>
  <c r="AC605" i="4"/>
  <c r="AC606" i="4"/>
  <c r="AC607" i="4"/>
  <c r="AC608" i="4"/>
  <c r="AC609" i="4"/>
  <c r="AC610" i="4"/>
  <c r="AC611" i="4"/>
  <c r="AC612" i="4"/>
  <c r="AC613" i="4"/>
  <c r="AC614" i="4"/>
  <c r="AC615" i="4"/>
  <c r="AC616" i="4"/>
  <c r="AC617" i="4"/>
  <c r="AC618" i="4"/>
  <c r="AC619" i="4"/>
  <c r="AC620" i="4"/>
  <c r="AC621" i="4"/>
  <c r="AC622" i="4"/>
  <c r="AC623" i="4"/>
  <c r="AC624" i="4"/>
  <c r="AC625" i="4"/>
  <c r="AC626" i="4"/>
  <c r="AC627" i="4"/>
  <c r="AC628" i="4"/>
  <c r="AC629" i="4"/>
  <c r="AC630" i="4"/>
  <c r="AC631" i="4"/>
  <c r="AC632" i="4"/>
  <c r="AC633" i="4"/>
  <c r="AC2" i="4"/>
  <c r="Y3" i="4"/>
  <c r="Z3" i="4" s="1"/>
  <c r="Y4" i="4"/>
  <c r="Z4" i="4" s="1"/>
  <c r="Y5" i="4"/>
  <c r="Z5" i="4" s="1"/>
  <c r="Y6" i="4"/>
  <c r="Z6" i="4" s="1"/>
  <c r="Y7" i="4"/>
  <c r="Z7" i="4" s="1"/>
  <c r="Y8" i="4"/>
  <c r="Z8" i="4" s="1"/>
  <c r="Y9" i="4"/>
  <c r="Z9" i="4" s="1"/>
  <c r="Y10" i="4"/>
  <c r="Z10" i="4" s="1"/>
  <c r="Y11" i="4"/>
  <c r="Z11" i="4" s="1"/>
  <c r="Y12" i="4"/>
  <c r="Z12" i="4" s="1"/>
  <c r="Y13" i="4"/>
  <c r="Z13" i="4" s="1"/>
  <c r="Y14" i="4"/>
  <c r="Z14" i="4" s="1"/>
  <c r="Y15" i="4"/>
  <c r="Z15" i="4" s="1"/>
  <c r="Y16" i="4"/>
  <c r="Z16" i="4" s="1"/>
  <c r="Y17" i="4"/>
  <c r="Z17" i="4" s="1"/>
  <c r="Y18" i="4"/>
  <c r="Z18" i="4" s="1"/>
  <c r="Y19" i="4"/>
  <c r="Z19" i="4" s="1"/>
  <c r="Y20" i="4"/>
  <c r="Z20" i="4" s="1"/>
  <c r="Y21" i="4"/>
  <c r="Z21" i="4" s="1"/>
  <c r="Y22" i="4"/>
  <c r="Z22" i="4" s="1"/>
  <c r="Y23" i="4"/>
  <c r="Z23" i="4" s="1"/>
  <c r="Y24" i="4"/>
  <c r="Z24" i="4" s="1"/>
  <c r="Y25" i="4"/>
  <c r="Z25" i="4" s="1"/>
  <c r="Y26" i="4"/>
  <c r="Z26" i="4" s="1"/>
  <c r="Y27" i="4"/>
  <c r="Z27" i="4" s="1"/>
  <c r="Y28" i="4"/>
  <c r="Z28" i="4" s="1"/>
  <c r="Y29" i="4"/>
  <c r="Z29" i="4" s="1"/>
  <c r="Y30" i="4"/>
  <c r="Z30" i="4" s="1"/>
  <c r="Y31" i="4"/>
  <c r="Z31" i="4" s="1"/>
  <c r="Y32" i="4"/>
  <c r="Z32" i="4" s="1"/>
  <c r="Y33" i="4"/>
  <c r="Z33" i="4" s="1"/>
  <c r="Y34" i="4"/>
  <c r="Z34" i="4" s="1"/>
  <c r="Y35" i="4"/>
  <c r="Z35" i="4" s="1"/>
  <c r="Y36" i="4"/>
  <c r="Z36" i="4" s="1"/>
  <c r="Y37" i="4"/>
  <c r="Z37" i="4" s="1"/>
  <c r="Y38" i="4"/>
  <c r="Z38" i="4" s="1"/>
  <c r="Y39" i="4"/>
  <c r="Z39" i="4" s="1"/>
  <c r="Y40" i="4"/>
  <c r="Z40" i="4" s="1"/>
  <c r="Y41" i="4"/>
  <c r="Z41" i="4" s="1"/>
  <c r="Y42" i="4"/>
  <c r="Z42" i="4" s="1"/>
  <c r="Y43" i="4"/>
  <c r="Z43" i="4" s="1"/>
  <c r="Y44" i="4"/>
  <c r="Z44" i="4" s="1"/>
  <c r="Y45" i="4"/>
  <c r="Z45" i="4" s="1"/>
  <c r="Y46" i="4"/>
  <c r="Z46" i="4" s="1"/>
  <c r="Y47" i="4"/>
  <c r="Z47" i="4" s="1"/>
  <c r="Y48" i="4"/>
  <c r="Z48" i="4" s="1"/>
  <c r="Y49" i="4"/>
  <c r="Z49" i="4" s="1"/>
  <c r="Y50" i="4"/>
  <c r="Z50" i="4" s="1"/>
  <c r="Y51" i="4"/>
  <c r="Z51" i="4" s="1"/>
  <c r="Y52" i="4"/>
  <c r="Z52" i="4" s="1"/>
  <c r="Y53" i="4"/>
  <c r="Z53" i="4" s="1"/>
  <c r="Y54" i="4"/>
  <c r="Z54" i="4" s="1"/>
  <c r="Y55" i="4"/>
  <c r="Z55" i="4" s="1"/>
  <c r="Y56" i="4"/>
  <c r="Z56" i="4" s="1"/>
  <c r="Y57" i="4"/>
  <c r="Z57" i="4" s="1"/>
  <c r="Y58" i="4"/>
  <c r="Z58" i="4" s="1"/>
  <c r="Y59" i="4"/>
  <c r="Z59" i="4" s="1"/>
  <c r="Y60" i="4"/>
  <c r="Z60" i="4" s="1"/>
  <c r="Y61" i="4"/>
  <c r="Z61" i="4" s="1"/>
  <c r="Y62" i="4"/>
  <c r="Z62" i="4" s="1"/>
  <c r="Y63" i="4"/>
  <c r="Z63" i="4" s="1"/>
  <c r="Y64" i="4"/>
  <c r="Z64" i="4" s="1"/>
  <c r="Y65" i="4"/>
  <c r="Z65" i="4" s="1"/>
  <c r="Y66" i="4"/>
  <c r="Z66" i="4" s="1"/>
  <c r="Y67" i="4"/>
  <c r="Z67" i="4" s="1"/>
  <c r="Y68" i="4"/>
  <c r="Z68" i="4" s="1"/>
  <c r="Y69" i="4"/>
  <c r="Z69" i="4" s="1"/>
  <c r="Y70" i="4"/>
  <c r="Z70" i="4" s="1"/>
  <c r="Y71" i="4"/>
  <c r="Z71" i="4" s="1"/>
  <c r="Y72" i="4"/>
  <c r="Z72" i="4" s="1"/>
  <c r="Y73" i="4"/>
  <c r="Z73" i="4" s="1"/>
  <c r="Y74" i="4"/>
  <c r="Z74" i="4" s="1"/>
  <c r="Y75" i="4"/>
  <c r="Z75" i="4" s="1"/>
  <c r="Y76" i="4"/>
  <c r="Z76" i="4" s="1"/>
  <c r="Y77" i="4"/>
  <c r="Z77" i="4" s="1"/>
  <c r="Y78" i="4"/>
  <c r="Z78" i="4" s="1"/>
  <c r="Y79" i="4"/>
  <c r="Z79" i="4" s="1"/>
  <c r="Y80" i="4"/>
  <c r="Z80" i="4" s="1"/>
  <c r="Y81" i="4"/>
  <c r="Z81" i="4" s="1"/>
  <c r="Y82" i="4"/>
  <c r="Z82" i="4" s="1"/>
  <c r="Y83" i="4"/>
  <c r="Z83" i="4" s="1"/>
  <c r="Y84" i="4"/>
  <c r="Z84" i="4" s="1"/>
  <c r="Y85" i="4"/>
  <c r="Z85" i="4" s="1"/>
  <c r="Y86" i="4"/>
  <c r="Z86" i="4" s="1"/>
  <c r="Y87" i="4"/>
  <c r="Z87" i="4" s="1"/>
  <c r="Y88" i="4"/>
  <c r="Z88" i="4" s="1"/>
  <c r="Y89" i="4"/>
  <c r="Z89" i="4" s="1"/>
  <c r="Y90" i="4"/>
  <c r="Z90" i="4" s="1"/>
  <c r="Y91" i="4"/>
  <c r="Z91" i="4" s="1"/>
  <c r="Y92" i="4"/>
  <c r="Z92" i="4" s="1"/>
  <c r="Y93" i="4"/>
  <c r="Z93" i="4" s="1"/>
  <c r="Y94" i="4"/>
  <c r="Z94" i="4" s="1"/>
  <c r="Y95" i="4"/>
  <c r="Z95" i="4" s="1"/>
  <c r="Y96" i="4"/>
  <c r="Z96" i="4" s="1"/>
  <c r="Y97" i="4"/>
  <c r="Z97" i="4" s="1"/>
  <c r="Y98" i="4"/>
  <c r="Z98" i="4" s="1"/>
  <c r="Y99" i="4"/>
  <c r="Z99" i="4" s="1"/>
  <c r="Y100" i="4"/>
  <c r="Z100" i="4" s="1"/>
  <c r="Y101" i="4"/>
  <c r="Z101" i="4" s="1"/>
  <c r="Y102" i="4"/>
  <c r="Z102" i="4" s="1"/>
  <c r="Y103" i="4"/>
  <c r="Z103" i="4" s="1"/>
  <c r="Y104" i="4"/>
  <c r="Z104" i="4" s="1"/>
  <c r="Y105" i="4"/>
  <c r="Z105" i="4" s="1"/>
  <c r="Y106" i="4"/>
  <c r="Z106" i="4" s="1"/>
  <c r="Y107" i="4"/>
  <c r="Z107" i="4" s="1"/>
  <c r="Y108" i="4"/>
  <c r="Z108" i="4" s="1"/>
  <c r="Y109" i="4"/>
  <c r="Z109" i="4" s="1"/>
  <c r="Y110" i="4"/>
  <c r="Z110" i="4" s="1"/>
  <c r="Y111" i="4"/>
  <c r="Z111" i="4" s="1"/>
  <c r="Y112" i="4"/>
  <c r="Z112" i="4" s="1"/>
  <c r="Y113" i="4"/>
  <c r="Z113" i="4" s="1"/>
  <c r="Y114" i="4"/>
  <c r="Z114" i="4" s="1"/>
  <c r="Y115" i="4"/>
  <c r="Z115" i="4" s="1"/>
  <c r="Y116" i="4"/>
  <c r="Z116" i="4" s="1"/>
  <c r="Y117" i="4"/>
  <c r="Z117" i="4" s="1"/>
  <c r="Y118" i="4"/>
  <c r="Z118" i="4" s="1"/>
  <c r="Y119" i="4"/>
  <c r="Z119" i="4" s="1"/>
  <c r="Y120" i="4"/>
  <c r="Z120" i="4" s="1"/>
  <c r="Y121" i="4"/>
  <c r="Z121" i="4" s="1"/>
  <c r="Y122" i="4"/>
  <c r="Z122" i="4" s="1"/>
  <c r="Y123" i="4"/>
  <c r="Z123" i="4" s="1"/>
  <c r="Y124" i="4"/>
  <c r="Z124" i="4" s="1"/>
  <c r="Y125" i="4"/>
  <c r="Z125" i="4" s="1"/>
  <c r="Y126" i="4"/>
  <c r="Z126" i="4" s="1"/>
  <c r="Y127" i="4"/>
  <c r="Z127" i="4" s="1"/>
  <c r="Y128" i="4"/>
  <c r="Z128" i="4" s="1"/>
  <c r="Y129" i="4"/>
  <c r="Z129" i="4" s="1"/>
  <c r="Y130" i="4"/>
  <c r="Z130" i="4" s="1"/>
  <c r="Y131" i="4"/>
  <c r="Z131" i="4" s="1"/>
  <c r="Y132" i="4"/>
  <c r="Z132" i="4" s="1"/>
  <c r="Y133" i="4"/>
  <c r="Z133" i="4" s="1"/>
  <c r="Y134" i="4"/>
  <c r="Z134" i="4" s="1"/>
  <c r="Y135" i="4"/>
  <c r="Z135" i="4" s="1"/>
  <c r="Y136" i="4"/>
  <c r="Z136" i="4" s="1"/>
  <c r="Y137" i="4"/>
  <c r="Z137" i="4" s="1"/>
  <c r="Y138" i="4"/>
  <c r="Z138" i="4" s="1"/>
  <c r="Y139" i="4"/>
  <c r="Z139" i="4" s="1"/>
  <c r="Y140" i="4"/>
  <c r="Z140" i="4" s="1"/>
  <c r="Y141" i="4"/>
  <c r="Z141" i="4" s="1"/>
  <c r="Y142" i="4"/>
  <c r="Z142" i="4" s="1"/>
  <c r="Y143" i="4"/>
  <c r="Z143" i="4" s="1"/>
  <c r="Y144" i="4"/>
  <c r="Z144" i="4" s="1"/>
  <c r="Y145" i="4"/>
  <c r="Z145" i="4" s="1"/>
  <c r="Y146" i="4"/>
  <c r="Z146" i="4" s="1"/>
  <c r="Y147" i="4"/>
  <c r="Z147" i="4" s="1"/>
  <c r="Y148" i="4"/>
  <c r="Z148" i="4" s="1"/>
  <c r="Y149" i="4"/>
  <c r="Z149" i="4" s="1"/>
  <c r="Y150" i="4"/>
  <c r="Z150" i="4" s="1"/>
  <c r="Y151" i="4"/>
  <c r="Z151" i="4" s="1"/>
  <c r="Y152" i="4"/>
  <c r="Z152" i="4" s="1"/>
  <c r="Y153" i="4"/>
  <c r="Z153" i="4" s="1"/>
  <c r="Y154" i="4"/>
  <c r="Z154" i="4" s="1"/>
  <c r="Y155" i="4"/>
  <c r="Z155" i="4" s="1"/>
  <c r="Y156" i="4"/>
  <c r="Z156" i="4" s="1"/>
  <c r="Y157" i="4"/>
  <c r="Z157" i="4" s="1"/>
  <c r="Y158" i="4"/>
  <c r="Z158" i="4" s="1"/>
  <c r="Y159" i="4"/>
  <c r="Z159" i="4" s="1"/>
  <c r="Y160" i="4"/>
  <c r="Z160" i="4" s="1"/>
  <c r="Y161" i="4"/>
  <c r="Z161" i="4" s="1"/>
  <c r="Y162" i="4"/>
  <c r="Z162" i="4" s="1"/>
  <c r="Y163" i="4"/>
  <c r="Z163" i="4" s="1"/>
  <c r="Y164" i="4"/>
  <c r="Z164" i="4" s="1"/>
  <c r="Y165" i="4"/>
  <c r="Z165" i="4" s="1"/>
  <c r="Y166" i="4"/>
  <c r="Z166" i="4" s="1"/>
  <c r="Y167" i="4"/>
  <c r="Z167" i="4" s="1"/>
  <c r="Y168" i="4"/>
  <c r="Z168" i="4" s="1"/>
  <c r="Y169" i="4"/>
  <c r="Z169" i="4" s="1"/>
  <c r="Y170" i="4"/>
  <c r="Z170" i="4" s="1"/>
  <c r="Y171" i="4"/>
  <c r="Z171" i="4" s="1"/>
  <c r="Y172" i="4"/>
  <c r="Z172" i="4" s="1"/>
  <c r="Y173" i="4"/>
  <c r="Z173" i="4" s="1"/>
  <c r="Y174" i="4"/>
  <c r="Z174" i="4" s="1"/>
  <c r="Y175" i="4"/>
  <c r="Z175" i="4" s="1"/>
  <c r="Y176" i="4"/>
  <c r="Z176" i="4" s="1"/>
  <c r="Y177" i="4"/>
  <c r="Z177" i="4" s="1"/>
  <c r="Y178" i="4"/>
  <c r="Z178" i="4" s="1"/>
  <c r="Y179" i="4"/>
  <c r="Z179" i="4" s="1"/>
  <c r="Y180" i="4"/>
  <c r="Z180" i="4" s="1"/>
  <c r="Y181" i="4"/>
  <c r="Z181" i="4" s="1"/>
  <c r="Y182" i="4"/>
  <c r="Z182" i="4" s="1"/>
  <c r="Y183" i="4"/>
  <c r="Z183" i="4" s="1"/>
  <c r="Y184" i="4"/>
  <c r="Z184" i="4" s="1"/>
  <c r="Y185" i="4"/>
  <c r="Z185" i="4" s="1"/>
  <c r="Y186" i="4"/>
  <c r="Z186" i="4" s="1"/>
  <c r="Y187" i="4"/>
  <c r="Z187" i="4" s="1"/>
  <c r="Y188" i="4"/>
  <c r="Z188" i="4" s="1"/>
  <c r="Y189" i="4"/>
  <c r="Z189" i="4" s="1"/>
  <c r="Y190" i="4"/>
  <c r="Z190" i="4" s="1"/>
  <c r="Y191" i="4"/>
  <c r="Z191" i="4" s="1"/>
  <c r="Y192" i="4"/>
  <c r="Z192" i="4" s="1"/>
  <c r="Y193" i="4"/>
  <c r="Z193" i="4" s="1"/>
  <c r="Y194" i="4"/>
  <c r="Z194" i="4" s="1"/>
  <c r="Y195" i="4"/>
  <c r="Z195" i="4" s="1"/>
  <c r="Y196" i="4"/>
  <c r="Z196" i="4" s="1"/>
  <c r="Y197" i="4"/>
  <c r="Z197" i="4" s="1"/>
  <c r="Y198" i="4"/>
  <c r="Z198" i="4" s="1"/>
  <c r="Y199" i="4"/>
  <c r="Z199" i="4" s="1"/>
  <c r="Y200" i="4"/>
  <c r="Z200" i="4" s="1"/>
  <c r="Y201" i="4"/>
  <c r="Z201" i="4" s="1"/>
  <c r="Y202" i="4"/>
  <c r="Z202" i="4" s="1"/>
  <c r="Y203" i="4"/>
  <c r="Z203" i="4" s="1"/>
  <c r="Y204" i="4"/>
  <c r="Z204" i="4" s="1"/>
  <c r="Y205" i="4"/>
  <c r="Z205" i="4" s="1"/>
  <c r="Y206" i="4"/>
  <c r="Z206" i="4" s="1"/>
  <c r="Y207" i="4"/>
  <c r="Z207" i="4" s="1"/>
  <c r="Y208" i="4"/>
  <c r="Z208" i="4" s="1"/>
  <c r="Y209" i="4"/>
  <c r="Z209" i="4" s="1"/>
  <c r="Y210" i="4"/>
  <c r="Z210" i="4" s="1"/>
  <c r="Y211" i="4"/>
  <c r="Z211" i="4" s="1"/>
  <c r="Y212" i="4"/>
  <c r="Z212" i="4" s="1"/>
  <c r="Y213" i="4"/>
  <c r="Z213" i="4" s="1"/>
  <c r="Y214" i="4"/>
  <c r="Z214" i="4" s="1"/>
  <c r="Y215" i="4"/>
  <c r="Z215" i="4" s="1"/>
  <c r="Y216" i="4"/>
  <c r="Z216" i="4" s="1"/>
  <c r="Y217" i="4"/>
  <c r="Z217" i="4" s="1"/>
  <c r="Y218" i="4"/>
  <c r="Z218" i="4" s="1"/>
  <c r="Y219" i="4"/>
  <c r="Z219" i="4" s="1"/>
  <c r="Y220" i="4"/>
  <c r="Z220" i="4" s="1"/>
  <c r="Y221" i="4"/>
  <c r="Z221" i="4" s="1"/>
  <c r="Y222" i="4"/>
  <c r="Z222" i="4" s="1"/>
  <c r="Y223" i="4"/>
  <c r="Z223" i="4" s="1"/>
  <c r="Y224" i="4"/>
  <c r="Z224" i="4" s="1"/>
  <c r="Y225" i="4"/>
  <c r="Z225" i="4" s="1"/>
  <c r="Y226" i="4"/>
  <c r="Z226" i="4" s="1"/>
  <c r="Y227" i="4"/>
  <c r="Z227" i="4" s="1"/>
  <c r="Y228" i="4"/>
  <c r="Z228" i="4" s="1"/>
  <c r="Y229" i="4"/>
  <c r="Z229" i="4" s="1"/>
  <c r="Y230" i="4"/>
  <c r="Z230" i="4" s="1"/>
  <c r="Y231" i="4"/>
  <c r="Z231" i="4" s="1"/>
  <c r="Y232" i="4"/>
  <c r="Z232" i="4" s="1"/>
  <c r="Y233" i="4"/>
  <c r="Z233" i="4" s="1"/>
  <c r="Y234" i="4"/>
  <c r="Z234" i="4" s="1"/>
  <c r="Y235" i="4"/>
  <c r="Z235" i="4" s="1"/>
  <c r="Y236" i="4"/>
  <c r="Z236" i="4" s="1"/>
  <c r="Y237" i="4"/>
  <c r="Z237" i="4" s="1"/>
  <c r="Y238" i="4"/>
  <c r="Z238" i="4" s="1"/>
  <c r="Y239" i="4"/>
  <c r="Z239" i="4" s="1"/>
  <c r="Y240" i="4"/>
  <c r="Z240" i="4" s="1"/>
  <c r="Y241" i="4"/>
  <c r="Z241" i="4" s="1"/>
  <c r="Y242" i="4"/>
  <c r="Z242" i="4" s="1"/>
  <c r="Y243" i="4"/>
  <c r="Z243" i="4" s="1"/>
  <c r="Y244" i="4"/>
  <c r="Z244" i="4" s="1"/>
  <c r="Y245" i="4"/>
  <c r="Z245" i="4" s="1"/>
  <c r="Y246" i="4"/>
  <c r="Z246" i="4" s="1"/>
  <c r="Y247" i="4"/>
  <c r="Z247" i="4" s="1"/>
  <c r="Y248" i="4"/>
  <c r="Z248" i="4" s="1"/>
  <c r="Y249" i="4"/>
  <c r="Z249" i="4" s="1"/>
  <c r="Y250" i="4"/>
  <c r="Z250" i="4" s="1"/>
  <c r="Y251" i="4"/>
  <c r="Z251" i="4" s="1"/>
  <c r="Y252" i="4"/>
  <c r="Z252" i="4" s="1"/>
  <c r="Y253" i="4"/>
  <c r="Z253" i="4" s="1"/>
  <c r="Y254" i="4"/>
  <c r="Z254" i="4" s="1"/>
  <c r="Y255" i="4"/>
  <c r="Z255" i="4" s="1"/>
  <c r="Y256" i="4"/>
  <c r="Z256" i="4" s="1"/>
  <c r="Y257" i="4"/>
  <c r="Z257" i="4" s="1"/>
  <c r="Y258" i="4"/>
  <c r="Z258" i="4" s="1"/>
  <c r="Y259" i="4"/>
  <c r="Z259" i="4" s="1"/>
  <c r="Y260" i="4"/>
  <c r="Z260" i="4" s="1"/>
  <c r="Y261" i="4"/>
  <c r="Z261" i="4" s="1"/>
  <c r="Y262" i="4"/>
  <c r="Z262" i="4" s="1"/>
  <c r="Y263" i="4"/>
  <c r="Z263" i="4" s="1"/>
  <c r="Y264" i="4"/>
  <c r="Z264" i="4" s="1"/>
  <c r="Y265" i="4"/>
  <c r="Z265" i="4" s="1"/>
  <c r="Y266" i="4"/>
  <c r="Z266" i="4" s="1"/>
  <c r="Y267" i="4"/>
  <c r="Z267" i="4" s="1"/>
  <c r="Y268" i="4"/>
  <c r="Z268" i="4" s="1"/>
  <c r="Y269" i="4"/>
  <c r="Z269" i="4" s="1"/>
  <c r="Y270" i="4"/>
  <c r="Z270" i="4" s="1"/>
  <c r="Y271" i="4"/>
  <c r="Z271" i="4" s="1"/>
  <c r="Y272" i="4"/>
  <c r="Z272" i="4" s="1"/>
  <c r="Y273" i="4"/>
  <c r="Z273" i="4" s="1"/>
  <c r="Y274" i="4"/>
  <c r="Z274" i="4" s="1"/>
  <c r="Y275" i="4"/>
  <c r="Z275" i="4" s="1"/>
  <c r="Y276" i="4"/>
  <c r="Z276" i="4" s="1"/>
  <c r="Y277" i="4"/>
  <c r="Z277" i="4" s="1"/>
  <c r="Y278" i="4"/>
  <c r="Z278" i="4" s="1"/>
  <c r="Y279" i="4"/>
  <c r="Z279" i="4" s="1"/>
  <c r="Y280" i="4"/>
  <c r="Z280" i="4" s="1"/>
  <c r="Y281" i="4"/>
  <c r="Z281" i="4" s="1"/>
  <c r="Y282" i="4"/>
  <c r="Z282" i="4" s="1"/>
  <c r="Y283" i="4"/>
  <c r="Z283" i="4" s="1"/>
  <c r="Y284" i="4"/>
  <c r="Z284" i="4" s="1"/>
  <c r="Y285" i="4"/>
  <c r="Z285" i="4" s="1"/>
  <c r="Y286" i="4"/>
  <c r="Z286" i="4" s="1"/>
  <c r="Y287" i="4"/>
  <c r="Z287" i="4" s="1"/>
  <c r="Y288" i="4"/>
  <c r="Z288" i="4" s="1"/>
  <c r="Y289" i="4"/>
  <c r="Z289" i="4" s="1"/>
  <c r="Y290" i="4"/>
  <c r="Z290" i="4" s="1"/>
  <c r="Y291" i="4"/>
  <c r="Z291" i="4" s="1"/>
  <c r="Y292" i="4"/>
  <c r="Z292" i="4" s="1"/>
  <c r="Y293" i="4"/>
  <c r="Z293" i="4" s="1"/>
  <c r="Y294" i="4"/>
  <c r="Z294" i="4" s="1"/>
  <c r="Y295" i="4"/>
  <c r="Z295" i="4" s="1"/>
  <c r="Y296" i="4"/>
  <c r="Z296" i="4" s="1"/>
  <c r="Y297" i="4"/>
  <c r="Z297" i="4" s="1"/>
  <c r="Y298" i="4"/>
  <c r="Z298" i="4" s="1"/>
  <c r="Y299" i="4"/>
  <c r="Z299" i="4" s="1"/>
  <c r="Y300" i="4"/>
  <c r="Z300" i="4" s="1"/>
  <c r="Y301" i="4"/>
  <c r="Z301" i="4" s="1"/>
  <c r="Y302" i="4"/>
  <c r="Z302" i="4" s="1"/>
  <c r="Y303" i="4"/>
  <c r="Z303" i="4" s="1"/>
  <c r="Y304" i="4"/>
  <c r="Z304" i="4" s="1"/>
  <c r="Y305" i="4"/>
  <c r="Z305" i="4" s="1"/>
  <c r="Y306" i="4"/>
  <c r="Z306" i="4" s="1"/>
  <c r="Y307" i="4"/>
  <c r="Z307" i="4" s="1"/>
  <c r="Y308" i="4"/>
  <c r="Z308" i="4" s="1"/>
  <c r="Y309" i="4"/>
  <c r="Z309" i="4" s="1"/>
  <c r="Y310" i="4"/>
  <c r="Z310" i="4" s="1"/>
  <c r="Y311" i="4"/>
  <c r="Z311" i="4" s="1"/>
  <c r="Y312" i="4"/>
  <c r="Z312" i="4" s="1"/>
  <c r="Y313" i="4"/>
  <c r="Z313" i="4" s="1"/>
  <c r="Y314" i="4"/>
  <c r="Z314" i="4" s="1"/>
  <c r="Y315" i="4"/>
  <c r="Z315" i="4" s="1"/>
  <c r="Y316" i="4"/>
  <c r="Z316" i="4" s="1"/>
  <c r="Y317" i="4"/>
  <c r="Z317" i="4" s="1"/>
  <c r="Y318" i="4"/>
  <c r="Z318" i="4" s="1"/>
  <c r="Y319" i="4"/>
  <c r="Z319" i="4" s="1"/>
  <c r="Y320" i="4"/>
  <c r="Z320" i="4" s="1"/>
  <c r="Y321" i="4"/>
  <c r="Z321" i="4" s="1"/>
  <c r="Y322" i="4"/>
  <c r="Z322" i="4" s="1"/>
  <c r="Y323" i="4"/>
  <c r="Z323" i="4" s="1"/>
  <c r="Y324" i="4"/>
  <c r="Z324" i="4" s="1"/>
  <c r="Y325" i="4"/>
  <c r="Z325" i="4" s="1"/>
  <c r="Y326" i="4"/>
  <c r="Z326" i="4" s="1"/>
  <c r="Y327" i="4"/>
  <c r="Z327" i="4" s="1"/>
  <c r="Y328" i="4"/>
  <c r="Z328" i="4" s="1"/>
  <c r="Y329" i="4"/>
  <c r="Z329" i="4" s="1"/>
  <c r="Y330" i="4"/>
  <c r="Z330" i="4" s="1"/>
  <c r="Y331" i="4"/>
  <c r="Z331" i="4" s="1"/>
  <c r="Y332" i="4"/>
  <c r="Z332" i="4" s="1"/>
  <c r="Y333" i="4"/>
  <c r="Z333" i="4" s="1"/>
  <c r="Y334" i="4"/>
  <c r="Z334" i="4" s="1"/>
  <c r="Y335" i="4"/>
  <c r="Z335" i="4" s="1"/>
  <c r="Y336" i="4"/>
  <c r="Z336" i="4" s="1"/>
  <c r="Y337" i="4"/>
  <c r="Z337" i="4" s="1"/>
  <c r="Y338" i="4"/>
  <c r="Z338" i="4" s="1"/>
  <c r="Y339" i="4"/>
  <c r="Z339" i="4" s="1"/>
  <c r="Y340" i="4"/>
  <c r="Z340" i="4" s="1"/>
  <c r="Y341" i="4"/>
  <c r="Z341" i="4" s="1"/>
  <c r="Y342" i="4"/>
  <c r="Z342" i="4" s="1"/>
  <c r="Y343" i="4"/>
  <c r="Z343" i="4" s="1"/>
  <c r="Y344" i="4"/>
  <c r="Z344" i="4" s="1"/>
  <c r="Y345" i="4"/>
  <c r="Z345" i="4" s="1"/>
  <c r="Y346" i="4"/>
  <c r="Z346" i="4" s="1"/>
  <c r="Y347" i="4"/>
  <c r="Z347" i="4" s="1"/>
  <c r="Y348" i="4"/>
  <c r="Z348" i="4" s="1"/>
  <c r="Y349" i="4"/>
  <c r="Z349" i="4" s="1"/>
  <c r="Y350" i="4"/>
  <c r="Z350" i="4" s="1"/>
  <c r="Y351" i="4"/>
  <c r="Z351" i="4" s="1"/>
  <c r="Y352" i="4"/>
  <c r="Z352" i="4" s="1"/>
  <c r="Y353" i="4"/>
  <c r="Z353" i="4" s="1"/>
  <c r="Y354" i="4"/>
  <c r="Z354" i="4" s="1"/>
  <c r="Y355" i="4"/>
  <c r="Z355" i="4" s="1"/>
  <c r="Y356" i="4"/>
  <c r="Z356" i="4" s="1"/>
  <c r="Y357" i="4"/>
  <c r="Z357" i="4" s="1"/>
  <c r="Y358" i="4"/>
  <c r="Z358" i="4" s="1"/>
  <c r="Y359" i="4"/>
  <c r="Z359" i="4" s="1"/>
  <c r="Y360" i="4"/>
  <c r="Z360" i="4" s="1"/>
  <c r="Y361" i="4"/>
  <c r="Z361" i="4" s="1"/>
  <c r="Y362" i="4"/>
  <c r="Z362" i="4" s="1"/>
  <c r="Y363" i="4"/>
  <c r="Z363" i="4" s="1"/>
  <c r="Y364" i="4"/>
  <c r="Z364" i="4" s="1"/>
  <c r="Y365" i="4"/>
  <c r="Z365" i="4" s="1"/>
  <c r="Y366" i="4"/>
  <c r="Z366" i="4" s="1"/>
  <c r="Y367" i="4"/>
  <c r="Z367" i="4" s="1"/>
  <c r="Y368" i="4"/>
  <c r="Z368" i="4" s="1"/>
  <c r="Y369" i="4"/>
  <c r="Z369" i="4" s="1"/>
  <c r="Y370" i="4"/>
  <c r="Z370" i="4" s="1"/>
  <c r="Y371" i="4"/>
  <c r="Z371" i="4" s="1"/>
  <c r="Y372" i="4"/>
  <c r="Z372" i="4" s="1"/>
  <c r="Y373" i="4"/>
  <c r="Z373" i="4" s="1"/>
  <c r="Y374" i="4"/>
  <c r="Z374" i="4" s="1"/>
  <c r="Y375" i="4"/>
  <c r="Z375" i="4" s="1"/>
  <c r="Y376" i="4"/>
  <c r="Z376" i="4" s="1"/>
  <c r="Y377" i="4"/>
  <c r="Z377" i="4" s="1"/>
  <c r="Y378" i="4"/>
  <c r="Z378" i="4" s="1"/>
  <c r="Y379" i="4"/>
  <c r="Z379" i="4" s="1"/>
  <c r="Y380" i="4"/>
  <c r="Z380" i="4" s="1"/>
  <c r="Y381" i="4"/>
  <c r="Z381" i="4" s="1"/>
  <c r="Y382" i="4"/>
  <c r="Z382" i="4" s="1"/>
  <c r="Y383" i="4"/>
  <c r="Z383" i="4" s="1"/>
  <c r="Y384" i="4"/>
  <c r="Z384" i="4" s="1"/>
  <c r="Y385" i="4"/>
  <c r="Z385" i="4" s="1"/>
  <c r="Y386" i="4"/>
  <c r="Z386" i="4" s="1"/>
  <c r="Y387" i="4"/>
  <c r="Z387" i="4" s="1"/>
  <c r="Y388" i="4"/>
  <c r="Z388" i="4" s="1"/>
  <c r="Y389" i="4"/>
  <c r="Z389" i="4" s="1"/>
  <c r="Y390" i="4"/>
  <c r="Z390" i="4" s="1"/>
  <c r="Y391" i="4"/>
  <c r="Z391" i="4" s="1"/>
  <c r="Y392" i="4"/>
  <c r="Z392" i="4" s="1"/>
  <c r="Y393" i="4"/>
  <c r="Z393" i="4" s="1"/>
  <c r="Y394" i="4"/>
  <c r="Z394" i="4" s="1"/>
  <c r="Y395" i="4"/>
  <c r="Z395" i="4" s="1"/>
  <c r="Y396" i="4"/>
  <c r="Z396" i="4" s="1"/>
  <c r="Y397" i="4"/>
  <c r="Z397" i="4" s="1"/>
  <c r="Y398" i="4"/>
  <c r="Z398" i="4" s="1"/>
  <c r="Y399" i="4"/>
  <c r="Z399" i="4" s="1"/>
  <c r="Y400" i="4"/>
  <c r="Z400" i="4" s="1"/>
  <c r="Y401" i="4"/>
  <c r="Z401" i="4" s="1"/>
  <c r="Y402" i="4"/>
  <c r="Z402" i="4" s="1"/>
  <c r="Y403" i="4"/>
  <c r="Z403" i="4" s="1"/>
  <c r="Y404" i="4"/>
  <c r="Z404" i="4" s="1"/>
  <c r="Y405" i="4"/>
  <c r="Z405" i="4" s="1"/>
  <c r="Y406" i="4"/>
  <c r="Z406" i="4" s="1"/>
  <c r="Y407" i="4"/>
  <c r="Z407" i="4" s="1"/>
  <c r="Y408" i="4"/>
  <c r="Z408" i="4" s="1"/>
  <c r="Y409" i="4"/>
  <c r="Z409" i="4" s="1"/>
  <c r="Y410" i="4"/>
  <c r="Z410" i="4" s="1"/>
  <c r="Y411" i="4"/>
  <c r="Z411" i="4" s="1"/>
  <c r="Y412" i="4"/>
  <c r="Z412" i="4" s="1"/>
  <c r="Y413" i="4"/>
  <c r="Z413" i="4" s="1"/>
  <c r="Y414" i="4"/>
  <c r="Z414" i="4" s="1"/>
  <c r="Y415" i="4"/>
  <c r="Z415" i="4" s="1"/>
  <c r="Y416" i="4"/>
  <c r="Z416" i="4" s="1"/>
  <c r="Y417" i="4"/>
  <c r="Z417" i="4" s="1"/>
  <c r="Y418" i="4"/>
  <c r="Z418" i="4" s="1"/>
  <c r="Y419" i="4"/>
  <c r="Z419" i="4" s="1"/>
  <c r="Y420" i="4"/>
  <c r="Z420" i="4" s="1"/>
  <c r="Y421" i="4"/>
  <c r="Z421" i="4" s="1"/>
  <c r="Y422" i="4"/>
  <c r="Z422" i="4" s="1"/>
  <c r="Y423" i="4"/>
  <c r="Z423" i="4" s="1"/>
  <c r="Y424" i="4"/>
  <c r="Z424" i="4" s="1"/>
  <c r="Y425" i="4"/>
  <c r="Z425" i="4" s="1"/>
  <c r="Y426" i="4"/>
  <c r="Z426" i="4" s="1"/>
  <c r="Y427" i="4"/>
  <c r="Z427" i="4" s="1"/>
  <c r="Y428" i="4"/>
  <c r="Z428" i="4" s="1"/>
  <c r="Y429" i="4"/>
  <c r="Z429" i="4" s="1"/>
  <c r="Y430" i="4"/>
  <c r="Z430" i="4" s="1"/>
  <c r="Y431" i="4"/>
  <c r="Z431" i="4" s="1"/>
  <c r="Y432" i="4"/>
  <c r="Z432" i="4" s="1"/>
  <c r="Y433" i="4"/>
  <c r="Z433" i="4" s="1"/>
  <c r="Y434" i="4"/>
  <c r="Z434" i="4" s="1"/>
  <c r="Y435" i="4"/>
  <c r="Z435" i="4" s="1"/>
  <c r="Y436" i="4"/>
  <c r="Z436" i="4" s="1"/>
  <c r="Y437" i="4"/>
  <c r="Z437" i="4" s="1"/>
  <c r="Y438" i="4"/>
  <c r="Z438" i="4" s="1"/>
  <c r="Y439" i="4"/>
  <c r="Z439" i="4" s="1"/>
  <c r="Y440" i="4"/>
  <c r="Z440" i="4" s="1"/>
  <c r="Y441" i="4"/>
  <c r="Z441" i="4" s="1"/>
  <c r="Y442" i="4"/>
  <c r="Z442" i="4" s="1"/>
  <c r="Y443" i="4"/>
  <c r="Z443" i="4" s="1"/>
  <c r="Y444" i="4"/>
  <c r="Z444" i="4" s="1"/>
  <c r="Y445" i="4"/>
  <c r="Z445" i="4" s="1"/>
  <c r="Y446" i="4"/>
  <c r="Z446" i="4" s="1"/>
  <c r="Y447" i="4"/>
  <c r="Z447" i="4" s="1"/>
  <c r="Y448" i="4"/>
  <c r="Z448" i="4" s="1"/>
  <c r="Y449" i="4"/>
  <c r="Z449" i="4" s="1"/>
  <c r="Y450" i="4"/>
  <c r="Z450" i="4" s="1"/>
  <c r="Y451" i="4"/>
  <c r="Z451" i="4" s="1"/>
  <c r="Y452" i="4"/>
  <c r="Z452" i="4" s="1"/>
  <c r="Y453" i="4"/>
  <c r="Z453" i="4" s="1"/>
  <c r="Y454" i="4"/>
  <c r="Z454" i="4" s="1"/>
  <c r="Y455" i="4"/>
  <c r="Z455" i="4" s="1"/>
  <c r="Y456" i="4"/>
  <c r="Z456" i="4" s="1"/>
  <c r="Y457" i="4"/>
  <c r="Z457" i="4" s="1"/>
  <c r="Y458" i="4"/>
  <c r="Z458" i="4" s="1"/>
  <c r="Y459" i="4"/>
  <c r="Z459" i="4" s="1"/>
  <c r="Y460" i="4"/>
  <c r="Z460" i="4" s="1"/>
  <c r="Y461" i="4"/>
  <c r="Z461" i="4" s="1"/>
  <c r="Y462" i="4"/>
  <c r="Z462" i="4" s="1"/>
  <c r="Y463" i="4"/>
  <c r="Z463" i="4" s="1"/>
  <c r="Y464" i="4"/>
  <c r="Z464" i="4" s="1"/>
  <c r="Y465" i="4"/>
  <c r="Z465" i="4" s="1"/>
  <c r="Y466" i="4"/>
  <c r="Z466" i="4" s="1"/>
  <c r="Y467" i="4"/>
  <c r="Z467" i="4" s="1"/>
  <c r="Y468" i="4"/>
  <c r="Z468" i="4" s="1"/>
  <c r="Y469" i="4"/>
  <c r="Z469" i="4" s="1"/>
  <c r="Y470" i="4"/>
  <c r="Z470" i="4" s="1"/>
  <c r="Y471" i="4"/>
  <c r="Z471" i="4" s="1"/>
  <c r="Y472" i="4"/>
  <c r="Z472" i="4" s="1"/>
  <c r="Y473" i="4"/>
  <c r="Z473" i="4" s="1"/>
  <c r="Y474" i="4"/>
  <c r="Z474" i="4" s="1"/>
  <c r="Y475" i="4"/>
  <c r="Z475" i="4" s="1"/>
  <c r="Y476" i="4"/>
  <c r="Z476" i="4" s="1"/>
  <c r="Y477" i="4"/>
  <c r="Z477" i="4" s="1"/>
  <c r="Y478" i="4"/>
  <c r="Z478" i="4" s="1"/>
  <c r="Y479" i="4"/>
  <c r="Z479" i="4" s="1"/>
  <c r="Y480" i="4"/>
  <c r="Z480" i="4" s="1"/>
  <c r="Y481" i="4"/>
  <c r="Z481" i="4" s="1"/>
  <c r="Y482" i="4"/>
  <c r="Z482" i="4" s="1"/>
  <c r="Y483" i="4"/>
  <c r="Z483" i="4" s="1"/>
  <c r="Y484" i="4"/>
  <c r="Z484" i="4" s="1"/>
  <c r="Y485" i="4"/>
  <c r="Z485" i="4" s="1"/>
  <c r="Y486" i="4"/>
  <c r="Z486" i="4" s="1"/>
  <c r="Y487" i="4"/>
  <c r="Z487" i="4" s="1"/>
  <c r="Y488" i="4"/>
  <c r="Z488" i="4" s="1"/>
  <c r="Y489" i="4"/>
  <c r="Z489" i="4" s="1"/>
  <c r="Y490" i="4"/>
  <c r="Z490" i="4" s="1"/>
  <c r="Y491" i="4"/>
  <c r="Z491" i="4" s="1"/>
  <c r="Y492" i="4"/>
  <c r="Z492" i="4" s="1"/>
  <c r="Y493" i="4"/>
  <c r="Z493" i="4" s="1"/>
  <c r="Y494" i="4"/>
  <c r="Z494" i="4" s="1"/>
  <c r="Y495" i="4"/>
  <c r="Z495" i="4" s="1"/>
  <c r="Y496" i="4"/>
  <c r="Z496" i="4" s="1"/>
  <c r="Y497" i="4"/>
  <c r="Z497" i="4" s="1"/>
  <c r="Y498" i="4"/>
  <c r="Z498" i="4" s="1"/>
  <c r="Y499" i="4"/>
  <c r="Z499" i="4" s="1"/>
  <c r="Y500" i="4"/>
  <c r="Z500" i="4" s="1"/>
  <c r="Y501" i="4"/>
  <c r="Z501" i="4" s="1"/>
  <c r="Y502" i="4"/>
  <c r="Z502" i="4" s="1"/>
  <c r="Y503" i="4"/>
  <c r="Z503" i="4" s="1"/>
  <c r="Y504" i="4"/>
  <c r="Z504" i="4" s="1"/>
  <c r="Y505" i="4"/>
  <c r="Z505" i="4" s="1"/>
  <c r="Y506" i="4"/>
  <c r="Z506" i="4" s="1"/>
  <c r="Y507" i="4"/>
  <c r="Z507" i="4" s="1"/>
  <c r="Y508" i="4"/>
  <c r="Z508" i="4" s="1"/>
  <c r="Y509" i="4"/>
  <c r="Z509" i="4" s="1"/>
  <c r="Y510" i="4"/>
  <c r="Z510" i="4" s="1"/>
  <c r="Y511" i="4"/>
  <c r="Z511" i="4" s="1"/>
  <c r="Y512" i="4"/>
  <c r="Z512" i="4" s="1"/>
  <c r="Y513" i="4"/>
  <c r="Z513" i="4" s="1"/>
  <c r="Y514" i="4"/>
  <c r="Z514" i="4" s="1"/>
  <c r="Y515" i="4"/>
  <c r="Z515" i="4" s="1"/>
  <c r="Y516" i="4"/>
  <c r="Z516" i="4" s="1"/>
  <c r="Y517" i="4"/>
  <c r="Z517" i="4" s="1"/>
  <c r="Y518" i="4"/>
  <c r="Z518" i="4" s="1"/>
  <c r="Y519" i="4"/>
  <c r="Z519" i="4" s="1"/>
  <c r="Y520" i="4"/>
  <c r="Z520" i="4" s="1"/>
  <c r="Y521" i="4"/>
  <c r="Z521" i="4" s="1"/>
  <c r="Y522" i="4"/>
  <c r="Z522" i="4" s="1"/>
  <c r="Y523" i="4"/>
  <c r="Z523" i="4" s="1"/>
  <c r="Y524" i="4"/>
  <c r="Z524" i="4" s="1"/>
  <c r="Y525" i="4"/>
  <c r="Z525" i="4" s="1"/>
  <c r="Y526" i="4"/>
  <c r="Z526" i="4" s="1"/>
  <c r="Y527" i="4"/>
  <c r="Z527" i="4" s="1"/>
  <c r="Y528" i="4"/>
  <c r="Z528" i="4" s="1"/>
  <c r="Y529" i="4"/>
  <c r="Z529" i="4" s="1"/>
  <c r="Y530" i="4"/>
  <c r="Z530" i="4" s="1"/>
  <c r="Y531" i="4"/>
  <c r="Z531" i="4" s="1"/>
  <c r="Y532" i="4"/>
  <c r="Z532" i="4" s="1"/>
  <c r="Y533" i="4"/>
  <c r="Z533" i="4" s="1"/>
  <c r="Y534" i="4"/>
  <c r="Z534" i="4" s="1"/>
  <c r="Y535" i="4"/>
  <c r="Z535" i="4" s="1"/>
  <c r="Y536" i="4"/>
  <c r="Z536" i="4" s="1"/>
  <c r="Y537" i="4"/>
  <c r="Z537" i="4" s="1"/>
  <c r="Y538" i="4"/>
  <c r="Z538" i="4" s="1"/>
  <c r="Y539" i="4"/>
  <c r="Z539" i="4" s="1"/>
  <c r="Y540" i="4"/>
  <c r="Z540" i="4" s="1"/>
  <c r="Y541" i="4"/>
  <c r="Z541" i="4" s="1"/>
  <c r="Y542" i="4"/>
  <c r="Z542" i="4" s="1"/>
  <c r="Y543" i="4"/>
  <c r="Z543" i="4" s="1"/>
  <c r="Y544" i="4"/>
  <c r="Z544" i="4" s="1"/>
  <c r="Y545" i="4"/>
  <c r="Z545" i="4" s="1"/>
  <c r="Y546" i="4"/>
  <c r="Z546" i="4" s="1"/>
  <c r="Y547" i="4"/>
  <c r="Z547" i="4" s="1"/>
  <c r="Y548" i="4"/>
  <c r="Z548" i="4" s="1"/>
  <c r="Y549" i="4"/>
  <c r="Z549" i="4" s="1"/>
  <c r="Y550" i="4"/>
  <c r="Z550" i="4" s="1"/>
  <c r="Y551" i="4"/>
  <c r="Z551" i="4" s="1"/>
  <c r="Y552" i="4"/>
  <c r="Z552" i="4" s="1"/>
  <c r="Y553" i="4"/>
  <c r="Z553" i="4" s="1"/>
  <c r="Y554" i="4"/>
  <c r="Z554" i="4" s="1"/>
  <c r="Y555" i="4"/>
  <c r="Z555" i="4" s="1"/>
  <c r="Y556" i="4"/>
  <c r="Z556" i="4" s="1"/>
  <c r="Y557" i="4"/>
  <c r="Z557" i="4" s="1"/>
  <c r="Y558" i="4"/>
  <c r="Z558" i="4" s="1"/>
  <c r="Y559" i="4"/>
  <c r="Z559" i="4" s="1"/>
  <c r="Y560" i="4"/>
  <c r="Z560" i="4" s="1"/>
  <c r="Y561" i="4"/>
  <c r="Z561" i="4" s="1"/>
  <c r="Y562" i="4"/>
  <c r="Z562" i="4" s="1"/>
  <c r="Y563" i="4"/>
  <c r="Z563" i="4" s="1"/>
  <c r="Y564" i="4"/>
  <c r="Z564" i="4" s="1"/>
  <c r="Y565" i="4"/>
  <c r="Z565" i="4" s="1"/>
  <c r="Y566" i="4"/>
  <c r="Z566" i="4" s="1"/>
  <c r="Y567" i="4"/>
  <c r="Z567" i="4" s="1"/>
  <c r="Y568" i="4"/>
  <c r="Z568" i="4" s="1"/>
  <c r="Y569" i="4"/>
  <c r="Z569" i="4" s="1"/>
  <c r="Y570" i="4"/>
  <c r="Z570" i="4" s="1"/>
  <c r="Y571" i="4"/>
  <c r="Z571" i="4" s="1"/>
  <c r="Y572" i="4"/>
  <c r="Z572" i="4" s="1"/>
  <c r="Y573" i="4"/>
  <c r="Z573" i="4" s="1"/>
  <c r="Y574" i="4"/>
  <c r="Z574" i="4" s="1"/>
  <c r="Y575" i="4"/>
  <c r="Z575" i="4" s="1"/>
  <c r="Y576" i="4"/>
  <c r="Z576" i="4" s="1"/>
  <c r="Y577" i="4"/>
  <c r="Z577" i="4" s="1"/>
  <c r="Y578" i="4"/>
  <c r="Z578" i="4" s="1"/>
  <c r="Y579" i="4"/>
  <c r="Z579" i="4" s="1"/>
  <c r="Y580" i="4"/>
  <c r="Z580" i="4" s="1"/>
  <c r="Y581" i="4"/>
  <c r="Z581" i="4" s="1"/>
  <c r="Y582" i="4"/>
  <c r="Z582" i="4" s="1"/>
  <c r="Y583" i="4"/>
  <c r="Z583" i="4" s="1"/>
  <c r="Y584" i="4"/>
  <c r="Z584" i="4" s="1"/>
  <c r="Y585" i="4"/>
  <c r="Z585" i="4" s="1"/>
  <c r="Y586" i="4"/>
  <c r="Z586" i="4" s="1"/>
  <c r="Y587" i="4"/>
  <c r="Z587" i="4" s="1"/>
  <c r="Y588" i="4"/>
  <c r="Z588" i="4" s="1"/>
  <c r="Y589" i="4"/>
  <c r="Z589" i="4" s="1"/>
  <c r="Y590" i="4"/>
  <c r="Z590" i="4" s="1"/>
  <c r="Y591" i="4"/>
  <c r="Z591" i="4" s="1"/>
  <c r="Y592" i="4"/>
  <c r="Z592" i="4" s="1"/>
  <c r="Y593" i="4"/>
  <c r="Z593" i="4" s="1"/>
  <c r="Y594" i="4"/>
  <c r="Z594" i="4" s="1"/>
  <c r="Y595" i="4"/>
  <c r="Z595" i="4" s="1"/>
  <c r="Y596" i="4"/>
  <c r="Z596" i="4" s="1"/>
  <c r="Y597" i="4"/>
  <c r="Z597" i="4" s="1"/>
  <c r="Y598" i="4"/>
  <c r="Z598" i="4" s="1"/>
  <c r="Y599" i="4"/>
  <c r="Z599" i="4" s="1"/>
  <c r="Y600" i="4"/>
  <c r="Z600" i="4" s="1"/>
  <c r="Y601" i="4"/>
  <c r="Z601" i="4" s="1"/>
  <c r="Y602" i="4"/>
  <c r="Z602" i="4" s="1"/>
  <c r="Y603" i="4"/>
  <c r="Z603" i="4" s="1"/>
  <c r="Y604" i="4"/>
  <c r="Z604" i="4" s="1"/>
  <c r="Y605" i="4"/>
  <c r="Z605" i="4" s="1"/>
  <c r="Y606" i="4"/>
  <c r="Z606" i="4" s="1"/>
  <c r="Y607" i="4"/>
  <c r="Z607" i="4" s="1"/>
  <c r="Y608" i="4"/>
  <c r="Z608" i="4" s="1"/>
  <c r="Y609" i="4"/>
  <c r="Z609" i="4" s="1"/>
  <c r="Y610" i="4"/>
  <c r="Z610" i="4" s="1"/>
  <c r="Y611" i="4"/>
  <c r="Z611" i="4" s="1"/>
  <c r="Y612" i="4"/>
  <c r="Z612" i="4" s="1"/>
  <c r="Y613" i="4"/>
  <c r="Z613" i="4" s="1"/>
  <c r="Y614" i="4"/>
  <c r="Z614" i="4" s="1"/>
  <c r="Y615" i="4"/>
  <c r="Z615" i="4" s="1"/>
  <c r="Y616" i="4"/>
  <c r="Z616" i="4" s="1"/>
  <c r="Y617" i="4"/>
  <c r="Z617" i="4" s="1"/>
  <c r="Y618" i="4"/>
  <c r="Z618" i="4" s="1"/>
  <c r="Y619" i="4"/>
  <c r="Z619" i="4" s="1"/>
  <c r="Y620" i="4"/>
  <c r="Z620" i="4" s="1"/>
  <c r="Y621" i="4"/>
  <c r="Z621" i="4" s="1"/>
  <c r="Y622" i="4"/>
  <c r="Z622" i="4" s="1"/>
  <c r="Y623" i="4"/>
  <c r="Z623" i="4" s="1"/>
  <c r="Y624" i="4"/>
  <c r="Z624" i="4" s="1"/>
  <c r="Y625" i="4"/>
  <c r="Z625" i="4" s="1"/>
  <c r="Y626" i="4"/>
  <c r="Z626" i="4" s="1"/>
  <c r="Y627" i="4"/>
  <c r="Z627" i="4" s="1"/>
  <c r="Y628" i="4"/>
  <c r="Z628" i="4" s="1"/>
  <c r="Y629" i="4"/>
  <c r="Z629" i="4" s="1"/>
  <c r="Y630" i="4"/>
  <c r="Z630" i="4" s="1"/>
  <c r="Y631" i="4"/>
  <c r="Z631" i="4" s="1"/>
  <c r="Y632" i="4"/>
  <c r="Z632" i="4" s="1"/>
  <c r="Y633" i="4"/>
  <c r="Z633" i="4" s="1"/>
  <c r="Y2" i="4"/>
  <c r="Z2" i="4" s="1"/>
  <c r="D5" i="8"/>
  <c r="K609" i="4" l="1"/>
  <c r="L609" i="4" s="1"/>
  <c r="K577" i="4"/>
  <c r="L577" i="4" s="1"/>
  <c r="K537" i="4"/>
  <c r="L537" i="4" s="1"/>
  <c r="K497" i="4"/>
  <c r="L497" i="4" s="1"/>
  <c r="K457" i="4"/>
  <c r="L457" i="4" s="1"/>
  <c r="K425" i="4"/>
  <c r="L425" i="4" s="1"/>
  <c r="K385" i="4"/>
  <c r="L385" i="4" s="1"/>
  <c r="K353" i="4"/>
  <c r="L353" i="4" s="1"/>
  <c r="K313" i="4"/>
  <c r="L313" i="4" s="1"/>
  <c r="K273" i="4"/>
  <c r="L273" i="4" s="1"/>
  <c r="K241" i="4"/>
  <c r="L241" i="4" s="1"/>
  <c r="K201" i="4"/>
  <c r="L201" i="4" s="1"/>
  <c r="K169" i="4"/>
  <c r="L169" i="4" s="1"/>
  <c r="K137" i="4"/>
  <c r="L137" i="4" s="1"/>
  <c r="K97" i="4"/>
  <c r="L97" i="4" s="1"/>
  <c r="K57" i="4"/>
  <c r="L57" i="4" s="1"/>
  <c r="K9" i="4"/>
  <c r="L9" i="4" s="1"/>
  <c r="K632" i="4"/>
  <c r="L632" i="4" s="1"/>
  <c r="K624" i="4"/>
  <c r="L624" i="4" s="1"/>
  <c r="K616" i="4"/>
  <c r="L616" i="4" s="1"/>
  <c r="K608" i="4"/>
  <c r="L608" i="4" s="1"/>
  <c r="K600" i="4"/>
  <c r="L600" i="4" s="1"/>
  <c r="K592" i="4"/>
  <c r="L592" i="4" s="1"/>
  <c r="K584" i="4"/>
  <c r="L584" i="4" s="1"/>
  <c r="K576" i="4"/>
  <c r="L576" i="4" s="1"/>
  <c r="K568" i="4"/>
  <c r="L568" i="4" s="1"/>
  <c r="K560" i="4"/>
  <c r="L560" i="4" s="1"/>
  <c r="K552" i="4"/>
  <c r="L552" i="4" s="1"/>
  <c r="K544" i="4"/>
  <c r="L544" i="4" s="1"/>
  <c r="K536" i="4"/>
  <c r="L536" i="4" s="1"/>
  <c r="K528" i="4"/>
  <c r="L528" i="4" s="1"/>
  <c r="K520" i="4"/>
  <c r="L520" i="4" s="1"/>
  <c r="K512" i="4"/>
  <c r="L512" i="4" s="1"/>
  <c r="K504" i="4"/>
  <c r="L504" i="4" s="1"/>
  <c r="K496" i="4"/>
  <c r="L496" i="4" s="1"/>
  <c r="K488" i="4"/>
  <c r="L488" i="4" s="1"/>
  <c r="K480" i="4"/>
  <c r="L480" i="4" s="1"/>
  <c r="K472" i="4"/>
  <c r="L472" i="4" s="1"/>
  <c r="K464" i="4"/>
  <c r="L464" i="4" s="1"/>
  <c r="K456" i="4"/>
  <c r="L456" i="4" s="1"/>
  <c r="K448" i="4"/>
  <c r="L448" i="4" s="1"/>
  <c r="K440" i="4"/>
  <c r="L440" i="4" s="1"/>
  <c r="K432" i="4"/>
  <c r="L432" i="4" s="1"/>
  <c r="K424" i="4"/>
  <c r="L424" i="4" s="1"/>
  <c r="K416" i="4"/>
  <c r="L416" i="4" s="1"/>
  <c r="K408" i="4"/>
  <c r="L408" i="4" s="1"/>
  <c r="K400" i="4"/>
  <c r="L400" i="4" s="1"/>
  <c r="K392" i="4"/>
  <c r="L392" i="4" s="1"/>
  <c r="K384" i="4"/>
  <c r="L384" i="4" s="1"/>
  <c r="K376" i="4"/>
  <c r="L376" i="4" s="1"/>
  <c r="K368" i="4"/>
  <c r="L368" i="4" s="1"/>
  <c r="K360" i="4"/>
  <c r="L360" i="4" s="1"/>
  <c r="K352" i="4"/>
  <c r="L352" i="4" s="1"/>
  <c r="K344" i="4"/>
  <c r="L344" i="4" s="1"/>
  <c r="K336" i="4"/>
  <c r="L336" i="4" s="1"/>
  <c r="K328" i="4"/>
  <c r="L328" i="4" s="1"/>
  <c r="K320" i="4"/>
  <c r="L320" i="4" s="1"/>
  <c r="K312" i="4"/>
  <c r="L312" i="4" s="1"/>
  <c r="K304" i="4"/>
  <c r="L304" i="4" s="1"/>
  <c r="K296" i="4"/>
  <c r="L296" i="4" s="1"/>
  <c r="K288" i="4"/>
  <c r="L288" i="4" s="1"/>
  <c r="K280" i="4"/>
  <c r="L280" i="4" s="1"/>
  <c r="K272" i="4"/>
  <c r="L272" i="4" s="1"/>
  <c r="K264" i="4"/>
  <c r="L264" i="4" s="1"/>
  <c r="K256" i="4"/>
  <c r="L256" i="4" s="1"/>
  <c r="K248" i="4"/>
  <c r="L248" i="4" s="1"/>
  <c r="K240" i="4"/>
  <c r="L240" i="4" s="1"/>
  <c r="K232" i="4"/>
  <c r="L232" i="4" s="1"/>
  <c r="K224" i="4"/>
  <c r="L224" i="4" s="1"/>
  <c r="K216" i="4"/>
  <c r="L216" i="4" s="1"/>
  <c r="K208" i="4"/>
  <c r="L208" i="4" s="1"/>
  <c r="K200" i="4"/>
  <c r="L200" i="4" s="1"/>
  <c r="K192" i="4"/>
  <c r="L192" i="4" s="1"/>
  <c r="K184" i="4"/>
  <c r="L184" i="4" s="1"/>
  <c r="K176" i="4"/>
  <c r="L176" i="4" s="1"/>
  <c r="K168" i="4"/>
  <c r="L168" i="4" s="1"/>
  <c r="K160" i="4"/>
  <c r="L160" i="4" s="1"/>
  <c r="K152" i="4"/>
  <c r="L152" i="4" s="1"/>
  <c r="K144" i="4"/>
  <c r="L144" i="4" s="1"/>
  <c r="K136" i="4"/>
  <c r="L136" i="4" s="1"/>
  <c r="K128" i="4"/>
  <c r="L128" i="4" s="1"/>
  <c r="K120" i="4"/>
  <c r="L120" i="4" s="1"/>
  <c r="K112" i="4"/>
  <c r="L112" i="4" s="1"/>
  <c r="K104" i="4"/>
  <c r="L104" i="4" s="1"/>
  <c r="K96" i="4"/>
  <c r="L96" i="4" s="1"/>
  <c r="K88" i="4"/>
  <c r="L88" i="4" s="1"/>
  <c r="K80" i="4"/>
  <c r="L80" i="4" s="1"/>
  <c r="K72" i="4"/>
  <c r="L72" i="4" s="1"/>
  <c r="K64" i="4"/>
  <c r="L64" i="4" s="1"/>
  <c r="K56" i="4"/>
  <c r="L56" i="4" s="1"/>
  <c r="K48" i="4"/>
  <c r="L48" i="4" s="1"/>
  <c r="K40" i="4"/>
  <c r="L40" i="4" s="1"/>
  <c r="K32" i="4"/>
  <c r="L32" i="4" s="1"/>
  <c r="K24" i="4"/>
  <c r="L24" i="4" s="1"/>
  <c r="K16" i="4"/>
  <c r="L16" i="4" s="1"/>
  <c r="K8" i="4"/>
  <c r="L8" i="4" s="1"/>
  <c r="K631" i="4"/>
  <c r="L631" i="4" s="1"/>
  <c r="K623" i="4"/>
  <c r="L623" i="4" s="1"/>
  <c r="K615" i="4"/>
  <c r="L615" i="4" s="1"/>
  <c r="K607" i="4"/>
  <c r="L607" i="4" s="1"/>
  <c r="K599" i="4"/>
  <c r="L599" i="4" s="1"/>
  <c r="K591" i="4"/>
  <c r="L591" i="4" s="1"/>
  <c r="K583" i="4"/>
  <c r="L583" i="4" s="1"/>
  <c r="K575" i="4"/>
  <c r="L575" i="4" s="1"/>
  <c r="K567" i="4"/>
  <c r="L567" i="4" s="1"/>
  <c r="K559" i="4"/>
  <c r="L559" i="4" s="1"/>
  <c r="K551" i="4"/>
  <c r="L551" i="4" s="1"/>
  <c r="K543" i="4"/>
  <c r="L543" i="4" s="1"/>
  <c r="K535" i="4"/>
  <c r="L535" i="4" s="1"/>
  <c r="K527" i="4"/>
  <c r="L527" i="4" s="1"/>
  <c r="K519" i="4"/>
  <c r="L519" i="4" s="1"/>
  <c r="K511" i="4"/>
  <c r="L511" i="4" s="1"/>
  <c r="K503" i="4"/>
  <c r="L503" i="4" s="1"/>
  <c r="K495" i="4"/>
  <c r="L495" i="4" s="1"/>
  <c r="K487" i="4"/>
  <c r="L487" i="4" s="1"/>
  <c r="K479" i="4"/>
  <c r="L479" i="4" s="1"/>
  <c r="K471" i="4"/>
  <c r="L471" i="4" s="1"/>
  <c r="K463" i="4"/>
  <c r="L463" i="4" s="1"/>
  <c r="K455" i="4"/>
  <c r="L455" i="4" s="1"/>
  <c r="K447" i="4"/>
  <c r="L447" i="4" s="1"/>
  <c r="K439" i="4"/>
  <c r="L439" i="4" s="1"/>
  <c r="K431" i="4"/>
  <c r="L431" i="4" s="1"/>
  <c r="K423" i="4"/>
  <c r="L423" i="4" s="1"/>
  <c r="K415" i="4"/>
  <c r="L415" i="4" s="1"/>
  <c r="K407" i="4"/>
  <c r="L407" i="4" s="1"/>
  <c r="K399" i="4"/>
  <c r="L399" i="4" s="1"/>
  <c r="K391" i="4"/>
  <c r="L391" i="4" s="1"/>
  <c r="K383" i="4"/>
  <c r="L383" i="4" s="1"/>
  <c r="K375" i="4"/>
  <c r="L375" i="4" s="1"/>
  <c r="K367" i="4"/>
  <c r="L367" i="4" s="1"/>
  <c r="K359" i="4"/>
  <c r="L359" i="4" s="1"/>
  <c r="K351" i="4"/>
  <c r="L351" i="4" s="1"/>
  <c r="K343" i="4"/>
  <c r="L343" i="4" s="1"/>
  <c r="K335" i="4"/>
  <c r="L335" i="4" s="1"/>
  <c r="K327" i="4"/>
  <c r="L327" i="4" s="1"/>
  <c r="K319" i="4"/>
  <c r="L319" i="4" s="1"/>
  <c r="K311" i="4"/>
  <c r="L311" i="4" s="1"/>
  <c r="K303" i="4"/>
  <c r="L303" i="4" s="1"/>
  <c r="K295" i="4"/>
  <c r="L295" i="4" s="1"/>
  <c r="K287" i="4"/>
  <c r="L287" i="4" s="1"/>
  <c r="K279" i="4"/>
  <c r="L279" i="4" s="1"/>
  <c r="K271" i="4"/>
  <c r="L271" i="4" s="1"/>
  <c r="K263" i="4"/>
  <c r="L263" i="4" s="1"/>
  <c r="K255" i="4"/>
  <c r="L255" i="4" s="1"/>
  <c r="K247" i="4"/>
  <c r="L247" i="4" s="1"/>
  <c r="K239" i="4"/>
  <c r="L239" i="4" s="1"/>
  <c r="K231" i="4"/>
  <c r="L231" i="4" s="1"/>
  <c r="K223" i="4"/>
  <c r="L223" i="4" s="1"/>
  <c r="K215" i="4"/>
  <c r="L215" i="4" s="1"/>
  <c r="K207" i="4"/>
  <c r="L207" i="4" s="1"/>
  <c r="K199" i="4"/>
  <c r="L199" i="4" s="1"/>
  <c r="K191" i="4"/>
  <c r="L191" i="4" s="1"/>
  <c r="K183" i="4"/>
  <c r="L183" i="4" s="1"/>
  <c r="K175" i="4"/>
  <c r="L175" i="4" s="1"/>
  <c r="K167" i="4"/>
  <c r="L167" i="4" s="1"/>
  <c r="K159" i="4"/>
  <c r="L159" i="4" s="1"/>
  <c r="K151" i="4"/>
  <c r="L151" i="4" s="1"/>
  <c r="K143" i="4"/>
  <c r="L143" i="4" s="1"/>
  <c r="K135" i="4"/>
  <c r="L135" i="4" s="1"/>
  <c r="K127" i="4"/>
  <c r="L127" i="4" s="1"/>
  <c r="K119" i="4"/>
  <c r="L119" i="4" s="1"/>
  <c r="K111" i="4"/>
  <c r="L111" i="4" s="1"/>
  <c r="K103" i="4"/>
  <c r="L103" i="4" s="1"/>
  <c r="K95" i="4"/>
  <c r="L95" i="4" s="1"/>
  <c r="K87" i="4"/>
  <c r="L87" i="4" s="1"/>
  <c r="K79" i="4"/>
  <c r="L79" i="4" s="1"/>
  <c r="K71" i="4"/>
  <c r="L71" i="4" s="1"/>
  <c r="K63" i="4"/>
  <c r="L63" i="4" s="1"/>
  <c r="K55" i="4"/>
  <c r="L55" i="4" s="1"/>
  <c r="K47" i="4"/>
  <c r="L47" i="4" s="1"/>
  <c r="K39" i="4"/>
  <c r="L39" i="4" s="1"/>
  <c r="K31" i="4"/>
  <c r="L31" i="4" s="1"/>
  <c r="K23" i="4"/>
  <c r="L23" i="4" s="1"/>
  <c r="K15" i="4"/>
  <c r="L15" i="4" s="1"/>
  <c r="K7" i="4"/>
  <c r="L7" i="4" s="1"/>
  <c r="K617" i="4"/>
  <c r="L617" i="4" s="1"/>
  <c r="K561" i="4"/>
  <c r="L561" i="4" s="1"/>
  <c r="K505" i="4"/>
  <c r="L505" i="4" s="1"/>
  <c r="K465" i="4"/>
  <c r="L465" i="4" s="1"/>
  <c r="K409" i="4"/>
  <c r="L409" i="4" s="1"/>
  <c r="K345" i="4"/>
  <c r="L345" i="4" s="1"/>
  <c r="K281" i="4"/>
  <c r="L281" i="4" s="1"/>
  <c r="K209" i="4"/>
  <c r="L209" i="4" s="1"/>
  <c r="K129" i="4"/>
  <c r="L129" i="4" s="1"/>
  <c r="K33" i="4"/>
  <c r="L33" i="4" s="1"/>
  <c r="K630" i="4"/>
  <c r="L630" i="4" s="1"/>
  <c r="K622" i="4"/>
  <c r="L622" i="4" s="1"/>
  <c r="K614" i="4"/>
  <c r="L614" i="4" s="1"/>
  <c r="K606" i="4"/>
  <c r="L606" i="4" s="1"/>
  <c r="K598" i="4"/>
  <c r="L598" i="4" s="1"/>
  <c r="K590" i="4"/>
  <c r="L590" i="4" s="1"/>
  <c r="K582" i="4"/>
  <c r="L582" i="4" s="1"/>
  <c r="K574" i="4"/>
  <c r="L574" i="4" s="1"/>
  <c r="K566" i="4"/>
  <c r="L566" i="4" s="1"/>
  <c r="K558" i="4"/>
  <c r="L558" i="4" s="1"/>
  <c r="K550" i="4"/>
  <c r="L550" i="4" s="1"/>
  <c r="K542" i="4"/>
  <c r="L542" i="4" s="1"/>
  <c r="K534" i="4"/>
  <c r="L534" i="4" s="1"/>
  <c r="K526" i="4"/>
  <c r="L526" i="4" s="1"/>
  <c r="K518" i="4"/>
  <c r="L518" i="4" s="1"/>
  <c r="K510" i="4"/>
  <c r="L510" i="4" s="1"/>
  <c r="K502" i="4"/>
  <c r="L502" i="4" s="1"/>
  <c r="K494" i="4"/>
  <c r="L494" i="4" s="1"/>
  <c r="K486" i="4"/>
  <c r="L486" i="4" s="1"/>
  <c r="K478" i="4"/>
  <c r="L478" i="4" s="1"/>
  <c r="K470" i="4"/>
  <c r="L470" i="4" s="1"/>
  <c r="K462" i="4"/>
  <c r="L462" i="4" s="1"/>
  <c r="K454" i="4"/>
  <c r="L454" i="4" s="1"/>
  <c r="K446" i="4"/>
  <c r="L446" i="4" s="1"/>
  <c r="K438" i="4"/>
  <c r="L438" i="4" s="1"/>
  <c r="K430" i="4"/>
  <c r="L430" i="4" s="1"/>
  <c r="K422" i="4"/>
  <c r="L422" i="4" s="1"/>
  <c r="K414" i="4"/>
  <c r="L414" i="4" s="1"/>
  <c r="K406" i="4"/>
  <c r="L406" i="4" s="1"/>
  <c r="K398" i="4"/>
  <c r="L398" i="4" s="1"/>
  <c r="K390" i="4"/>
  <c r="L390" i="4" s="1"/>
  <c r="K382" i="4"/>
  <c r="L382" i="4" s="1"/>
  <c r="K374" i="4"/>
  <c r="L374" i="4" s="1"/>
  <c r="K366" i="4"/>
  <c r="L366" i="4" s="1"/>
  <c r="K358" i="4"/>
  <c r="L358" i="4" s="1"/>
  <c r="K350" i="4"/>
  <c r="L350" i="4" s="1"/>
  <c r="K342" i="4"/>
  <c r="L342" i="4" s="1"/>
  <c r="K334" i="4"/>
  <c r="L334" i="4" s="1"/>
  <c r="K326" i="4"/>
  <c r="L326" i="4" s="1"/>
  <c r="K318" i="4"/>
  <c r="L318" i="4" s="1"/>
  <c r="K310" i="4"/>
  <c r="L310" i="4" s="1"/>
  <c r="K302" i="4"/>
  <c r="L302" i="4" s="1"/>
  <c r="K294" i="4"/>
  <c r="L294" i="4" s="1"/>
  <c r="K286" i="4"/>
  <c r="L286" i="4" s="1"/>
  <c r="K278" i="4"/>
  <c r="L278" i="4" s="1"/>
  <c r="K270" i="4"/>
  <c r="L270" i="4" s="1"/>
  <c r="K262" i="4"/>
  <c r="L262" i="4" s="1"/>
  <c r="K254" i="4"/>
  <c r="L254" i="4" s="1"/>
  <c r="K246" i="4"/>
  <c r="L246" i="4" s="1"/>
  <c r="K238" i="4"/>
  <c r="L238" i="4" s="1"/>
  <c r="K230" i="4"/>
  <c r="L230" i="4" s="1"/>
  <c r="K222" i="4"/>
  <c r="L222" i="4" s="1"/>
  <c r="K214" i="4"/>
  <c r="L214" i="4" s="1"/>
  <c r="K206" i="4"/>
  <c r="L206" i="4" s="1"/>
  <c r="K198" i="4"/>
  <c r="L198" i="4" s="1"/>
  <c r="K190" i="4"/>
  <c r="L190" i="4" s="1"/>
  <c r="K182" i="4"/>
  <c r="L182" i="4" s="1"/>
  <c r="K174" i="4"/>
  <c r="L174" i="4" s="1"/>
  <c r="K166" i="4"/>
  <c r="L166" i="4" s="1"/>
  <c r="K158" i="4"/>
  <c r="L158" i="4" s="1"/>
  <c r="K150" i="4"/>
  <c r="L150" i="4" s="1"/>
  <c r="K142" i="4"/>
  <c r="L142" i="4" s="1"/>
  <c r="K134" i="4"/>
  <c r="L134" i="4" s="1"/>
  <c r="K126" i="4"/>
  <c r="L126" i="4" s="1"/>
  <c r="K118" i="4"/>
  <c r="L118" i="4" s="1"/>
  <c r="K110" i="4"/>
  <c r="L110" i="4" s="1"/>
  <c r="K102" i="4"/>
  <c r="L102" i="4" s="1"/>
  <c r="K94" i="4"/>
  <c r="L94" i="4" s="1"/>
  <c r="K86" i="4"/>
  <c r="L86" i="4" s="1"/>
  <c r="K78" i="4"/>
  <c r="L78" i="4" s="1"/>
  <c r="K70" i="4"/>
  <c r="L70" i="4" s="1"/>
  <c r="K62" i="4"/>
  <c r="L62" i="4" s="1"/>
  <c r="K54" i="4"/>
  <c r="L54" i="4" s="1"/>
  <c r="K46" i="4"/>
  <c r="L46" i="4" s="1"/>
  <c r="K38" i="4"/>
  <c r="L38" i="4" s="1"/>
  <c r="K30" i="4"/>
  <c r="L30" i="4" s="1"/>
  <c r="K22" i="4"/>
  <c r="L22" i="4" s="1"/>
  <c r="K14" i="4"/>
  <c r="L14" i="4" s="1"/>
  <c r="K6" i="4"/>
  <c r="L6" i="4" s="1"/>
  <c r="K601" i="4"/>
  <c r="L601" i="4" s="1"/>
  <c r="K569" i="4"/>
  <c r="L569" i="4" s="1"/>
  <c r="K529" i="4"/>
  <c r="L529" i="4" s="1"/>
  <c r="K489" i="4"/>
  <c r="L489" i="4" s="1"/>
  <c r="K449" i="4"/>
  <c r="L449" i="4" s="1"/>
  <c r="K417" i="4"/>
  <c r="L417" i="4" s="1"/>
  <c r="K377" i="4"/>
  <c r="L377" i="4" s="1"/>
  <c r="K337" i="4"/>
  <c r="L337" i="4" s="1"/>
  <c r="K305" i="4"/>
  <c r="L305" i="4" s="1"/>
  <c r="K265" i="4"/>
  <c r="L265" i="4" s="1"/>
  <c r="K233" i="4"/>
  <c r="L233" i="4" s="1"/>
  <c r="K193" i="4"/>
  <c r="L193" i="4" s="1"/>
  <c r="K161" i="4"/>
  <c r="L161" i="4" s="1"/>
  <c r="K121" i="4"/>
  <c r="L121" i="4" s="1"/>
  <c r="K89" i="4"/>
  <c r="L89" i="4" s="1"/>
  <c r="K65" i="4"/>
  <c r="L65" i="4" s="1"/>
  <c r="K25" i="4"/>
  <c r="L25" i="4" s="1"/>
  <c r="K629" i="4"/>
  <c r="L629" i="4" s="1"/>
  <c r="K621" i="4"/>
  <c r="L621" i="4" s="1"/>
  <c r="K613" i="4"/>
  <c r="L613" i="4" s="1"/>
  <c r="K605" i="4"/>
  <c r="L605" i="4" s="1"/>
  <c r="K597" i="4"/>
  <c r="L597" i="4" s="1"/>
  <c r="K589" i="4"/>
  <c r="L589" i="4" s="1"/>
  <c r="K581" i="4"/>
  <c r="L581" i="4" s="1"/>
  <c r="K573" i="4"/>
  <c r="L573" i="4" s="1"/>
  <c r="K565" i="4"/>
  <c r="L565" i="4" s="1"/>
  <c r="K557" i="4"/>
  <c r="L557" i="4" s="1"/>
  <c r="K549" i="4"/>
  <c r="L549" i="4" s="1"/>
  <c r="K541" i="4"/>
  <c r="L541" i="4" s="1"/>
  <c r="K533" i="4"/>
  <c r="L533" i="4" s="1"/>
  <c r="K525" i="4"/>
  <c r="L525" i="4" s="1"/>
  <c r="K517" i="4"/>
  <c r="L517" i="4" s="1"/>
  <c r="K509" i="4"/>
  <c r="L509" i="4" s="1"/>
  <c r="K501" i="4"/>
  <c r="L501" i="4" s="1"/>
  <c r="K493" i="4"/>
  <c r="L493" i="4" s="1"/>
  <c r="K485" i="4"/>
  <c r="L485" i="4" s="1"/>
  <c r="K477" i="4"/>
  <c r="L477" i="4" s="1"/>
  <c r="K469" i="4"/>
  <c r="L469" i="4" s="1"/>
  <c r="K461" i="4"/>
  <c r="L461" i="4" s="1"/>
  <c r="K453" i="4"/>
  <c r="L453" i="4" s="1"/>
  <c r="K445" i="4"/>
  <c r="L445" i="4" s="1"/>
  <c r="K437" i="4"/>
  <c r="L437" i="4" s="1"/>
  <c r="K429" i="4"/>
  <c r="L429" i="4" s="1"/>
  <c r="K421" i="4"/>
  <c r="L421" i="4" s="1"/>
  <c r="K413" i="4"/>
  <c r="L413" i="4" s="1"/>
  <c r="K405" i="4"/>
  <c r="L405" i="4" s="1"/>
  <c r="K397" i="4"/>
  <c r="L397" i="4" s="1"/>
  <c r="K389" i="4"/>
  <c r="L389" i="4" s="1"/>
  <c r="K381" i="4"/>
  <c r="L381" i="4" s="1"/>
  <c r="K373" i="4"/>
  <c r="L373" i="4" s="1"/>
  <c r="K365" i="4"/>
  <c r="L365" i="4" s="1"/>
  <c r="K357" i="4"/>
  <c r="L357" i="4" s="1"/>
  <c r="K349" i="4"/>
  <c r="L349" i="4" s="1"/>
  <c r="K341" i="4"/>
  <c r="L341" i="4" s="1"/>
  <c r="K333" i="4"/>
  <c r="L333" i="4" s="1"/>
  <c r="K325" i="4"/>
  <c r="L325" i="4" s="1"/>
  <c r="K317" i="4"/>
  <c r="L317" i="4" s="1"/>
  <c r="K309" i="4"/>
  <c r="L309" i="4" s="1"/>
  <c r="K301" i="4"/>
  <c r="L301" i="4" s="1"/>
  <c r="K293" i="4"/>
  <c r="L293" i="4" s="1"/>
  <c r="K285" i="4"/>
  <c r="L285" i="4" s="1"/>
  <c r="K277" i="4"/>
  <c r="L277" i="4" s="1"/>
  <c r="K269" i="4"/>
  <c r="L269" i="4" s="1"/>
  <c r="K261" i="4"/>
  <c r="L261" i="4" s="1"/>
  <c r="K253" i="4"/>
  <c r="L253" i="4" s="1"/>
  <c r="K245" i="4"/>
  <c r="L245" i="4" s="1"/>
  <c r="K237" i="4"/>
  <c r="L237" i="4" s="1"/>
  <c r="K229" i="4"/>
  <c r="L229" i="4" s="1"/>
  <c r="K221" i="4"/>
  <c r="L221" i="4" s="1"/>
  <c r="K213" i="4"/>
  <c r="L213" i="4" s="1"/>
  <c r="K205" i="4"/>
  <c r="L205" i="4" s="1"/>
  <c r="K197" i="4"/>
  <c r="L197" i="4" s="1"/>
  <c r="K189" i="4"/>
  <c r="L189" i="4" s="1"/>
  <c r="K181" i="4"/>
  <c r="L181" i="4" s="1"/>
  <c r="K173" i="4"/>
  <c r="L173" i="4" s="1"/>
  <c r="K165" i="4"/>
  <c r="L165" i="4" s="1"/>
  <c r="K157" i="4"/>
  <c r="L157" i="4" s="1"/>
  <c r="K149" i="4"/>
  <c r="L149" i="4" s="1"/>
  <c r="K141" i="4"/>
  <c r="L141" i="4" s="1"/>
  <c r="K133" i="4"/>
  <c r="L133" i="4" s="1"/>
  <c r="K125" i="4"/>
  <c r="L125" i="4" s="1"/>
  <c r="K117" i="4"/>
  <c r="L117" i="4" s="1"/>
  <c r="K109" i="4"/>
  <c r="L109" i="4" s="1"/>
  <c r="K101" i="4"/>
  <c r="L101" i="4" s="1"/>
  <c r="K93" i="4"/>
  <c r="L93" i="4" s="1"/>
  <c r="K85" i="4"/>
  <c r="L85" i="4" s="1"/>
  <c r="K77" i="4"/>
  <c r="L77" i="4" s="1"/>
  <c r="K69" i="4"/>
  <c r="L69" i="4" s="1"/>
  <c r="K61" i="4"/>
  <c r="L61" i="4" s="1"/>
  <c r="K53" i="4"/>
  <c r="L53" i="4" s="1"/>
  <c r="K45" i="4"/>
  <c r="L45" i="4" s="1"/>
  <c r="K37" i="4"/>
  <c r="L37" i="4" s="1"/>
  <c r="K29" i="4"/>
  <c r="L29" i="4" s="1"/>
  <c r="K21" i="4"/>
  <c r="L21" i="4" s="1"/>
  <c r="K13" i="4"/>
  <c r="L13" i="4" s="1"/>
  <c r="K5" i="4"/>
  <c r="L5" i="4" s="1"/>
  <c r="K628" i="4"/>
  <c r="L628" i="4" s="1"/>
  <c r="K620" i="4"/>
  <c r="L620" i="4" s="1"/>
  <c r="K612" i="4"/>
  <c r="L612" i="4" s="1"/>
  <c r="K604" i="4"/>
  <c r="L604" i="4" s="1"/>
  <c r="K596" i="4"/>
  <c r="L596" i="4" s="1"/>
  <c r="K588" i="4"/>
  <c r="L588" i="4" s="1"/>
  <c r="K580" i="4"/>
  <c r="L580" i="4" s="1"/>
  <c r="K572" i="4"/>
  <c r="L572" i="4" s="1"/>
  <c r="K564" i="4"/>
  <c r="L564" i="4" s="1"/>
  <c r="K556" i="4"/>
  <c r="L556" i="4" s="1"/>
  <c r="K548" i="4"/>
  <c r="L548" i="4" s="1"/>
  <c r="K540" i="4"/>
  <c r="L540" i="4" s="1"/>
  <c r="K532" i="4"/>
  <c r="L532" i="4" s="1"/>
  <c r="K524" i="4"/>
  <c r="L524" i="4" s="1"/>
  <c r="K516" i="4"/>
  <c r="L516" i="4" s="1"/>
  <c r="K508" i="4"/>
  <c r="L508" i="4" s="1"/>
  <c r="K500" i="4"/>
  <c r="L500" i="4" s="1"/>
  <c r="K492" i="4"/>
  <c r="L492" i="4" s="1"/>
  <c r="K484" i="4"/>
  <c r="L484" i="4" s="1"/>
  <c r="K476" i="4"/>
  <c r="L476" i="4" s="1"/>
  <c r="K468" i="4"/>
  <c r="L468" i="4" s="1"/>
  <c r="K460" i="4"/>
  <c r="L460" i="4" s="1"/>
  <c r="K452" i="4"/>
  <c r="L452" i="4" s="1"/>
  <c r="K444" i="4"/>
  <c r="L444" i="4" s="1"/>
  <c r="K436" i="4"/>
  <c r="L436" i="4" s="1"/>
  <c r="K428" i="4"/>
  <c r="L428" i="4" s="1"/>
  <c r="K420" i="4"/>
  <c r="L420" i="4" s="1"/>
  <c r="K412" i="4"/>
  <c r="L412" i="4" s="1"/>
  <c r="K404" i="4"/>
  <c r="L404" i="4" s="1"/>
  <c r="K396" i="4"/>
  <c r="L396" i="4" s="1"/>
  <c r="K388" i="4"/>
  <c r="L388" i="4" s="1"/>
  <c r="K380" i="4"/>
  <c r="L380" i="4" s="1"/>
  <c r="K372" i="4"/>
  <c r="L372" i="4" s="1"/>
  <c r="K364" i="4"/>
  <c r="L364" i="4" s="1"/>
  <c r="K356" i="4"/>
  <c r="L356" i="4" s="1"/>
  <c r="K348" i="4"/>
  <c r="L348" i="4" s="1"/>
  <c r="K340" i="4"/>
  <c r="L340" i="4" s="1"/>
  <c r="K332" i="4"/>
  <c r="L332" i="4" s="1"/>
  <c r="K324" i="4"/>
  <c r="L324" i="4" s="1"/>
  <c r="K316" i="4"/>
  <c r="L316" i="4" s="1"/>
  <c r="K308" i="4"/>
  <c r="L308" i="4" s="1"/>
  <c r="K300" i="4"/>
  <c r="L300" i="4" s="1"/>
  <c r="K292" i="4"/>
  <c r="L292" i="4" s="1"/>
  <c r="K284" i="4"/>
  <c r="L284" i="4" s="1"/>
  <c r="K276" i="4"/>
  <c r="L276" i="4" s="1"/>
  <c r="K268" i="4"/>
  <c r="L268" i="4" s="1"/>
  <c r="K260" i="4"/>
  <c r="L260" i="4" s="1"/>
  <c r="K252" i="4"/>
  <c r="L252" i="4" s="1"/>
  <c r="K244" i="4"/>
  <c r="L244" i="4" s="1"/>
  <c r="K236" i="4"/>
  <c r="L236" i="4" s="1"/>
  <c r="K228" i="4"/>
  <c r="L228" i="4" s="1"/>
  <c r="K220" i="4"/>
  <c r="L220" i="4" s="1"/>
  <c r="K212" i="4"/>
  <c r="L212" i="4" s="1"/>
  <c r="K204" i="4"/>
  <c r="L204" i="4" s="1"/>
  <c r="K196" i="4"/>
  <c r="L196" i="4" s="1"/>
  <c r="K188" i="4"/>
  <c r="L188" i="4" s="1"/>
  <c r="K180" i="4"/>
  <c r="L180" i="4" s="1"/>
  <c r="K172" i="4"/>
  <c r="L172" i="4" s="1"/>
  <c r="K164" i="4"/>
  <c r="L164" i="4" s="1"/>
  <c r="K156" i="4"/>
  <c r="L156" i="4" s="1"/>
  <c r="K148" i="4"/>
  <c r="L148" i="4" s="1"/>
  <c r="K140" i="4"/>
  <c r="L140" i="4" s="1"/>
  <c r="K132" i="4"/>
  <c r="L132" i="4" s="1"/>
  <c r="K124" i="4"/>
  <c r="L124" i="4" s="1"/>
  <c r="K116" i="4"/>
  <c r="L116" i="4" s="1"/>
  <c r="K108" i="4"/>
  <c r="L108" i="4" s="1"/>
  <c r="K100" i="4"/>
  <c r="L100" i="4" s="1"/>
  <c r="K92" i="4"/>
  <c r="L92" i="4" s="1"/>
  <c r="K84" i="4"/>
  <c r="L84" i="4" s="1"/>
  <c r="K76" i="4"/>
  <c r="L76" i="4" s="1"/>
  <c r="K68" i="4"/>
  <c r="L68" i="4" s="1"/>
  <c r="K60" i="4"/>
  <c r="L60" i="4" s="1"/>
  <c r="K52" i="4"/>
  <c r="L52" i="4" s="1"/>
  <c r="K44" i="4"/>
  <c r="L44" i="4" s="1"/>
  <c r="K36" i="4"/>
  <c r="L36" i="4" s="1"/>
  <c r="K28" i="4"/>
  <c r="L28" i="4" s="1"/>
  <c r="K20" i="4"/>
  <c r="L20" i="4" s="1"/>
  <c r="K12" i="4"/>
  <c r="L12" i="4" s="1"/>
  <c r="K4" i="4"/>
  <c r="L4" i="4" s="1"/>
  <c r="K633" i="4"/>
  <c r="L633" i="4" s="1"/>
  <c r="K593" i="4"/>
  <c r="L593" i="4" s="1"/>
  <c r="K553" i="4"/>
  <c r="L553" i="4" s="1"/>
  <c r="K521" i="4"/>
  <c r="L521" i="4" s="1"/>
  <c r="K473" i="4"/>
  <c r="L473" i="4" s="1"/>
  <c r="K433" i="4"/>
  <c r="L433" i="4" s="1"/>
  <c r="K393" i="4"/>
  <c r="L393" i="4" s="1"/>
  <c r="K361" i="4"/>
  <c r="L361" i="4" s="1"/>
  <c r="K321" i="4"/>
  <c r="L321" i="4" s="1"/>
  <c r="K289" i="4"/>
  <c r="L289" i="4" s="1"/>
  <c r="K249" i="4"/>
  <c r="L249" i="4" s="1"/>
  <c r="K217" i="4"/>
  <c r="L217" i="4" s="1"/>
  <c r="K177" i="4"/>
  <c r="L177" i="4" s="1"/>
  <c r="K145" i="4"/>
  <c r="L145" i="4" s="1"/>
  <c r="K105" i="4"/>
  <c r="L105" i="4" s="1"/>
  <c r="K73" i="4"/>
  <c r="L73" i="4" s="1"/>
  <c r="K41" i="4"/>
  <c r="L41" i="4" s="1"/>
  <c r="K627" i="4"/>
  <c r="L627" i="4" s="1"/>
  <c r="K619" i="4"/>
  <c r="L619" i="4" s="1"/>
  <c r="K611" i="4"/>
  <c r="L611" i="4" s="1"/>
  <c r="K603" i="4"/>
  <c r="L603" i="4" s="1"/>
  <c r="K595" i="4"/>
  <c r="L595" i="4" s="1"/>
  <c r="K587" i="4"/>
  <c r="L587" i="4" s="1"/>
  <c r="K579" i="4"/>
  <c r="L579" i="4" s="1"/>
  <c r="K571" i="4"/>
  <c r="L571" i="4" s="1"/>
  <c r="K563" i="4"/>
  <c r="L563" i="4" s="1"/>
  <c r="K555" i="4"/>
  <c r="L555" i="4" s="1"/>
  <c r="K547" i="4"/>
  <c r="L547" i="4" s="1"/>
  <c r="K539" i="4"/>
  <c r="L539" i="4" s="1"/>
  <c r="K531" i="4"/>
  <c r="L531" i="4" s="1"/>
  <c r="K523" i="4"/>
  <c r="L523" i="4" s="1"/>
  <c r="K515" i="4"/>
  <c r="L515" i="4" s="1"/>
  <c r="K507" i="4"/>
  <c r="L507" i="4" s="1"/>
  <c r="K499" i="4"/>
  <c r="L499" i="4" s="1"/>
  <c r="K491" i="4"/>
  <c r="L491" i="4" s="1"/>
  <c r="K483" i="4"/>
  <c r="L483" i="4" s="1"/>
  <c r="K475" i="4"/>
  <c r="L475" i="4" s="1"/>
  <c r="K467" i="4"/>
  <c r="L467" i="4" s="1"/>
  <c r="K459" i="4"/>
  <c r="L459" i="4" s="1"/>
  <c r="K451" i="4"/>
  <c r="L451" i="4" s="1"/>
  <c r="K443" i="4"/>
  <c r="L443" i="4" s="1"/>
  <c r="K435" i="4"/>
  <c r="L435" i="4" s="1"/>
  <c r="K427" i="4"/>
  <c r="L427" i="4" s="1"/>
  <c r="K419" i="4"/>
  <c r="L419" i="4" s="1"/>
  <c r="K411" i="4"/>
  <c r="L411" i="4" s="1"/>
  <c r="K403" i="4"/>
  <c r="L403" i="4" s="1"/>
  <c r="K395" i="4"/>
  <c r="L395" i="4" s="1"/>
  <c r="K387" i="4"/>
  <c r="L387" i="4" s="1"/>
  <c r="K379" i="4"/>
  <c r="L379" i="4" s="1"/>
  <c r="K371" i="4"/>
  <c r="L371" i="4" s="1"/>
  <c r="K363" i="4"/>
  <c r="L363" i="4" s="1"/>
  <c r="K355" i="4"/>
  <c r="L355" i="4" s="1"/>
  <c r="K347" i="4"/>
  <c r="L347" i="4" s="1"/>
  <c r="K339" i="4"/>
  <c r="L339" i="4" s="1"/>
  <c r="K331" i="4"/>
  <c r="L331" i="4" s="1"/>
  <c r="K323" i="4"/>
  <c r="L323" i="4" s="1"/>
  <c r="K315" i="4"/>
  <c r="L315" i="4" s="1"/>
  <c r="K307" i="4"/>
  <c r="L307" i="4" s="1"/>
  <c r="K299" i="4"/>
  <c r="L299" i="4" s="1"/>
  <c r="K291" i="4"/>
  <c r="L291" i="4" s="1"/>
  <c r="K283" i="4"/>
  <c r="L283" i="4" s="1"/>
  <c r="K275" i="4"/>
  <c r="L275" i="4" s="1"/>
  <c r="K267" i="4"/>
  <c r="L267" i="4" s="1"/>
  <c r="K259" i="4"/>
  <c r="L259" i="4" s="1"/>
  <c r="K251" i="4"/>
  <c r="L251" i="4" s="1"/>
  <c r="K243" i="4"/>
  <c r="L243" i="4" s="1"/>
  <c r="K235" i="4"/>
  <c r="L235" i="4" s="1"/>
  <c r="K227" i="4"/>
  <c r="L227" i="4" s="1"/>
  <c r="K219" i="4"/>
  <c r="L219" i="4" s="1"/>
  <c r="K211" i="4"/>
  <c r="L211" i="4" s="1"/>
  <c r="K203" i="4"/>
  <c r="L203" i="4" s="1"/>
  <c r="K195" i="4"/>
  <c r="L195" i="4" s="1"/>
  <c r="K187" i="4"/>
  <c r="L187" i="4" s="1"/>
  <c r="K179" i="4"/>
  <c r="L179" i="4" s="1"/>
  <c r="K171" i="4"/>
  <c r="L171" i="4" s="1"/>
  <c r="K163" i="4"/>
  <c r="L163" i="4" s="1"/>
  <c r="K155" i="4"/>
  <c r="L155" i="4" s="1"/>
  <c r="K147" i="4"/>
  <c r="L147" i="4" s="1"/>
  <c r="K139" i="4"/>
  <c r="L139" i="4" s="1"/>
  <c r="K131" i="4"/>
  <c r="L131" i="4" s="1"/>
  <c r="K123" i="4"/>
  <c r="L123" i="4" s="1"/>
  <c r="K115" i="4"/>
  <c r="L115" i="4" s="1"/>
  <c r="K107" i="4"/>
  <c r="L107" i="4" s="1"/>
  <c r="K99" i="4"/>
  <c r="L99" i="4" s="1"/>
  <c r="K91" i="4"/>
  <c r="L91" i="4" s="1"/>
  <c r="K83" i="4"/>
  <c r="L83" i="4" s="1"/>
  <c r="K75" i="4"/>
  <c r="L75" i="4" s="1"/>
  <c r="K67" i="4"/>
  <c r="L67" i="4" s="1"/>
  <c r="K59" i="4"/>
  <c r="L59" i="4" s="1"/>
  <c r="K51" i="4"/>
  <c r="L51" i="4" s="1"/>
  <c r="K43" i="4"/>
  <c r="L43" i="4" s="1"/>
  <c r="K35" i="4"/>
  <c r="L35" i="4" s="1"/>
  <c r="K27" i="4"/>
  <c r="L27" i="4" s="1"/>
  <c r="K19" i="4"/>
  <c r="L19" i="4" s="1"/>
  <c r="K11" i="4"/>
  <c r="L11" i="4" s="1"/>
  <c r="K3" i="4"/>
  <c r="L3" i="4" s="1"/>
  <c r="K625" i="4"/>
  <c r="L625" i="4" s="1"/>
  <c r="K585" i="4"/>
  <c r="L585" i="4" s="1"/>
  <c r="K545" i="4"/>
  <c r="L545" i="4" s="1"/>
  <c r="K513" i="4"/>
  <c r="L513" i="4" s="1"/>
  <c r="K481" i="4"/>
  <c r="L481" i="4" s="1"/>
  <c r="K441" i="4"/>
  <c r="L441" i="4" s="1"/>
  <c r="K401" i="4"/>
  <c r="L401" i="4" s="1"/>
  <c r="K369" i="4"/>
  <c r="L369" i="4" s="1"/>
  <c r="K329" i="4"/>
  <c r="L329" i="4" s="1"/>
  <c r="K297" i="4"/>
  <c r="L297" i="4" s="1"/>
  <c r="K257" i="4"/>
  <c r="L257" i="4" s="1"/>
  <c r="K225" i="4"/>
  <c r="L225" i="4" s="1"/>
  <c r="K185" i="4"/>
  <c r="L185" i="4" s="1"/>
  <c r="K153" i="4"/>
  <c r="L153" i="4" s="1"/>
  <c r="K113" i="4"/>
  <c r="L113" i="4" s="1"/>
  <c r="K81" i="4"/>
  <c r="L81" i="4" s="1"/>
  <c r="K49" i="4"/>
  <c r="L49" i="4" s="1"/>
  <c r="K17" i="4"/>
  <c r="L17" i="4" s="1"/>
  <c r="K2" i="4"/>
  <c r="L2" i="4" s="1"/>
  <c r="K626" i="4"/>
  <c r="L626" i="4" s="1"/>
  <c r="K618" i="4"/>
  <c r="L618" i="4" s="1"/>
  <c r="K610" i="4"/>
  <c r="L610" i="4" s="1"/>
  <c r="K602" i="4"/>
  <c r="L602" i="4" s="1"/>
  <c r="K594" i="4"/>
  <c r="L594" i="4" s="1"/>
  <c r="K586" i="4"/>
  <c r="L586" i="4" s="1"/>
  <c r="K578" i="4"/>
  <c r="L578" i="4" s="1"/>
  <c r="K570" i="4"/>
  <c r="L570" i="4" s="1"/>
  <c r="K562" i="4"/>
  <c r="L562" i="4" s="1"/>
  <c r="K554" i="4"/>
  <c r="L554" i="4" s="1"/>
  <c r="K546" i="4"/>
  <c r="L546" i="4" s="1"/>
  <c r="K538" i="4"/>
  <c r="L538" i="4" s="1"/>
  <c r="K530" i="4"/>
  <c r="L530" i="4" s="1"/>
  <c r="K522" i="4"/>
  <c r="L522" i="4" s="1"/>
  <c r="K514" i="4"/>
  <c r="L514" i="4" s="1"/>
  <c r="K506" i="4"/>
  <c r="L506" i="4" s="1"/>
  <c r="K498" i="4"/>
  <c r="L498" i="4" s="1"/>
  <c r="K490" i="4"/>
  <c r="L490" i="4" s="1"/>
  <c r="K482" i="4"/>
  <c r="L482" i="4" s="1"/>
  <c r="K474" i="4"/>
  <c r="L474" i="4" s="1"/>
  <c r="K466" i="4"/>
  <c r="L466" i="4" s="1"/>
  <c r="K458" i="4"/>
  <c r="L458" i="4" s="1"/>
  <c r="K450" i="4"/>
  <c r="L450" i="4" s="1"/>
  <c r="K442" i="4"/>
  <c r="L442" i="4" s="1"/>
  <c r="K434" i="4"/>
  <c r="L434" i="4" s="1"/>
  <c r="K426" i="4"/>
  <c r="L426" i="4" s="1"/>
  <c r="K418" i="4"/>
  <c r="L418" i="4" s="1"/>
  <c r="K410" i="4"/>
  <c r="L410" i="4" s="1"/>
  <c r="K402" i="4"/>
  <c r="L402" i="4" s="1"/>
  <c r="K394" i="4"/>
  <c r="L394" i="4" s="1"/>
  <c r="K386" i="4"/>
  <c r="L386" i="4" s="1"/>
  <c r="K378" i="4"/>
  <c r="L378" i="4" s="1"/>
  <c r="K370" i="4"/>
  <c r="L370" i="4" s="1"/>
  <c r="K362" i="4"/>
  <c r="L362" i="4" s="1"/>
  <c r="K354" i="4"/>
  <c r="L354" i="4" s="1"/>
  <c r="K346" i="4"/>
  <c r="L346" i="4" s="1"/>
  <c r="K338" i="4"/>
  <c r="L338" i="4" s="1"/>
  <c r="K330" i="4"/>
  <c r="L330" i="4" s="1"/>
  <c r="K322" i="4"/>
  <c r="L322" i="4" s="1"/>
  <c r="K314" i="4"/>
  <c r="L314" i="4" s="1"/>
  <c r="K306" i="4"/>
  <c r="L306" i="4" s="1"/>
  <c r="K298" i="4"/>
  <c r="L298" i="4" s="1"/>
  <c r="K290" i="4"/>
  <c r="L290" i="4" s="1"/>
  <c r="K282" i="4"/>
  <c r="L282" i="4" s="1"/>
  <c r="K274" i="4"/>
  <c r="L274" i="4" s="1"/>
  <c r="K266" i="4"/>
  <c r="L266" i="4" s="1"/>
  <c r="K258" i="4"/>
  <c r="L258" i="4" s="1"/>
  <c r="K250" i="4"/>
  <c r="L250" i="4" s="1"/>
  <c r="K242" i="4"/>
  <c r="L242" i="4" s="1"/>
  <c r="K234" i="4"/>
  <c r="L234" i="4" s="1"/>
  <c r="K226" i="4"/>
  <c r="L226" i="4" s="1"/>
  <c r="K218" i="4"/>
  <c r="L218" i="4" s="1"/>
  <c r="K210" i="4"/>
  <c r="L210" i="4" s="1"/>
  <c r="K202" i="4"/>
  <c r="L202" i="4" s="1"/>
  <c r="K194" i="4"/>
  <c r="L194" i="4" s="1"/>
  <c r="K186" i="4"/>
  <c r="L186" i="4" s="1"/>
  <c r="K178" i="4"/>
  <c r="L178" i="4" s="1"/>
  <c r="K170" i="4"/>
  <c r="L170" i="4" s="1"/>
  <c r="K162" i="4"/>
  <c r="L162" i="4" s="1"/>
  <c r="K154" i="4"/>
  <c r="L154" i="4" s="1"/>
  <c r="K146" i="4"/>
  <c r="L146" i="4" s="1"/>
  <c r="K138" i="4"/>
  <c r="L138" i="4" s="1"/>
  <c r="K130" i="4"/>
  <c r="L130" i="4" s="1"/>
  <c r="K122" i="4"/>
  <c r="L122" i="4" s="1"/>
  <c r="K114" i="4"/>
  <c r="L114" i="4" s="1"/>
  <c r="K106" i="4"/>
  <c r="L106" i="4" s="1"/>
  <c r="K98" i="4"/>
  <c r="L98" i="4" s="1"/>
  <c r="K90" i="4"/>
  <c r="L90" i="4" s="1"/>
  <c r="K82" i="4"/>
  <c r="L82" i="4" s="1"/>
  <c r="K74" i="4"/>
  <c r="L74" i="4" s="1"/>
  <c r="K66" i="4"/>
  <c r="L66" i="4" s="1"/>
  <c r="K58" i="4"/>
  <c r="L58" i="4" s="1"/>
  <c r="K50" i="4"/>
  <c r="L50" i="4" s="1"/>
  <c r="K42" i="4"/>
  <c r="L42" i="4" s="1"/>
  <c r="K34" i="4"/>
  <c r="L34" i="4" s="1"/>
  <c r="K26" i="4"/>
  <c r="L26" i="4" s="1"/>
  <c r="K18" i="4"/>
  <c r="L18" i="4" s="1"/>
  <c r="K10" i="4"/>
  <c r="L10" i="4" s="1"/>
  <c r="AE125" i="4"/>
  <c r="AG125" i="4" s="1"/>
  <c r="AH125" i="4" s="1"/>
  <c r="AE117" i="4"/>
  <c r="AE109" i="4"/>
  <c r="AE101" i="4"/>
  <c r="AE93" i="4"/>
  <c r="AG93" i="4" s="1"/>
  <c r="AH93" i="4" s="1"/>
  <c r="AE85" i="4"/>
  <c r="AG85" i="4" s="1"/>
  <c r="AH85" i="4" s="1"/>
  <c r="AE77" i="4"/>
  <c r="AG77" i="4" s="1"/>
  <c r="AH77" i="4" s="1"/>
  <c r="AE69" i="4"/>
  <c r="AG69" i="4" s="1"/>
  <c r="AH69" i="4" s="1"/>
  <c r="AE61" i="4"/>
  <c r="AG61" i="4" s="1"/>
  <c r="AH61" i="4" s="1"/>
  <c r="AE53" i="4"/>
  <c r="AG53" i="4" s="1"/>
  <c r="AH53" i="4" s="1"/>
  <c r="AE45" i="4"/>
  <c r="AG45" i="4" s="1"/>
  <c r="AH45" i="4" s="1"/>
  <c r="AE37" i="4"/>
  <c r="AE29" i="4"/>
  <c r="AG29" i="4" s="1"/>
  <c r="AH29" i="4" s="1"/>
  <c r="AE21" i="4"/>
  <c r="AG21" i="4" s="1"/>
  <c r="AH21" i="4" s="1"/>
  <c r="AE13" i="4"/>
  <c r="AG13" i="4" s="1"/>
  <c r="AH13" i="4" s="1"/>
  <c r="AE5" i="4"/>
  <c r="AE627" i="4"/>
  <c r="AG627" i="4" s="1"/>
  <c r="AH627" i="4" s="1"/>
  <c r="AE619" i="4"/>
  <c r="AE611" i="4"/>
  <c r="AG611" i="4" s="1"/>
  <c r="AH611" i="4" s="1"/>
  <c r="AE603" i="4"/>
  <c r="AE595" i="4"/>
  <c r="AE587" i="4"/>
  <c r="AG587" i="4" s="1"/>
  <c r="AH587" i="4" s="1"/>
  <c r="AE579" i="4"/>
  <c r="AG579" i="4" s="1"/>
  <c r="AH579" i="4" s="1"/>
  <c r="AE571" i="4"/>
  <c r="AG571" i="4" s="1"/>
  <c r="AH571" i="4" s="1"/>
  <c r="AE563" i="4"/>
  <c r="AE555" i="4"/>
  <c r="AE547" i="4"/>
  <c r="AG547" i="4" s="1"/>
  <c r="AH547" i="4" s="1"/>
  <c r="AE539" i="4"/>
  <c r="AG539" i="4" s="1"/>
  <c r="AH539" i="4" s="1"/>
  <c r="AE531" i="4"/>
  <c r="AE523" i="4"/>
  <c r="AE515" i="4"/>
  <c r="AE507" i="4"/>
  <c r="AG507" i="4" s="1"/>
  <c r="AH507" i="4" s="1"/>
  <c r="AE499" i="4"/>
  <c r="AE491" i="4"/>
  <c r="AE483" i="4"/>
  <c r="AE475" i="4"/>
  <c r="AG475" i="4" s="1"/>
  <c r="AH475" i="4" s="1"/>
  <c r="AE467" i="4"/>
  <c r="AE459" i="4"/>
  <c r="AG459" i="4" s="1"/>
  <c r="AH459" i="4" s="1"/>
  <c r="AE451" i="4"/>
  <c r="AE443" i="4"/>
  <c r="AG443" i="4" s="1"/>
  <c r="AH443" i="4" s="1"/>
  <c r="AE435" i="4"/>
  <c r="AG435" i="4" s="1"/>
  <c r="AH435" i="4" s="1"/>
  <c r="AE427" i="4"/>
  <c r="AG427" i="4" s="1"/>
  <c r="AH427" i="4" s="1"/>
  <c r="AE419" i="4"/>
  <c r="AG419" i="4" s="1"/>
  <c r="AH419" i="4" s="1"/>
  <c r="AE411" i="4"/>
  <c r="AG411" i="4" s="1"/>
  <c r="AH411" i="4" s="1"/>
  <c r="AE403" i="4"/>
  <c r="AE395" i="4"/>
  <c r="AE387" i="4"/>
  <c r="AG387" i="4" s="1"/>
  <c r="AH387" i="4" s="1"/>
  <c r="AE379" i="4"/>
  <c r="AG379" i="4" s="1"/>
  <c r="AH379" i="4" s="1"/>
  <c r="AE371" i="4"/>
  <c r="AE363" i="4"/>
  <c r="AE355" i="4"/>
  <c r="AG355" i="4" s="1"/>
  <c r="AH355" i="4" s="1"/>
  <c r="AE347" i="4"/>
  <c r="AE339" i="4"/>
  <c r="AE331" i="4"/>
  <c r="AG331" i="4" s="1"/>
  <c r="AH331" i="4" s="1"/>
  <c r="AE323" i="4"/>
  <c r="AG323" i="4" s="1"/>
  <c r="AH323" i="4" s="1"/>
  <c r="AE315" i="4"/>
  <c r="AG315" i="4" s="1"/>
  <c r="AH315" i="4" s="1"/>
  <c r="AE307" i="4"/>
  <c r="AE299" i="4"/>
  <c r="AE291" i="4"/>
  <c r="AG291" i="4" s="1"/>
  <c r="AH291" i="4" s="1"/>
  <c r="AE283" i="4"/>
  <c r="AG283" i="4" s="1"/>
  <c r="AH283" i="4" s="1"/>
  <c r="AE275" i="4"/>
  <c r="AE267" i="4"/>
  <c r="AE259" i="4"/>
  <c r="AE251" i="4"/>
  <c r="AG251" i="4" s="1"/>
  <c r="AH251" i="4" s="1"/>
  <c r="AE243" i="4"/>
  <c r="AE235" i="4"/>
  <c r="AE227" i="4"/>
  <c r="AE219" i="4"/>
  <c r="AG219" i="4" s="1"/>
  <c r="AH219" i="4" s="1"/>
  <c r="AE211" i="4"/>
  <c r="AG211" i="4" s="1"/>
  <c r="AH211" i="4" s="1"/>
  <c r="AE203" i="4"/>
  <c r="AG203" i="4" s="1"/>
  <c r="AH203" i="4" s="1"/>
  <c r="AE195" i="4"/>
  <c r="AE187" i="4"/>
  <c r="AG187" i="4" s="1"/>
  <c r="AH187" i="4" s="1"/>
  <c r="AE179" i="4"/>
  <c r="AG179" i="4" s="1"/>
  <c r="AH179" i="4" s="1"/>
  <c r="AE171" i="4"/>
  <c r="AG171" i="4" s="1"/>
  <c r="AH171" i="4" s="1"/>
  <c r="AE163" i="4"/>
  <c r="AE155" i="4"/>
  <c r="AE147" i="4"/>
  <c r="AE139" i="4"/>
  <c r="AE131" i="4"/>
  <c r="AE123" i="4"/>
  <c r="AG123" i="4" s="1"/>
  <c r="AH123" i="4" s="1"/>
  <c r="AE115" i="4"/>
  <c r="AE107" i="4"/>
  <c r="AG107" i="4" s="1"/>
  <c r="AH107" i="4" s="1"/>
  <c r="AE99" i="4"/>
  <c r="AG99" i="4" s="1"/>
  <c r="AH99" i="4" s="1"/>
  <c r="AE91" i="4"/>
  <c r="AG91" i="4" s="1"/>
  <c r="AH91" i="4" s="1"/>
  <c r="AE83" i="4"/>
  <c r="AG83" i="4" s="1"/>
  <c r="AH83" i="4" s="1"/>
  <c r="AE75" i="4"/>
  <c r="AG75" i="4" s="1"/>
  <c r="AH75" i="4" s="1"/>
  <c r="AE67" i="4"/>
  <c r="AE59" i="4"/>
  <c r="AG59" i="4" s="1"/>
  <c r="AH59" i="4" s="1"/>
  <c r="AE51" i="4"/>
  <c r="AE43" i="4"/>
  <c r="AG43" i="4" s="1"/>
  <c r="AH43" i="4" s="1"/>
  <c r="AE35" i="4"/>
  <c r="AE27" i="4"/>
  <c r="AE19" i="4"/>
  <c r="AE11" i="4"/>
  <c r="AG11" i="4" s="1"/>
  <c r="AH11" i="4" s="1"/>
  <c r="AE3" i="4"/>
  <c r="AG3" i="4" s="1"/>
  <c r="AH3" i="4" s="1"/>
  <c r="AE609" i="4"/>
  <c r="AE2" i="4"/>
  <c r="AE626" i="4"/>
  <c r="AE618" i="4"/>
  <c r="AE610" i="4"/>
  <c r="AE602" i="4"/>
  <c r="AE594" i="4"/>
  <c r="AE586" i="4"/>
  <c r="AE578" i="4"/>
  <c r="AE570" i="4"/>
  <c r="AE562" i="4"/>
  <c r="AE554" i="4"/>
  <c r="AE546" i="4"/>
  <c r="AE538" i="4"/>
  <c r="AE530" i="4"/>
  <c r="AE522" i="4"/>
  <c r="AE514" i="4"/>
  <c r="AE506" i="4"/>
  <c r="AE498" i="4"/>
  <c r="AE490" i="4"/>
  <c r="AE482" i="4"/>
  <c r="AE474" i="4"/>
  <c r="AE466" i="4"/>
  <c r="AE458" i="4"/>
  <c r="AE450" i="4"/>
  <c r="AE442" i="4"/>
  <c r="AE434" i="4"/>
  <c r="AE426" i="4"/>
  <c r="AE418" i="4"/>
  <c r="AE410" i="4"/>
  <c r="AE402" i="4"/>
  <c r="AE394" i="4"/>
  <c r="AE386" i="4"/>
  <c r="AE378" i="4"/>
  <c r="AE370" i="4"/>
  <c r="AE362" i="4"/>
  <c r="AE354" i="4"/>
  <c r="AE346" i="4"/>
  <c r="AE338" i="4"/>
  <c r="AE330" i="4"/>
  <c r="AE322" i="4"/>
  <c r="AE314" i="4"/>
  <c r="AE306" i="4"/>
  <c r="AE298" i="4"/>
  <c r="AE290" i="4"/>
  <c r="AE282" i="4"/>
  <c r="AE274" i="4"/>
  <c r="AE266" i="4"/>
  <c r="AE258" i="4"/>
  <c r="AE250" i="4"/>
  <c r="AE242" i="4"/>
  <c r="AE234" i="4"/>
  <c r="AE226" i="4"/>
  <c r="AE218" i="4"/>
  <c r="AE210" i="4"/>
  <c r="AE202" i="4"/>
  <c r="AE194" i="4"/>
  <c r="AE186" i="4"/>
  <c r="AE178" i="4"/>
  <c r="AE170" i="4"/>
  <c r="AE162" i="4"/>
  <c r="AE154" i="4"/>
  <c r="AE146" i="4"/>
  <c r="AE138" i="4"/>
  <c r="AE130" i="4"/>
  <c r="AE122" i="4"/>
  <c r="AE114" i="4"/>
  <c r="AG114" i="4" s="1"/>
  <c r="AH114" i="4" s="1"/>
  <c r="AE106" i="4"/>
  <c r="AE98" i="4"/>
  <c r="AE90" i="4"/>
  <c r="AE82" i="4"/>
  <c r="AE74" i="4"/>
  <c r="AE66" i="4"/>
  <c r="AE58" i="4"/>
  <c r="AE50" i="4"/>
  <c r="AE42" i="4"/>
  <c r="AG42" i="4" s="1"/>
  <c r="AH42" i="4" s="1"/>
  <c r="AE34" i="4"/>
  <c r="AE26" i="4"/>
  <c r="AG26" i="4" s="1"/>
  <c r="AH26" i="4" s="1"/>
  <c r="AE18" i="4"/>
  <c r="AE10" i="4"/>
  <c r="AE625" i="4"/>
  <c r="AE633" i="4"/>
  <c r="AE585" i="4"/>
  <c r="AE569" i="4"/>
  <c r="AE553" i="4"/>
  <c r="AE537" i="4"/>
  <c r="AE529" i="4"/>
  <c r="AE521" i="4"/>
  <c r="AE632" i="4"/>
  <c r="AE624" i="4"/>
  <c r="AE616" i="4"/>
  <c r="AE608" i="4"/>
  <c r="AE600" i="4"/>
  <c r="AE592" i="4"/>
  <c r="AE584" i="4"/>
  <c r="AE576" i="4"/>
  <c r="AE568" i="4"/>
  <c r="AE560" i="4"/>
  <c r="AE552" i="4"/>
  <c r="AE544" i="4"/>
  <c r="AE536" i="4"/>
  <c r="AE528" i="4"/>
  <c r="AE520" i="4"/>
  <c r="AE512" i="4"/>
  <c r="AE504" i="4"/>
  <c r="AE496" i="4"/>
  <c r="AE488" i="4"/>
  <c r="AE480" i="4"/>
  <c r="AE472" i="4"/>
  <c r="AE464" i="4"/>
  <c r="AE456" i="4"/>
  <c r="AE448" i="4"/>
  <c r="AE440" i="4"/>
  <c r="AE432" i="4"/>
  <c r="AE424" i="4"/>
  <c r="AE416" i="4"/>
  <c r="AE408" i="4"/>
  <c r="AE400" i="4"/>
  <c r="AE392" i="4"/>
  <c r="AE384" i="4"/>
  <c r="AE376" i="4"/>
  <c r="AE368" i="4"/>
  <c r="AE360" i="4"/>
  <c r="AE352" i="4"/>
  <c r="AE344" i="4"/>
  <c r="AE336" i="4"/>
  <c r="AE328" i="4"/>
  <c r="AE320" i="4"/>
  <c r="AE312" i="4"/>
  <c r="AE304" i="4"/>
  <c r="AE296" i="4"/>
  <c r="AE288" i="4"/>
  <c r="AE280" i="4"/>
  <c r="AE272" i="4"/>
  <c r="AE264" i="4"/>
  <c r="AE256" i="4"/>
  <c r="AE248" i="4"/>
  <c r="AE240" i="4"/>
  <c r="AE232" i="4"/>
  <c r="AE224" i="4"/>
  <c r="AE216" i="4"/>
  <c r="AE208" i="4"/>
  <c r="AE200" i="4"/>
  <c r="AE192" i="4"/>
  <c r="AE184" i="4"/>
  <c r="AE176" i="4"/>
  <c r="AE168" i="4"/>
  <c r="AE160" i="4"/>
  <c r="AE152" i="4"/>
  <c r="AE144" i="4"/>
  <c r="AE136" i="4"/>
  <c r="AE128" i="4"/>
  <c r="AE120" i="4"/>
  <c r="AE112" i="4"/>
  <c r="AE104" i="4"/>
  <c r="AE96" i="4"/>
  <c r="AE88" i="4"/>
  <c r="AE80" i="4"/>
  <c r="AE72" i="4"/>
  <c r="AE64" i="4"/>
  <c r="AE56" i="4"/>
  <c r="AE48" i="4"/>
  <c r="AE40" i="4"/>
  <c r="AE32" i="4"/>
  <c r="AE24" i="4"/>
  <c r="AE16" i="4"/>
  <c r="AE8" i="4"/>
  <c r="AE617" i="4"/>
  <c r="AE593" i="4"/>
  <c r="AE577" i="4"/>
  <c r="AE545" i="4"/>
  <c r="AE513" i="4"/>
  <c r="AE601" i="4"/>
  <c r="AE561" i="4"/>
  <c r="AE505" i="4"/>
  <c r="AE630" i="4"/>
  <c r="AE614" i="4"/>
  <c r="AE598" i="4"/>
  <c r="AE582" i="4"/>
  <c r="AE566" i="4"/>
  <c r="AE550" i="4"/>
  <c r="AE534" i="4"/>
  <c r="AE518" i="4"/>
  <c r="AE502" i="4"/>
  <c r="AE486" i="4"/>
  <c r="AE470" i="4"/>
  <c r="AE454" i="4"/>
  <c r="AE446" i="4"/>
  <c r="AE438" i="4"/>
  <c r="AE422" i="4"/>
  <c r="AE414" i="4"/>
  <c r="AE406" i="4"/>
  <c r="AE398" i="4"/>
  <c r="AE390" i="4"/>
  <c r="AE382" i="4"/>
  <c r="AE374" i="4"/>
  <c r="AE366" i="4"/>
  <c r="AE358" i="4"/>
  <c r="AE350" i="4"/>
  <c r="AE342" i="4"/>
  <c r="AE334" i="4"/>
  <c r="AE326" i="4"/>
  <c r="AE318" i="4"/>
  <c r="AE310" i="4"/>
  <c r="AE302" i="4"/>
  <c r="AE294" i="4"/>
  <c r="AE286" i="4"/>
  <c r="AE278" i="4"/>
  <c r="AE270" i="4"/>
  <c r="AE262" i="4"/>
  <c r="AE254" i="4"/>
  <c r="AE246" i="4"/>
  <c r="AE238" i="4"/>
  <c r="AE230" i="4"/>
  <c r="AE222" i="4"/>
  <c r="AE214" i="4"/>
  <c r="AE206" i="4"/>
  <c r="AE198" i="4"/>
  <c r="AE190" i="4"/>
  <c r="AE182" i="4"/>
  <c r="AE174" i="4"/>
  <c r="AE166" i="4"/>
  <c r="AE158" i="4"/>
  <c r="AE150" i="4"/>
  <c r="AE142" i="4"/>
  <c r="AE134" i="4"/>
  <c r="AE126" i="4"/>
  <c r="AE102" i="4"/>
  <c r="AE622" i="4"/>
  <c r="AE606" i="4"/>
  <c r="AE590" i="4"/>
  <c r="AE574" i="4"/>
  <c r="AE558" i="4"/>
  <c r="AE542" i="4"/>
  <c r="AE526" i="4"/>
  <c r="AE510" i="4"/>
  <c r="AE494" i="4"/>
  <c r="AE478" i="4"/>
  <c r="AE462" i="4"/>
  <c r="AE430" i="4"/>
  <c r="AE631" i="4"/>
  <c r="AE623" i="4"/>
  <c r="AE615" i="4"/>
  <c r="AE607" i="4"/>
  <c r="AE599" i="4"/>
  <c r="AE591" i="4"/>
  <c r="AE621" i="4"/>
  <c r="AE597" i="4"/>
  <c r="AE581" i="4"/>
  <c r="AE565" i="4"/>
  <c r="AE549" i="4"/>
  <c r="AE533" i="4"/>
  <c r="AE517" i="4"/>
  <c r="AE509" i="4"/>
  <c r="AE629" i="4"/>
  <c r="AE613" i="4"/>
  <c r="AE605" i="4"/>
  <c r="AE589" i="4"/>
  <c r="AE573" i="4"/>
  <c r="AE557" i="4"/>
  <c r="AE541" i="4"/>
  <c r="AE525" i="4"/>
  <c r="AE497" i="4"/>
  <c r="AE489" i="4"/>
  <c r="AE481" i="4"/>
  <c r="AE473" i="4"/>
  <c r="AE465" i="4"/>
  <c r="AE457" i="4"/>
  <c r="AE449" i="4"/>
  <c r="AE441" i="4"/>
  <c r="AE433" i="4"/>
  <c r="AE425" i="4"/>
  <c r="AE417" i="4"/>
  <c r="AE409" i="4"/>
  <c r="AE401" i="4"/>
  <c r="AE393" i="4"/>
  <c r="AE385" i="4"/>
  <c r="AE377" i="4"/>
  <c r="AE369" i="4"/>
  <c r="AE361" i="4"/>
  <c r="AE353" i="4"/>
  <c r="AE345" i="4"/>
  <c r="AE337" i="4"/>
  <c r="AE329" i="4"/>
  <c r="AE321" i="4"/>
  <c r="AE313" i="4"/>
  <c r="AE305" i="4"/>
  <c r="AE297" i="4"/>
  <c r="AE289" i="4"/>
  <c r="AE281" i="4"/>
  <c r="AE273" i="4"/>
  <c r="AE265" i="4"/>
  <c r="AE257" i="4"/>
  <c r="AE249" i="4"/>
  <c r="AE241" i="4"/>
  <c r="AE233" i="4"/>
  <c r="AE225" i="4"/>
  <c r="AE217" i="4"/>
  <c r="AE209" i="4"/>
  <c r="AE201" i="4"/>
  <c r="AE193" i="4"/>
  <c r="AE185" i="4"/>
  <c r="AE177" i="4"/>
  <c r="AE169" i="4"/>
  <c r="AE161" i="4"/>
  <c r="AE153" i="4"/>
  <c r="AE145" i="4"/>
  <c r="AE137" i="4"/>
  <c r="AE129" i="4"/>
  <c r="AE121" i="4"/>
  <c r="AE113" i="4"/>
  <c r="AE105" i="4"/>
  <c r="AE97" i="4"/>
  <c r="AE89" i="4"/>
  <c r="AE81" i="4"/>
  <c r="AE73" i="4"/>
  <c r="AE65" i="4"/>
  <c r="AE57" i="4"/>
  <c r="AE49" i="4"/>
  <c r="AE41" i="4"/>
  <c r="AE33" i="4"/>
  <c r="AE25" i="4"/>
  <c r="AE17" i="4"/>
  <c r="AE9" i="4"/>
  <c r="AE583" i="4"/>
  <c r="AE575" i="4"/>
  <c r="AE567" i="4"/>
  <c r="AE559" i="4"/>
  <c r="AE551" i="4"/>
  <c r="AE543" i="4"/>
  <c r="AE535" i="4"/>
  <c r="AE527" i="4"/>
  <c r="AE519" i="4"/>
  <c r="AE511" i="4"/>
  <c r="AE503" i="4"/>
  <c r="AE495" i="4"/>
  <c r="AE487" i="4"/>
  <c r="AE479" i="4"/>
  <c r="AE471" i="4"/>
  <c r="AE463" i="4"/>
  <c r="AE455" i="4"/>
  <c r="AE447" i="4"/>
  <c r="AE439" i="4"/>
  <c r="AE431" i="4"/>
  <c r="AE423" i="4"/>
  <c r="AE415" i="4"/>
  <c r="AE407" i="4"/>
  <c r="AE399" i="4"/>
  <c r="AE391" i="4"/>
  <c r="AE383" i="4"/>
  <c r="AE375" i="4"/>
  <c r="AE367" i="4"/>
  <c r="AE359" i="4"/>
  <c r="AE351" i="4"/>
  <c r="AE343" i="4"/>
  <c r="AE335" i="4"/>
  <c r="AE327" i="4"/>
  <c r="AE319" i="4"/>
  <c r="AE311" i="4"/>
  <c r="AE303" i="4"/>
  <c r="AE295" i="4"/>
  <c r="AE287" i="4"/>
  <c r="AE279" i="4"/>
  <c r="AE271" i="4"/>
  <c r="AE263" i="4"/>
  <c r="AE255" i="4"/>
  <c r="AE247" i="4"/>
  <c r="AE239" i="4"/>
  <c r="AE231" i="4"/>
  <c r="AE223" i="4"/>
  <c r="AE215" i="4"/>
  <c r="AE207" i="4"/>
  <c r="AE199" i="4"/>
  <c r="AE191" i="4"/>
  <c r="AE183" i="4"/>
  <c r="AE175" i="4"/>
  <c r="AE167" i="4"/>
  <c r="AE159" i="4"/>
  <c r="AE151" i="4"/>
  <c r="AE143" i="4"/>
  <c r="AE135" i="4"/>
  <c r="AE127" i="4"/>
  <c r="AE119" i="4"/>
  <c r="AE111" i="4"/>
  <c r="AE103" i="4"/>
  <c r="AE95" i="4"/>
  <c r="AE87" i="4"/>
  <c r="AE79" i="4"/>
  <c r="AE71" i="4"/>
  <c r="AE63" i="4"/>
  <c r="AE55" i="4"/>
  <c r="AE47" i="4"/>
  <c r="AE39" i="4"/>
  <c r="AE31" i="4"/>
  <c r="AE23" i="4"/>
  <c r="AE15" i="4"/>
  <c r="AE7" i="4"/>
  <c r="AE501" i="4"/>
  <c r="AE485" i="4"/>
  <c r="AE469" i="4"/>
  <c r="AE453" i="4"/>
  <c r="AE437" i="4"/>
  <c r="AE421" i="4"/>
  <c r="AE405" i="4"/>
  <c r="AE397" i="4"/>
  <c r="AE381" i="4"/>
  <c r="AE365" i="4"/>
  <c r="AE349" i="4"/>
  <c r="AE333" i="4"/>
  <c r="AE317" i="4"/>
  <c r="AE301" i="4"/>
  <c r="AE285" i="4"/>
  <c r="AE269" i="4"/>
  <c r="AE253" i="4"/>
  <c r="AE237" i="4"/>
  <c r="AE221" i="4"/>
  <c r="AE205" i="4"/>
  <c r="AE189" i="4"/>
  <c r="AE173" i="4"/>
  <c r="AE157" i="4"/>
  <c r="AE133" i="4"/>
  <c r="AE493" i="4"/>
  <c r="AE477" i="4"/>
  <c r="AE461" i="4"/>
  <c r="AE445" i="4"/>
  <c r="AE429" i="4"/>
  <c r="AE413" i="4"/>
  <c r="AE389" i="4"/>
  <c r="AE373" i="4"/>
  <c r="AE357" i="4"/>
  <c r="AE341" i="4"/>
  <c r="AE325" i="4"/>
  <c r="AE309" i="4"/>
  <c r="AE293" i="4"/>
  <c r="AE277" i="4"/>
  <c r="AE261" i="4"/>
  <c r="AE245" i="4"/>
  <c r="AE229" i="4"/>
  <c r="AE213" i="4"/>
  <c r="AE197" i="4"/>
  <c r="AE181" i="4"/>
  <c r="AE165" i="4"/>
  <c r="AE149" i="4"/>
  <c r="AE141" i="4"/>
  <c r="AE78" i="4"/>
  <c r="AE54" i="4"/>
  <c r="AE46" i="4"/>
  <c r="AE38" i="4"/>
  <c r="AE30" i="4"/>
  <c r="AE6" i="4"/>
  <c r="AE118" i="4"/>
  <c r="AE94" i="4"/>
  <c r="AE70" i="4"/>
  <c r="AE22" i="4"/>
  <c r="AE110" i="4"/>
  <c r="AE86" i="4"/>
  <c r="AE62" i="4"/>
  <c r="AE14" i="4"/>
  <c r="AE628" i="4"/>
  <c r="AE612" i="4"/>
  <c r="AE596" i="4"/>
  <c r="AE580" i="4"/>
  <c r="AE556" i="4"/>
  <c r="AE540" i="4"/>
  <c r="AE524" i="4"/>
  <c r="AE508" i="4"/>
  <c r="AE492" i="4"/>
  <c r="AE476" i="4"/>
  <c r="AE460" i="4"/>
  <c r="AE444" i="4"/>
  <c r="AE428" i="4"/>
  <c r="AE412" i="4"/>
  <c r="AE396" i="4"/>
  <c r="AE380" i="4"/>
  <c r="AE364" i="4"/>
  <c r="AE348" i="4"/>
  <c r="AE332" i="4"/>
  <c r="AE316" i="4"/>
  <c r="AE300" i="4"/>
  <c r="AE284" i="4"/>
  <c r="AE268" i="4"/>
  <c r="AE252" i="4"/>
  <c r="AE236" i="4"/>
  <c r="AE220" i="4"/>
  <c r="AE204" i="4"/>
  <c r="AE188" i="4"/>
  <c r="AE172" i="4"/>
  <c r="AE156" i="4"/>
  <c r="AE140" i="4"/>
  <c r="AE124" i="4"/>
  <c r="AE108" i="4"/>
  <c r="AE92" i="4"/>
  <c r="AE76" i="4"/>
  <c r="AE60" i="4"/>
  <c r="AE44" i="4"/>
  <c r="AE20" i="4"/>
  <c r="AE4" i="4"/>
  <c r="AE620" i="4"/>
  <c r="AE604" i="4"/>
  <c r="AE588" i="4"/>
  <c r="AE572" i="4"/>
  <c r="AE564" i="4"/>
  <c r="AE548" i="4"/>
  <c r="AE532" i="4"/>
  <c r="AE516" i="4"/>
  <c r="AE500" i="4"/>
  <c r="AE484" i="4"/>
  <c r="AE468" i="4"/>
  <c r="AE452" i="4"/>
  <c r="AE436" i="4"/>
  <c r="AE420" i="4"/>
  <c r="AE404" i="4"/>
  <c r="AE388" i="4"/>
  <c r="AE372" i="4"/>
  <c r="AE356" i="4"/>
  <c r="AE340" i="4"/>
  <c r="AE324" i="4"/>
  <c r="AE308" i="4"/>
  <c r="AE292" i="4"/>
  <c r="AE276" i="4"/>
  <c r="AE260" i="4"/>
  <c r="AE244" i="4"/>
  <c r="AE228" i="4"/>
  <c r="AE212" i="4"/>
  <c r="AE196" i="4"/>
  <c r="AE180" i="4"/>
  <c r="AE164" i="4"/>
  <c r="AE148" i="4"/>
  <c r="AE132" i="4"/>
  <c r="AE116" i="4"/>
  <c r="AE100" i="4"/>
  <c r="AE84" i="4"/>
  <c r="AE68" i="4"/>
  <c r="AE52" i="4"/>
  <c r="AE36" i="4"/>
  <c r="AE28" i="4"/>
  <c r="AE12" i="4"/>
  <c r="AG510" i="4" l="1"/>
  <c r="AH510" i="4" s="1"/>
  <c r="AG246" i="4"/>
  <c r="AG374" i="4"/>
  <c r="AG566" i="4"/>
  <c r="AG545" i="4"/>
  <c r="AH545" i="4" s="1"/>
  <c r="AG585" i="4"/>
  <c r="AH585" i="4" s="1"/>
  <c r="AG542" i="4"/>
  <c r="AH542" i="4" s="1"/>
  <c r="AG601" i="4"/>
  <c r="AH601" i="4" s="1"/>
  <c r="AG24" i="4"/>
  <c r="AH24" i="4" s="1"/>
  <c r="AG88" i="4"/>
  <c r="AH88" i="4" s="1"/>
  <c r="AG152" i="4"/>
  <c r="AH152" i="4" s="1"/>
  <c r="AG216" i="4"/>
  <c r="AH216" i="4" s="1"/>
  <c r="AG344" i="4"/>
  <c r="AH344" i="4" s="1"/>
  <c r="AG408" i="4"/>
  <c r="AH408" i="4" s="1"/>
  <c r="AG472" i="4"/>
  <c r="AH472" i="4" s="1"/>
  <c r="AG536" i="4"/>
  <c r="AH536" i="4" s="1"/>
  <c r="AG600" i="4"/>
  <c r="AH600" i="4" s="1"/>
  <c r="AG553" i="4"/>
  <c r="AH553" i="4" s="1"/>
  <c r="AG34" i="4"/>
  <c r="AH34" i="4" s="1"/>
  <c r="AG98" i="4"/>
  <c r="AH98" i="4" s="1"/>
  <c r="AG162" i="4"/>
  <c r="AH162" i="4" s="1"/>
  <c r="AG226" i="4"/>
  <c r="AH226" i="4" s="1"/>
  <c r="AG290" i="4"/>
  <c r="AH290" i="4" s="1"/>
  <c r="AG354" i="4"/>
  <c r="AH354" i="4" s="1"/>
  <c r="AG418" i="4"/>
  <c r="AH418" i="4" s="1"/>
  <c r="AG482" i="4"/>
  <c r="AH482" i="4" s="1"/>
  <c r="AG546" i="4"/>
  <c r="AH546" i="4" s="1"/>
  <c r="AG610" i="4"/>
  <c r="AH610" i="4" s="1"/>
  <c r="AG126" i="4"/>
  <c r="AH126" i="4" s="1"/>
  <c r="AG318" i="4"/>
  <c r="AH318" i="4" s="1"/>
  <c r="AG582" i="4"/>
  <c r="AH582" i="4" s="1"/>
  <c r="AG577" i="4"/>
  <c r="AH577" i="4" s="1"/>
  <c r="AG304" i="4"/>
  <c r="AH304" i="4" s="1"/>
  <c r="AG624" i="4"/>
  <c r="AH624" i="4" s="1"/>
  <c r="AG122" i="4"/>
  <c r="AH122" i="4" s="1"/>
  <c r="AG378" i="4"/>
  <c r="AH378" i="4" s="1"/>
  <c r="AG506" i="4"/>
  <c r="AH506" i="4" s="1"/>
  <c r="AG280" i="4"/>
  <c r="AH280" i="4" s="1"/>
  <c r="AG494" i="4"/>
  <c r="AH494" i="4" s="1"/>
  <c r="AG622" i="4"/>
  <c r="AH622" i="4" s="1"/>
  <c r="AG174" i="4"/>
  <c r="AH174" i="4" s="1"/>
  <c r="AG238" i="4"/>
  <c r="AH238" i="4" s="1"/>
  <c r="AG302" i="4"/>
  <c r="AH302" i="4" s="1"/>
  <c r="AG366" i="4"/>
  <c r="AH366" i="4" s="1"/>
  <c r="AG438" i="4"/>
  <c r="AH438" i="4" s="1"/>
  <c r="AG550" i="4"/>
  <c r="AH550" i="4" s="1"/>
  <c r="AG513" i="4"/>
  <c r="AH513" i="4" s="1"/>
  <c r="AG32" i="4"/>
  <c r="AH32" i="4" s="1"/>
  <c r="AG96" i="4"/>
  <c r="AH96" i="4" s="1"/>
  <c r="AG160" i="4"/>
  <c r="AH160" i="4" s="1"/>
  <c r="AG224" i="4"/>
  <c r="AH224" i="4" s="1"/>
  <c r="AG288" i="4"/>
  <c r="AH288" i="4" s="1"/>
  <c r="AG352" i="4"/>
  <c r="AH352" i="4" s="1"/>
  <c r="AG416" i="4"/>
  <c r="AH416" i="4" s="1"/>
  <c r="AG480" i="4"/>
  <c r="AH480" i="4" s="1"/>
  <c r="AG544" i="4"/>
  <c r="AH544" i="4" s="1"/>
  <c r="AG608" i="4"/>
  <c r="AH608" i="4" s="1"/>
  <c r="AG569" i="4"/>
  <c r="AH569" i="4" s="1"/>
  <c r="AG106" i="4"/>
  <c r="AH106" i="4" s="1"/>
  <c r="AG170" i="4"/>
  <c r="AH170" i="4" s="1"/>
  <c r="AG234" i="4"/>
  <c r="AH234" i="4" s="1"/>
  <c r="AG298" i="4"/>
  <c r="AH298" i="4" s="1"/>
  <c r="AG362" i="4"/>
  <c r="AH362" i="4" s="1"/>
  <c r="AG426" i="4"/>
  <c r="AH426" i="4" s="1"/>
  <c r="AG490" i="4"/>
  <c r="AH490" i="4" s="1"/>
  <c r="AG554" i="4"/>
  <c r="AH554" i="4" s="1"/>
  <c r="AG618" i="4"/>
  <c r="AH618" i="4" s="1"/>
  <c r="AG526" i="4"/>
  <c r="AH526" i="4" s="1"/>
  <c r="AG254" i="4"/>
  <c r="AH254" i="4" s="1"/>
  <c r="AG454" i="4"/>
  <c r="AH454" i="4" s="1"/>
  <c r="AG112" i="4"/>
  <c r="AH112" i="4" s="1"/>
  <c r="AG240" i="4"/>
  <c r="AH240" i="4" s="1"/>
  <c r="AG432" i="4"/>
  <c r="AH432" i="4" s="1"/>
  <c r="AG560" i="4"/>
  <c r="AH560" i="4" s="1"/>
  <c r="AG633" i="4"/>
  <c r="AH633" i="4" s="1"/>
  <c r="AG186" i="4"/>
  <c r="AH186" i="4" s="1"/>
  <c r="AG314" i="4"/>
  <c r="AH314" i="4" s="1"/>
  <c r="AG442" i="4"/>
  <c r="AH442" i="4" s="1"/>
  <c r="AG570" i="4"/>
  <c r="AH570" i="4" s="1"/>
  <c r="AG134" i="4"/>
  <c r="AH134" i="4" s="1"/>
  <c r="AG198" i="4"/>
  <c r="AH198" i="4" s="1"/>
  <c r="AG262" i="4"/>
  <c r="AH262" i="4" s="1"/>
  <c r="AG326" i="4"/>
  <c r="AH326" i="4" s="1"/>
  <c r="AG390" i="4"/>
  <c r="AH390" i="4" s="1"/>
  <c r="AG470" i="4"/>
  <c r="AH470" i="4" s="1"/>
  <c r="AG598" i="4"/>
  <c r="AH598" i="4" s="1"/>
  <c r="AG182" i="4"/>
  <c r="AH182" i="4" s="1"/>
  <c r="AG310" i="4"/>
  <c r="AH310" i="4" s="1"/>
  <c r="AG446" i="4"/>
  <c r="AH446" i="4" s="1"/>
  <c r="AG40" i="4"/>
  <c r="AH40" i="4" s="1"/>
  <c r="AG168" i="4"/>
  <c r="AH168" i="4" s="1"/>
  <c r="AG232" i="4"/>
  <c r="AH232" i="4" s="1"/>
  <c r="AG360" i="4"/>
  <c r="AH360" i="4" s="1"/>
  <c r="AG488" i="4"/>
  <c r="AH488" i="4" s="1"/>
  <c r="AG616" i="4"/>
  <c r="AH616" i="4" s="1"/>
  <c r="AG178" i="4"/>
  <c r="AH178" i="4" s="1"/>
  <c r="AG306" i="4"/>
  <c r="AH306" i="4" s="1"/>
  <c r="AG434" i="4"/>
  <c r="AH434" i="4" s="1"/>
  <c r="AG498" i="4"/>
  <c r="AH498" i="4" s="1"/>
  <c r="AG626" i="4"/>
  <c r="AH626" i="4" s="1"/>
  <c r="AG190" i="4"/>
  <c r="AH190" i="4" s="1"/>
  <c r="AG382" i="4"/>
  <c r="AH382" i="4" s="1"/>
  <c r="AG48" i="4"/>
  <c r="AH48" i="4" s="1"/>
  <c r="AG176" i="4"/>
  <c r="AH176" i="4" s="1"/>
  <c r="AG368" i="4"/>
  <c r="AH368" i="4" s="1"/>
  <c r="AG496" i="4"/>
  <c r="AH496" i="4" s="1"/>
  <c r="AG58" i="4"/>
  <c r="AH58" i="4" s="1"/>
  <c r="AG250" i="4"/>
  <c r="AH250" i="4" s="1"/>
  <c r="AG2" i="4"/>
  <c r="AH2" i="4" s="1"/>
  <c r="U84" i="4"/>
  <c r="AG259" i="4"/>
  <c r="AH259" i="4" s="1"/>
  <c r="AG371" i="4"/>
  <c r="AH371" i="4" s="1"/>
  <c r="AG558" i="4"/>
  <c r="AH558" i="4" s="1"/>
  <c r="AG142" i="4"/>
  <c r="AH142" i="4" s="1"/>
  <c r="AG206" i="4"/>
  <c r="AH206" i="4" s="1"/>
  <c r="AG270" i="4"/>
  <c r="AH270" i="4" s="1"/>
  <c r="AG334" i="4"/>
  <c r="AH334" i="4" s="1"/>
  <c r="AG398" i="4"/>
  <c r="AH398" i="4" s="1"/>
  <c r="AG486" i="4"/>
  <c r="AH486" i="4" s="1"/>
  <c r="AG614" i="4"/>
  <c r="AH614" i="4" s="1"/>
  <c r="AG102" i="4"/>
  <c r="AH102" i="4" s="1"/>
  <c r="AG104" i="4"/>
  <c r="AH104" i="4" s="1"/>
  <c r="AG296" i="4"/>
  <c r="AH296" i="4" s="1"/>
  <c r="AG424" i="4"/>
  <c r="AH424" i="4" s="1"/>
  <c r="AG552" i="4"/>
  <c r="AH552" i="4" s="1"/>
  <c r="AG50" i="4"/>
  <c r="AH50" i="4" s="1"/>
  <c r="AG242" i="4"/>
  <c r="AH242" i="4" s="1"/>
  <c r="AG370" i="4"/>
  <c r="AH370" i="4" s="1"/>
  <c r="AG562" i="4"/>
  <c r="AH562" i="4" s="1"/>
  <c r="AG67" i="4"/>
  <c r="AH67" i="4" s="1"/>
  <c r="AG131" i="4"/>
  <c r="AH131" i="4" s="1"/>
  <c r="AG195" i="4"/>
  <c r="AH195" i="4" s="1"/>
  <c r="AG307" i="4"/>
  <c r="AH307" i="4" s="1"/>
  <c r="AG235" i="4"/>
  <c r="AH235" i="4" s="1"/>
  <c r="AG430" i="4"/>
  <c r="AH430" i="4" s="1"/>
  <c r="AG574" i="4"/>
  <c r="AH574" i="4" s="1"/>
  <c r="AG150" i="4"/>
  <c r="AH150" i="4" s="1"/>
  <c r="AG214" i="4"/>
  <c r="AH214" i="4" s="1"/>
  <c r="AG278" i="4"/>
  <c r="AH278" i="4" s="1"/>
  <c r="AG342" i="4"/>
  <c r="AH342" i="4" s="1"/>
  <c r="AG406" i="4"/>
  <c r="AH406" i="4" s="1"/>
  <c r="AG502" i="4"/>
  <c r="AH502" i="4" s="1"/>
  <c r="AG630" i="4"/>
  <c r="AH630" i="4" s="1"/>
  <c r="AG617" i="4"/>
  <c r="AH617" i="4" s="1"/>
  <c r="AG64" i="4"/>
  <c r="AH64" i="4" s="1"/>
  <c r="AG128" i="4"/>
  <c r="AH128" i="4" s="1"/>
  <c r="AG192" i="4"/>
  <c r="AH192" i="4" s="1"/>
  <c r="AG256" i="4"/>
  <c r="AH256" i="4" s="1"/>
  <c r="AG320" i="4"/>
  <c r="AH320" i="4" s="1"/>
  <c r="AG384" i="4"/>
  <c r="AH384" i="4" s="1"/>
  <c r="AG448" i="4"/>
  <c r="AH448" i="4" s="1"/>
  <c r="AG512" i="4"/>
  <c r="AH512" i="4" s="1"/>
  <c r="AG576" i="4"/>
  <c r="AH576" i="4" s="1"/>
  <c r="AG521" i="4"/>
  <c r="AH521" i="4" s="1"/>
  <c r="AG10" i="4"/>
  <c r="AH10" i="4" s="1"/>
  <c r="AG74" i="4"/>
  <c r="AH74" i="4" s="1"/>
  <c r="AG138" i="4"/>
  <c r="AH138" i="4" s="1"/>
  <c r="AG202" i="4"/>
  <c r="AH202" i="4" s="1"/>
  <c r="AG266" i="4"/>
  <c r="AH266" i="4" s="1"/>
  <c r="AG330" i="4"/>
  <c r="AH330" i="4" s="1"/>
  <c r="AG394" i="4"/>
  <c r="AH394" i="4" s="1"/>
  <c r="AG458" i="4"/>
  <c r="AH458" i="4" s="1"/>
  <c r="AG522" i="4"/>
  <c r="AH522" i="4" s="1"/>
  <c r="AG586" i="4"/>
  <c r="AH586" i="4" s="1"/>
  <c r="AG27" i="4"/>
  <c r="AH27" i="4" s="1"/>
  <c r="AG555" i="4"/>
  <c r="AH555" i="4" s="1"/>
  <c r="AG101" i="4"/>
  <c r="AH101" i="4" s="1"/>
  <c r="AG155" i="4"/>
  <c r="AH155" i="4" s="1"/>
  <c r="AG505" i="4"/>
  <c r="AH505" i="4" s="1"/>
  <c r="AG8" i="4"/>
  <c r="AH8" i="4" s="1"/>
  <c r="AG72" i="4"/>
  <c r="AH72" i="4" s="1"/>
  <c r="AG136" i="4"/>
  <c r="AH136" i="4" s="1"/>
  <c r="AG200" i="4"/>
  <c r="AH200" i="4" s="1"/>
  <c r="AG264" i="4"/>
  <c r="AH264" i="4" s="1"/>
  <c r="AG328" i="4"/>
  <c r="AH328" i="4" s="1"/>
  <c r="AG392" i="4"/>
  <c r="AH392" i="4" s="1"/>
  <c r="AG456" i="4"/>
  <c r="AH456" i="4" s="1"/>
  <c r="AG520" i="4"/>
  <c r="AH520" i="4" s="1"/>
  <c r="AG584" i="4"/>
  <c r="AH584" i="4" s="1"/>
  <c r="AG529" i="4"/>
  <c r="AH529" i="4" s="1"/>
  <c r="AG478" i="4"/>
  <c r="AH478" i="4" s="1"/>
  <c r="AG606" i="4"/>
  <c r="AH606" i="4" s="1"/>
  <c r="AG166" i="4"/>
  <c r="AH166" i="4" s="1"/>
  <c r="AG230" i="4"/>
  <c r="AH230" i="4" s="1"/>
  <c r="AG294" i="4"/>
  <c r="AH294" i="4" s="1"/>
  <c r="AG358" i="4"/>
  <c r="AH358" i="4" s="1"/>
  <c r="AG422" i="4"/>
  <c r="AH422" i="4" s="1"/>
  <c r="AG534" i="4"/>
  <c r="AH534" i="4" s="1"/>
  <c r="AG299" i="4"/>
  <c r="AH299" i="4" s="1"/>
  <c r="AG561" i="4"/>
  <c r="AH561" i="4" s="1"/>
  <c r="AG16" i="4"/>
  <c r="AH16" i="4" s="1"/>
  <c r="AG80" i="4"/>
  <c r="AH80" i="4" s="1"/>
  <c r="AG144" i="4"/>
  <c r="AH144" i="4" s="1"/>
  <c r="AG208" i="4"/>
  <c r="AH208" i="4" s="1"/>
  <c r="AG272" i="4"/>
  <c r="AH272" i="4" s="1"/>
  <c r="AG336" i="4"/>
  <c r="AH336" i="4" s="1"/>
  <c r="AG400" i="4"/>
  <c r="AH400" i="4" s="1"/>
  <c r="AG464" i="4"/>
  <c r="AH464" i="4" s="1"/>
  <c r="AG528" i="4"/>
  <c r="AH528" i="4" s="1"/>
  <c r="AG592" i="4"/>
  <c r="AH592" i="4" s="1"/>
  <c r="AG537" i="4"/>
  <c r="AH537" i="4" s="1"/>
  <c r="AG90" i="4"/>
  <c r="AH90" i="4" s="1"/>
  <c r="AG154" i="4"/>
  <c r="AH154" i="4" s="1"/>
  <c r="AG218" i="4"/>
  <c r="AH218" i="4" s="1"/>
  <c r="AG282" i="4"/>
  <c r="AH282" i="4" s="1"/>
  <c r="AG346" i="4"/>
  <c r="AH346" i="4" s="1"/>
  <c r="AG410" i="4"/>
  <c r="AH410" i="4" s="1"/>
  <c r="AG474" i="4"/>
  <c r="AH474" i="4" s="1"/>
  <c r="AG538" i="4"/>
  <c r="AH538" i="4" s="1"/>
  <c r="AG602" i="4"/>
  <c r="AH602" i="4" s="1"/>
  <c r="AG35" i="4"/>
  <c r="AH35" i="4" s="1"/>
  <c r="AG163" i="4"/>
  <c r="AH163" i="4" s="1"/>
  <c r="AG515" i="4"/>
  <c r="AH515" i="4" s="1"/>
  <c r="AG227" i="4"/>
  <c r="AH227" i="4" s="1"/>
  <c r="AG267" i="4"/>
  <c r="AH267" i="4" s="1"/>
  <c r="AG339" i="4"/>
  <c r="AH339" i="4" s="1"/>
  <c r="AG483" i="4"/>
  <c r="AH483" i="4" s="1"/>
  <c r="AG523" i="4"/>
  <c r="AH523" i="4" s="1"/>
  <c r="AG595" i="4"/>
  <c r="AH595" i="4" s="1"/>
  <c r="AG451" i="4"/>
  <c r="AH451" i="4" s="1"/>
  <c r="AG491" i="4"/>
  <c r="AH491" i="4" s="1"/>
  <c r="AG563" i="4"/>
  <c r="AH563" i="4" s="1"/>
  <c r="AG37" i="4"/>
  <c r="AH37" i="4" s="1"/>
  <c r="AG109" i="4"/>
  <c r="AH109" i="4" s="1"/>
  <c r="AG275" i="4"/>
  <c r="AH275" i="4" s="1"/>
  <c r="AG347" i="4"/>
  <c r="AH347" i="4" s="1"/>
  <c r="AG531" i="4"/>
  <c r="AH531" i="4" s="1"/>
  <c r="AG603" i="4"/>
  <c r="AH603" i="4" s="1"/>
  <c r="AG5" i="4"/>
  <c r="AH5" i="4" s="1"/>
  <c r="AG139" i="4"/>
  <c r="AH139" i="4" s="1"/>
  <c r="AG243" i="4"/>
  <c r="AH243" i="4" s="1"/>
  <c r="AG499" i="4"/>
  <c r="AH499" i="4" s="1"/>
  <c r="AG117" i="4"/>
  <c r="AH117" i="4" s="1"/>
  <c r="AG462" i="4"/>
  <c r="AH462" i="4" s="1"/>
  <c r="AG590" i="4"/>
  <c r="AH590" i="4" s="1"/>
  <c r="AG158" i="4"/>
  <c r="AH158" i="4" s="1"/>
  <c r="AG222" i="4"/>
  <c r="AH222" i="4" s="1"/>
  <c r="AG286" i="4"/>
  <c r="AH286" i="4" s="1"/>
  <c r="AG350" i="4"/>
  <c r="AH350" i="4" s="1"/>
  <c r="AG414" i="4"/>
  <c r="AH414" i="4" s="1"/>
  <c r="AG518" i="4"/>
  <c r="AH518" i="4" s="1"/>
  <c r="AG593" i="4"/>
  <c r="AH593" i="4" s="1"/>
  <c r="AG56" i="4"/>
  <c r="AH56" i="4" s="1"/>
  <c r="AG120" i="4"/>
  <c r="AH120" i="4" s="1"/>
  <c r="AG184" i="4"/>
  <c r="AH184" i="4" s="1"/>
  <c r="AG248" i="4"/>
  <c r="AH248" i="4" s="1"/>
  <c r="AG312" i="4"/>
  <c r="AH312" i="4" s="1"/>
  <c r="AG376" i="4"/>
  <c r="AH376" i="4" s="1"/>
  <c r="AG440" i="4"/>
  <c r="AH440" i="4" s="1"/>
  <c r="AG504" i="4"/>
  <c r="AH504" i="4" s="1"/>
  <c r="AG568" i="4"/>
  <c r="AH568" i="4" s="1"/>
  <c r="AG632" i="4"/>
  <c r="AH632" i="4" s="1"/>
  <c r="AG625" i="4"/>
  <c r="AH625" i="4" s="1"/>
  <c r="AG66" i="4"/>
  <c r="AH66" i="4" s="1"/>
  <c r="AG130" i="4"/>
  <c r="AH130" i="4" s="1"/>
  <c r="AG194" i="4"/>
  <c r="AH194" i="4" s="1"/>
  <c r="AG258" i="4"/>
  <c r="AH258" i="4" s="1"/>
  <c r="AG322" i="4"/>
  <c r="AH322" i="4" s="1"/>
  <c r="AG386" i="4"/>
  <c r="AH386" i="4" s="1"/>
  <c r="AG450" i="4"/>
  <c r="AH450" i="4" s="1"/>
  <c r="AG514" i="4"/>
  <c r="AH514" i="4" s="1"/>
  <c r="AG578" i="4"/>
  <c r="AH578" i="4" s="1"/>
  <c r="AG609" i="4"/>
  <c r="AH609" i="4" s="1"/>
  <c r="AG395" i="4"/>
  <c r="AH395" i="4" s="1"/>
  <c r="AG467" i="4"/>
  <c r="AH467" i="4" s="1"/>
  <c r="AG19" i="4"/>
  <c r="AH19" i="4" s="1"/>
  <c r="AG51" i="4"/>
  <c r="AH51" i="4" s="1"/>
  <c r="AG115" i="4"/>
  <c r="AH115" i="4" s="1"/>
  <c r="AG147" i="4"/>
  <c r="AH147" i="4" s="1"/>
  <c r="AG363" i="4"/>
  <c r="AH363" i="4" s="1"/>
  <c r="AG619" i="4"/>
  <c r="AH619" i="4" s="1"/>
  <c r="AG18" i="4"/>
  <c r="AH18" i="4" s="1"/>
  <c r="AG82" i="4"/>
  <c r="AH82" i="4" s="1"/>
  <c r="AG146" i="4"/>
  <c r="AH146" i="4" s="1"/>
  <c r="AG210" i="4"/>
  <c r="AH210" i="4" s="1"/>
  <c r="AG274" i="4"/>
  <c r="AH274" i="4" s="1"/>
  <c r="AG338" i="4"/>
  <c r="AH338" i="4" s="1"/>
  <c r="AG402" i="4"/>
  <c r="AH402" i="4" s="1"/>
  <c r="AG466" i="4"/>
  <c r="AH466" i="4" s="1"/>
  <c r="AG530" i="4"/>
  <c r="AH530" i="4" s="1"/>
  <c r="AG594" i="4"/>
  <c r="AH594" i="4" s="1"/>
  <c r="AG403" i="4"/>
  <c r="AH403" i="4" s="1"/>
  <c r="AH566" i="4"/>
  <c r="AH374" i="4"/>
  <c r="AH246" i="4"/>
  <c r="AG588" i="4"/>
  <c r="AH588" i="4" s="1"/>
  <c r="AG389" i="4"/>
  <c r="AH389" i="4" s="1"/>
  <c r="AG405" i="4"/>
  <c r="AH405" i="4" s="1"/>
  <c r="AG215" i="4"/>
  <c r="AH215" i="4" s="1"/>
  <c r="AG471" i="4"/>
  <c r="AH471" i="4" s="1"/>
  <c r="AG185" i="4"/>
  <c r="AH185" i="4" s="1"/>
  <c r="AG313" i="4"/>
  <c r="AH313" i="4" s="1"/>
  <c r="AG509" i="4"/>
  <c r="AH509" i="4" s="1"/>
  <c r="AG100" i="4"/>
  <c r="AH100" i="4" s="1"/>
  <c r="AG228" i="4"/>
  <c r="AH228" i="4" s="1"/>
  <c r="AG356" i="4"/>
  <c r="AH356" i="4" s="1"/>
  <c r="AG484" i="4"/>
  <c r="AH484" i="4" s="1"/>
  <c r="AG604" i="4"/>
  <c r="AH604" i="4" s="1"/>
  <c r="AG108" i="4"/>
  <c r="AH108" i="4" s="1"/>
  <c r="AG236" i="4"/>
  <c r="AH236" i="4" s="1"/>
  <c r="AG364" i="4"/>
  <c r="AH364" i="4" s="1"/>
  <c r="AG492" i="4"/>
  <c r="AH492" i="4" s="1"/>
  <c r="AG628" i="4"/>
  <c r="AH628" i="4" s="1"/>
  <c r="AG118" i="4"/>
  <c r="AH118" i="4" s="1"/>
  <c r="AG149" i="4"/>
  <c r="AH149" i="4" s="1"/>
  <c r="AG277" i="4"/>
  <c r="AH277" i="4" s="1"/>
  <c r="AG413" i="4"/>
  <c r="AH413" i="4" s="1"/>
  <c r="AG173" i="4"/>
  <c r="AH173" i="4" s="1"/>
  <c r="AG301" i="4"/>
  <c r="AH301" i="4" s="1"/>
  <c r="AG421" i="4"/>
  <c r="AH421" i="4" s="1"/>
  <c r="AG31" i="4"/>
  <c r="AH31" i="4" s="1"/>
  <c r="AG95" i="4"/>
  <c r="AH95" i="4" s="1"/>
  <c r="AG159" i="4"/>
  <c r="AH159" i="4" s="1"/>
  <c r="AG223" i="4"/>
  <c r="AH223" i="4" s="1"/>
  <c r="AG287" i="4"/>
  <c r="AH287" i="4" s="1"/>
  <c r="AG351" i="4"/>
  <c r="AH351" i="4" s="1"/>
  <c r="AG415" i="4"/>
  <c r="AH415" i="4" s="1"/>
  <c r="AG479" i="4"/>
  <c r="AH479" i="4" s="1"/>
  <c r="AG543" i="4"/>
  <c r="AH543" i="4" s="1"/>
  <c r="AG65" i="4"/>
  <c r="AH65" i="4" s="1"/>
  <c r="AG129" i="4"/>
  <c r="AH129" i="4" s="1"/>
  <c r="AG193" i="4"/>
  <c r="AH193" i="4" s="1"/>
  <c r="AG257" i="4"/>
  <c r="AH257" i="4" s="1"/>
  <c r="AG321" i="4"/>
  <c r="AH321" i="4" s="1"/>
  <c r="AG385" i="4"/>
  <c r="AH385" i="4" s="1"/>
  <c r="AG449" i="4"/>
  <c r="AH449" i="4" s="1"/>
  <c r="AG573" i="4"/>
  <c r="AH573" i="4" s="1"/>
  <c r="AG517" i="4"/>
  <c r="AH517" i="4" s="1"/>
  <c r="AG468" i="4"/>
  <c r="AH468" i="4" s="1"/>
  <c r="AG612" i="4"/>
  <c r="AH612" i="4" s="1"/>
  <c r="AG261" i="4"/>
  <c r="AH261" i="4" s="1"/>
  <c r="AG23" i="4"/>
  <c r="AH23" i="4" s="1"/>
  <c r="AG151" i="4"/>
  <c r="AH151" i="4" s="1"/>
  <c r="AG535" i="4"/>
  <c r="AH535" i="4" s="1"/>
  <c r="AG441" i="4"/>
  <c r="AH441" i="4" s="1"/>
  <c r="AG557" i="4"/>
  <c r="AH557" i="4" s="1"/>
  <c r="AG116" i="4"/>
  <c r="AH116" i="4" s="1"/>
  <c r="AG244" i="4"/>
  <c r="AH244" i="4" s="1"/>
  <c r="AG372" i="4"/>
  <c r="AH372" i="4" s="1"/>
  <c r="AG500" i="4"/>
  <c r="AH500" i="4" s="1"/>
  <c r="AG620" i="4"/>
  <c r="AH620" i="4" s="1"/>
  <c r="AG124" i="4"/>
  <c r="AH124" i="4" s="1"/>
  <c r="AG252" i="4"/>
  <c r="AH252" i="4" s="1"/>
  <c r="AG380" i="4"/>
  <c r="AH380" i="4" s="1"/>
  <c r="AG508" i="4"/>
  <c r="AH508" i="4" s="1"/>
  <c r="AG14" i="4"/>
  <c r="AH14" i="4" s="1"/>
  <c r="AG6" i="4"/>
  <c r="AH6" i="4" s="1"/>
  <c r="AG165" i="4"/>
  <c r="AH165" i="4" s="1"/>
  <c r="AG293" i="4"/>
  <c r="AH293" i="4" s="1"/>
  <c r="AG429" i="4"/>
  <c r="AH429" i="4" s="1"/>
  <c r="AG189" i="4"/>
  <c r="AH189" i="4" s="1"/>
  <c r="AG317" i="4"/>
  <c r="AH317" i="4" s="1"/>
  <c r="AG437" i="4"/>
  <c r="AH437" i="4" s="1"/>
  <c r="AG39" i="4"/>
  <c r="AH39" i="4" s="1"/>
  <c r="AG103" i="4"/>
  <c r="AH103" i="4" s="1"/>
  <c r="AG167" i="4"/>
  <c r="AH167" i="4" s="1"/>
  <c r="AG231" i="4"/>
  <c r="AH231" i="4" s="1"/>
  <c r="AG295" i="4"/>
  <c r="AH295" i="4" s="1"/>
  <c r="AG359" i="4"/>
  <c r="AH359" i="4" s="1"/>
  <c r="AG423" i="4"/>
  <c r="AH423" i="4" s="1"/>
  <c r="AG487" i="4"/>
  <c r="AH487" i="4" s="1"/>
  <c r="AG551" i="4"/>
  <c r="AH551" i="4" s="1"/>
  <c r="AG9" i="4"/>
  <c r="AH9" i="4" s="1"/>
  <c r="AG73" i="4"/>
  <c r="AH73" i="4" s="1"/>
  <c r="AG137" i="4"/>
  <c r="AH137" i="4" s="1"/>
  <c r="AG201" i="4"/>
  <c r="AH201" i="4" s="1"/>
  <c r="AG265" i="4"/>
  <c r="AH265" i="4" s="1"/>
  <c r="AG329" i="4"/>
  <c r="AH329" i="4" s="1"/>
  <c r="AG393" i="4"/>
  <c r="AH393" i="4" s="1"/>
  <c r="AG457" i="4"/>
  <c r="AH457" i="4" s="1"/>
  <c r="AG589" i="4"/>
  <c r="AH589" i="4" s="1"/>
  <c r="AG533" i="4"/>
  <c r="AH533" i="4" s="1"/>
  <c r="AG591" i="4"/>
  <c r="AH591" i="4" s="1"/>
  <c r="AG212" i="4"/>
  <c r="AH212" i="4" s="1"/>
  <c r="AG220" i="4"/>
  <c r="AH220" i="4" s="1"/>
  <c r="AG94" i="4"/>
  <c r="AH94" i="4" s="1"/>
  <c r="AG141" i="4"/>
  <c r="AH141" i="4" s="1"/>
  <c r="AG279" i="4"/>
  <c r="AH279" i="4" s="1"/>
  <c r="AG57" i="4"/>
  <c r="AH57" i="4" s="1"/>
  <c r="AG249" i="4"/>
  <c r="AH249" i="4" s="1"/>
  <c r="AG516" i="4"/>
  <c r="AH516" i="4" s="1"/>
  <c r="AG268" i="4"/>
  <c r="AH268" i="4" s="1"/>
  <c r="AG30" i="4"/>
  <c r="AH30" i="4" s="1"/>
  <c r="AG181" i="4"/>
  <c r="AH181" i="4" s="1"/>
  <c r="AG333" i="4"/>
  <c r="AH333" i="4" s="1"/>
  <c r="AG47" i="4"/>
  <c r="AH47" i="4" s="1"/>
  <c r="AG239" i="4"/>
  <c r="AH239" i="4" s="1"/>
  <c r="AG431" i="4"/>
  <c r="AH431" i="4" s="1"/>
  <c r="AG81" i="4"/>
  <c r="AH81" i="4" s="1"/>
  <c r="AG273" i="4"/>
  <c r="AH273" i="4" s="1"/>
  <c r="AG465" i="4"/>
  <c r="AH465" i="4" s="1"/>
  <c r="AG605" i="4"/>
  <c r="AH605" i="4" s="1"/>
  <c r="AG549" i="4"/>
  <c r="AH549" i="4" s="1"/>
  <c r="AG599" i="4"/>
  <c r="AH599" i="4" s="1"/>
  <c r="AG28" i="4"/>
  <c r="AH28" i="4" s="1"/>
  <c r="AG148" i="4"/>
  <c r="AH148" i="4" s="1"/>
  <c r="AG276" i="4"/>
  <c r="AH276" i="4" s="1"/>
  <c r="AG404" i="4"/>
  <c r="AH404" i="4" s="1"/>
  <c r="AG532" i="4"/>
  <c r="AH532" i="4" s="1"/>
  <c r="AG20" i="4"/>
  <c r="AH20" i="4" s="1"/>
  <c r="AG156" i="4"/>
  <c r="AH156" i="4" s="1"/>
  <c r="AG284" i="4"/>
  <c r="AH284" i="4" s="1"/>
  <c r="AG412" i="4"/>
  <c r="AH412" i="4" s="1"/>
  <c r="AG540" i="4"/>
  <c r="AH540" i="4" s="1"/>
  <c r="AG86" i="4"/>
  <c r="AH86" i="4" s="1"/>
  <c r="AG38" i="4"/>
  <c r="AH38" i="4" s="1"/>
  <c r="AG197" i="4"/>
  <c r="AH197" i="4" s="1"/>
  <c r="AG325" i="4"/>
  <c r="AH325" i="4" s="1"/>
  <c r="AG461" i="4"/>
  <c r="AH461" i="4" s="1"/>
  <c r="AG221" i="4"/>
  <c r="AH221" i="4" s="1"/>
  <c r="AG349" i="4"/>
  <c r="AH349" i="4" s="1"/>
  <c r="AG469" i="4"/>
  <c r="AH469" i="4" s="1"/>
  <c r="AG55" i="4"/>
  <c r="AH55" i="4" s="1"/>
  <c r="AG119" i="4"/>
  <c r="AH119" i="4" s="1"/>
  <c r="AG183" i="4"/>
  <c r="AH183" i="4" s="1"/>
  <c r="AG247" i="4"/>
  <c r="AH247" i="4" s="1"/>
  <c r="AG311" i="4"/>
  <c r="AH311" i="4" s="1"/>
  <c r="AG375" i="4"/>
  <c r="AH375" i="4" s="1"/>
  <c r="AG439" i="4"/>
  <c r="AH439" i="4" s="1"/>
  <c r="AG503" i="4"/>
  <c r="AH503" i="4" s="1"/>
  <c r="AG567" i="4"/>
  <c r="AH567" i="4" s="1"/>
  <c r="AG25" i="4"/>
  <c r="AH25" i="4" s="1"/>
  <c r="AG89" i="4"/>
  <c r="AH89" i="4" s="1"/>
  <c r="AG153" i="4"/>
  <c r="AH153" i="4" s="1"/>
  <c r="AG217" i="4"/>
  <c r="AH217" i="4" s="1"/>
  <c r="AG281" i="4"/>
  <c r="AH281" i="4" s="1"/>
  <c r="AG345" i="4"/>
  <c r="AH345" i="4" s="1"/>
  <c r="AG409" i="4"/>
  <c r="AH409" i="4" s="1"/>
  <c r="AG473" i="4"/>
  <c r="AH473" i="4" s="1"/>
  <c r="AG613" i="4"/>
  <c r="AH613" i="4" s="1"/>
  <c r="AG565" i="4"/>
  <c r="AH565" i="4" s="1"/>
  <c r="AG607" i="4"/>
  <c r="AH607" i="4" s="1"/>
  <c r="AG84" i="4"/>
  <c r="AH84" i="4" s="1"/>
  <c r="AG92" i="4"/>
  <c r="AH92" i="4" s="1"/>
  <c r="AG157" i="4"/>
  <c r="AH157" i="4" s="1"/>
  <c r="AG407" i="4"/>
  <c r="AH407" i="4" s="1"/>
  <c r="AG121" i="4"/>
  <c r="AH121" i="4" s="1"/>
  <c r="AG12" i="4"/>
  <c r="AH12" i="4" s="1"/>
  <c r="AG260" i="4"/>
  <c r="AH260" i="4" s="1"/>
  <c r="AG4" i="4"/>
  <c r="AH4" i="4" s="1"/>
  <c r="AG396" i="4"/>
  <c r="AH396" i="4" s="1"/>
  <c r="AG62" i="4"/>
  <c r="AH62" i="4" s="1"/>
  <c r="AG309" i="4"/>
  <c r="AH309" i="4" s="1"/>
  <c r="AG453" i="4"/>
  <c r="AH453" i="4" s="1"/>
  <c r="AG111" i="4"/>
  <c r="AH111" i="4" s="1"/>
  <c r="AG303" i="4"/>
  <c r="AH303" i="4" s="1"/>
  <c r="AG495" i="4"/>
  <c r="AH495" i="4" s="1"/>
  <c r="AG145" i="4"/>
  <c r="AH145" i="4" s="1"/>
  <c r="AG401" i="4"/>
  <c r="AH401" i="4" s="1"/>
  <c r="AG44" i="4"/>
  <c r="AH44" i="4" s="1"/>
  <c r="AG300" i="4"/>
  <c r="AH300" i="4" s="1"/>
  <c r="AG428" i="4"/>
  <c r="AH428" i="4" s="1"/>
  <c r="AG110" i="4"/>
  <c r="AH110" i="4" s="1"/>
  <c r="AG213" i="4"/>
  <c r="AH213" i="4" s="1"/>
  <c r="AG237" i="4"/>
  <c r="AH237" i="4" s="1"/>
  <c r="AG485" i="4"/>
  <c r="AH485" i="4" s="1"/>
  <c r="AG63" i="4"/>
  <c r="AH63" i="4" s="1"/>
  <c r="AG191" i="4"/>
  <c r="AH191" i="4" s="1"/>
  <c r="AG383" i="4"/>
  <c r="AH383" i="4" s="1"/>
  <c r="AG575" i="4"/>
  <c r="AH575" i="4" s="1"/>
  <c r="AG33" i="4"/>
  <c r="AH33" i="4" s="1"/>
  <c r="AG161" i="4"/>
  <c r="AH161" i="4" s="1"/>
  <c r="AG225" i="4"/>
  <c r="AH225" i="4" s="1"/>
  <c r="AG289" i="4"/>
  <c r="AH289" i="4" s="1"/>
  <c r="AG353" i="4"/>
  <c r="AH353" i="4" s="1"/>
  <c r="AG417" i="4"/>
  <c r="AH417" i="4" s="1"/>
  <c r="AG481" i="4"/>
  <c r="AH481" i="4" s="1"/>
  <c r="AG629" i="4"/>
  <c r="AH629" i="4" s="1"/>
  <c r="AG581" i="4"/>
  <c r="AH581" i="4" s="1"/>
  <c r="AG615" i="4"/>
  <c r="AH615" i="4" s="1"/>
  <c r="AG476" i="4"/>
  <c r="AH476" i="4" s="1"/>
  <c r="AG87" i="4"/>
  <c r="AH87" i="4" s="1"/>
  <c r="AG343" i="4"/>
  <c r="AH343" i="4" s="1"/>
  <c r="AG377" i="4"/>
  <c r="AH377" i="4" s="1"/>
  <c r="AG132" i="4"/>
  <c r="AH132" i="4" s="1"/>
  <c r="AG388" i="4"/>
  <c r="AH388" i="4" s="1"/>
  <c r="AG140" i="4"/>
  <c r="AH140" i="4" s="1"/>
  <c r="AG524" i="4"/>
  <c r="AH524" i="4" s="1"/>
  <c r="AG445" i="4"/>
  <c r="AH445" i="4" s="1"/>
  <c r="AG205" i="4"/>
  <c r="AH205" i="4" s="1"/>
  <c r="AG175" i="4"/>
  <c r="AH175" i="4" s="1"/>
  <c r="AG367" i="4"/>
  <c r="AH367" i="4" s="1"/>
  <c r="AG559" i="4"/>
  <c r="AH559" i="4" s="1"/>
  <c r="AG17" i="4"/>
  <c r="AH17" i="4" s="1"/>
  <c r="AG209" i="4"/>
  <c r="AH209" i="4" s="1"/>
  <c r="AG337" i="4"/>
  <c r="AH337" i="4" s="1"/>
  <c r="AG36" i="4"/>
  <c r="AH36" i="4" s="1"/>
  <c r="AG164" i="4"/>
  <c r="AH164" i="4" s="1"/>
  <c r="AG292" i="4"/>
  <c r="AH292" i="4" s="1"/>
  <c r="AG420" i="4"/>
  <c r="AH420" i="4" s="1"/>
  <c r="AG548" i="4"/>
  <c r="AH548" i="4" s="1"/>
  <c r="AG172" i="4"/>
  <c r="AH172" i="4" s="1"/>
  <c r="AG556" i="4"/>
  <c r="AH556" i="4" s="1"/>
  <c r="AG46" i="4"/>
  <c r="AH46" i="4" s="1"/>
  <c r="AG341" i="4"/>
  <c r="AH341" i="4" s="1"/>
  <c r="AG477" i="4"/>
  <c r="AH477" i="4" s="1"/>
  <c r="AG365" i="4"/>
  <c r="AH365" i="4" s="1"/>
  <c r="AG127" i="4"/>
  <c r="AH127" i="4" s="1"/>
  <c r="AG255" i="4"/>
  <c r="AH255" i="4" s="1"/>
  <c r="AG319" i="4"/>
  <c r="AH319" i="4" s="1"/>
  <c r="AG447" i="4"/>
  <c r="AH447" i="4" s="1"/>
  <c r="AG511" i="4"/>
  <c r="AH511" i="4" s="1"/>
  <c r="AG97" i="4"/>
  <c r="AH97" i="4" s="1"/>
  <c r="AG52" i="4"/>
  <c r="AH52" i="4" s="1"/>
  <c r="AG180" i="4"/>
  <c r="AH180" i="4" s="1"/>
  <c r="AG308" i="4"/>
  <c r="AH308" i="4" s="1"/>
  <c r="AG436" i="4"/>
  <c r="AH436" i="4" s="1"/>
  <c r="AG564" i="4"/>
  <c r="AH564" i="4" s="1"/>
  <c r="AG60" i="4"/>
  <c r="AH60" i="4" s="1"/>
  <c r="AG188" i="4"/>
  <c r="AH188" i="4" s="1"/>
  <c r="AG316" i="4"/>
  <c r="AH316" i="4" s="1"/>
  <c r="AG444" i="4"/>
  <c r="AH444" i="4" s="1"/>
  <c r="AG580" i="4"/>
  <c r="AH580" i="4" s="1"/>
  <c r="AG22" i="4"/>
  <c r="AH22" i="4" s="1"/>
  <c r="AG54" i="4"/>
  <c r="AH54" i="4" s="1"/>
  <c r="AG229" i="4"/>
  <c r="AH229" i="4" s="1"/>
  <c r="AG357" i="4"/>
  <c r="AH357" i="4" s="1"/>
  <c r="AG493" i="4"/>
  <c r="AH493" i="4" s="1"/>
  <c r="AG253" i="4"/>
  <c r="AH253" i="4" s="1"/>
  <c r="AG381" i="4"/>
  <c r="AH381" i="4" s="1"/>
  <c r="AG501" i="4"/>
  <c r="AH501" i="4" s="1"/>
  <c r="AG7" i="4"/>
  <c r="AH7" i="4" s="1"/>
  <c r="AG71" i="4"/>
  <c r="AH71" i="4" s="1"/>
  <c r="AG135" i="4"/>
  <c r="AH135" i="4" s="1"/>
  <c r="AG199" i="4"/>
  <c r="AH199" i="4" s="1"/>
  <c r="AG263" i="4"/>
  <c r="AH263" i="4" s="1"/>
  <c r="AG327" i="4"/>
  <c r="AH327" i="4" s="1"/>
  <c r="AG391" i="4"/>
  <c r="AH391" i="4" s="1"/>
  <c r="AG455" i="4"/>
  <c r="AH455" i="4" s="1"/>
  <c r="AG519" i="4"/>
  <c r="AH519" i="4" s="1"/>
  <c r="AG583" i="4"/>
  <c r="AH583" i="4" s="1"/>
  <c r="AG41" i="4"/>
  <c r="AH41" i="4" s="1"/>
  <c r="AG105" i="4"/>
  <c r="AH105" i="4" s="1"/>
  <c r="AG169" i="4"/>
  <c r="AH169" i="4" s="1"/>
  <c r="AG233" i="4"/>
  <c r="AH233" i="4" s="1"/>
  <c r="AG297" i="4"/>
  <c r="AH297" i="4" s="1"/>
  <c r="AG361" i="4"/>
  <c r="AH361" i="4" s="1"/>
  <c r="AG425" i="4"/>
  <c r="AH425" i="4" s="1"/>
  <c r="AG489" i="4"/>
  <c r="AH489" i="4" s="1"/>
  <c r="AG525" i="4"/>
  <c r="AH525" i="4" s="1"/>
  <c r="AG597" i="4"/>
  <c r="AH597" i="4" s="1"/>
  <c r="AG623" i="4"/>
  <c r="AH623" i="4" s="1"/>
  <c r="AG340" i="4"/>
  <c r="AH340" i="4" s="1"/>
  <c r="AG348" i="4"/>
  <c r="AH348" i="4" s="1"/>
  <c r="AG285" i="4"/>
  <c r="AH285" i="4" s="1"/>
  <c r="AG68" i="4"/>
  <c r="AH68" i="4" s="1"/>
  <c r="AG196" i="4"/>
  <c r="AH196" i="4" s="1"/>
  <c r="AG324" i="4"/>
  <c r="AH324" i="4" s="1"/>
  <c r="AG452" i="4"/>
  <c r="AH452" i="4" s="1"/>
  <c r="AG572" i="4"/>
  <c r="AH572" i="4" s="1"/>
  <c r="AG76" i="4"/>
  <c r="AH76" i="4" s="1"/>
  <c r="AG204" i="4"/>
  <c r="AH204" i="4" s="1"/>
  <c r="AG332" i="4"/>
  <c r="AH332" i="4" s="1"/>
  <c r="AG460" i="4"/>
  <c r="AH460" i="4" s="1"/>
  <c r="AG596" i="4"/>
  <c r="AH596" i="4" s="1"/>
  <c r="AG70" i="4"/>
  <c r="AH70" i="4" s="1"/>
  <c r="AG78" i="4"/>
  <c r="AH78" i="4" s="1"/>
  <c r="AG245" i="4"/>
  <c r="AH245" i="4" s="1"/>
  <c r="AG373" i="4"/>
  <c r="AH373" i="4" s="1"/>
  <c r="AG133" i="4"/>
  <c r="AH133" i="4" s="1"/>
  <c r="AG269" i="4"/>
  <c r="AH269" i="4" s="1"/>
  <c r="AG397" i="4"/>
  <c r="AH397" i="4" s="1"/>
  <c r="AG15" i="4"/>
  <c r="AH15" i="4" s="1"/>
  <c r="AG79" i="4"/>
  <c r="AH79" i="4" s="1"/>
  <c r="AG143" i="4"/>
  <c r="AH143" i="4" s="1"/>
  <c r="AG207" i="4"/>
  <c r="AH207" i="4" s="1"/>
  <c r="AG271" i="4"/>
  <c r="AH271" i="4" s="1"/>
  <c r="AG335" i="4"/>
  <c r="AH335" i="4" s="1"/>
  <c r="AG399" i="4"/>
  <c r="AH399" i="4" s="1"/>
  <c r="AG463" i="4"/>
  <c r="AH463" i="4" s="1"/>
  <c r="AG527" i="4"/>
  <c r="AH527" i="4" s="1"/>
  <c r="AG49" i="4"/>
  <c r="AH49" i="4" s="1"/>
  <c r="AG113" i="4"/>
  <c r="AH113" i="4" s="1"/>
  <c r="AG177" i="4"/>
  <c r="AH177" i="4" s="1"/>
  <c r="AG241" i="4"/>
  <c r="AH241" i="4" s="1"/>
  <c r="AG305" i="4"/>
  <c r="AH305" i="4" s="1"/>
  <c r="AG369" i="4"/>
  <c r="AH369" i="4" s="1"/>
  <c r="AG433" i="4"/>
  <c r="AH433" i="4" s="1"/>
  <c r="AG497" i="4"/>
  <c r="AH497" i="4" s="1"/>
  <c r="AG541" i="4"/>
  <c r="AH541" i="4" s="1"/>
  <c r="AG621" i="4"/>
  <c r="AH621" i="4" s="1"/>
  <c r="AG631" i="4"/>
  <c r="AH631" i="4" s="1"/>
  <c r="U386" i="4" l="1"/>
  <c r="U457" i="4"/>
  <c r="U451" i="4"/>
  <c r="U331" i="4"/>
  <c r="U82" i="4"/>
  <c r="U363" i="4"/>
  <c r="U51" i="4"/>
  <c r="U395" i="4"/>
  <c r="U450" i="4"/>
  <c r="U130" i="4"/>
  <c r="U120" i="4"/>
  <c r="U350" i="4"/>
  <c r="U399" i="4"/>
  <c r="U171" i="4"/>
  <c r="U419" i="4"/>
  <c r="U483" i="4"/>
  <c r="U515" i="4"/>
  <c r="U323" i="4"/>
  <c r="U56" i="4"/>
  <c r="U291" i="4"/>
  <c r="U338" i="4"/>
  <c r="U525" i="4"/>
  <c r="U117" i="4"/>
  <c r="U347" i="4"/>
  <c r="U627" i="4"/>
  <c r="U208" i="4"/>
  <c r="U337" i="4"/>
  <c r="U93" i="4"/>
  <c r="U251" i="4"/>
  <c r="U13" i="4"/>
  <c r="U211" i="4"/>
  <c r="U393" i="4"/>
  <c r="U45" i="4"/>
  <c r="U77" i="4"/>
  <c r="U339" i="4"/>
  <c r="U301" i="4"/>
  <c r="U528" i="4"/>
  <c r="U61" i="4"/>
  <c r="U210" i="4"/>
  <c r="U53" i="4"/>
  <c r="U147" i="4"/>
  <c r="U611" i="4"/>
  <c r="U609" i="4"/>
  <c r="U632" i="4"/>
  <c r="U312" i="4"/>
  <c r="U158" i="4"/>
  <c r="U329" i="4"/>
  <c r="U571" i="4"/>
  <c r="U5" i="4"/>
  <c r="U109" i="4"/>
  <c r="U379" i="4"/>
  <c r="U464" i="4"/>
  <c r="U332" i="4"/>
  <c r="U79" i="4"/>
  <c r="U594" i="4"/>
  <c r="U283" i="4"/>
  <c r="U411" i="4"/>
  <c r="U407" i="4"/>
  <c r="U587" i="4"/>
  <c r="U466" i="4"/>
  <c r="U619" i="4"/>
  <c r="U539" i="4"/>
  <c r="U9" i="4"/>
  <c r="U69" i="4"/>
  <c r="U538" i="4"/>
  <c r="U529" i="4"/>
  <c r="U54" i="4"/>
  <c r="U376" i="4"/>
  <c r="U43" i="4"/>
  <c r="U282" i="4"/>
  <c r="U392" i="4"/>
  <c r="U403" i="4"/>
  <c r="U146" i="4"/>
  <c r="U467" i="4"/>
  <c r="U194" i="4"/>
  <c r="U568" i="4"/>
  <c r="U414" i="4"/>
  <c r="U590" i="4"/>
  <c r="U527" i="4"/>
  <c r="U315" i="4"/>
  <c r="U37" i="4"/>
  <c r="U561" i="4"/>
  <c r="U436" i="4"/>
  <c r="U402" i="4"/>
  <c r="U579" i="4"/>
  <c r="U83" i="4"/>
  <c r="U463" i="4"/>
  <c r="U26" i="4"/>
  <c r="U136" i="4"/>
  <c r="U327" i="4"/>
  <c r="U272" i="4"/>
  <c r="U16" i="4"/>
  <c r="U465" i="4"/>
  <c r="U535" i="4"/>
  <c r="U23" i="4"/>
  <c r="U596" i="4"/>
  <c r="U196" i="4"/>
  <c r="U456" i="4"/>
  <c r="U200" i="4"/>
  <c r="U505" i="4"/>
  <c r="U357" i="4"/>
  <c r="U60" i="4"/>
  <c r="U519" i="4"/>
  <c r="U243" i="4"/>
  <c r="U11" i="4"/>
  <c r="U459" i="4"/>
  <c r="U602" i="4"/>
  <c r="U346" i="4"/>
  <c r="U90" i="4"/>
  <c r="U358" i="4"/>
  <c r="U606" i="4"/>
  <c r="U401" i="4"/>
  <c r="U471" i="4"/>
  <c r="U421" i="4"/>
  <c r="U460" i="4"/>
  <c r="U68" i="4"/>
  <c r="U229" i="4"/>
  <c r="U564" i="4"/>
  <c r="U391" i="4"/>
  <c r="U294" i="4"/>
  <c r="U478" i="4"/>
  <c r="U273" i="4"/>
  <c r="U343" i="4"/>
  <c r="U173" i="4"/>
  <c r="U204" i="4"/>
  <c r="U15" i="4"/>
  <c r="U22" i="4"/>
  <c r="U308" i="4"/>
  <c r="U199" i="4"/>
  <c r="U21" i="4"/>
  <c r="U219" i="4"/>
  <c r="U179" i="4"/>
  <c r="U19" i="4"/>
  <c r="U578" i="4"/>
  <c r="U322" i="4"/>
  <c r="U66" i="4"/>
  <c r="U504" i="4"/>
  <c r="U248" i="4"/>
  <c r="U593" i="4"/>
  <c r="U286" i="4"/>
  <c r="U462" i="4"/>
  <c r="U265" i="4"/>
  <c r="U335" i="4"/>
  <c r="U499" i="4"/>
  <c r="U139" i="4"/>
  <c r="U563" i="4"/>
  <c r="U595" i="4"/>
  <c r="U163" i="4"/>
  <c r="U537" i="4"/>
  <c r="U400" i="4"/>
  <c r="U144" i="4"/>
  <c r="U209" i="4"/>
  <c r="U279" i="4"/>
  <c r="U373" i="4"/>
  <c r="U76" i="4"/>
  <c r="U584" i="4"/>
  <c r="U328" i="4"/>
  <c r="U72" i="4"/>
  <c r="U405" i="4"/>
  <c r="U580" i="4"/>
  <c r="U180" i="4"/>
  <c r="U135" i="4"/>
  <c r="U201" i="4"/>
  <c r="U271" i="4"/>
  <c r="U603" i="4"/>
  <c r="U275" i="4"/>
  <c r="U267" i="4"/>
  <c r="U474" i="4"/>
  <c r="U218" i="4"/>
  <c r="U534" i="4"/>
  <c r="U230" i="4"/>
  <c r="U599" i="4"/>
  <c r="U145" i="4"/>
  <c r="U215" i="4"/>
  <c r="U245" i="4"/>
  <c r="U572" i="4"/>
  <c r="U285" i="4"/>
  <c r="U444" i="4"/>
  <c r="U52" i="4"/>
  <c r="U7" i="4"/>
  <c r="U547" i="4"/>
  <c r="U507" i="4"/>
  <c r="U125" i="4"/>
  <c r="U514" i="4"/>
  <c r="U258" i="4"/>
  <c r="U625" i="4"/>
  <c r="U440" i="4"/>
  <c r="U184" i="4"/>
  <c r="U518" i="4"/>
  <c r="U222" i="4"/>
  <c r="U591" i="4"/>
  <c r="U137" i="4"/>
  <c r="U207" i="4"/>
  <c r="U427" i="4"/>
  <c r="U107" i="4"/>
  <c r="U491" i="4"/>
  <c r="U523" i="4"/>
  <c r="U99" i="4"/>
  <c r="U592" i="4"/>
  <c r="U336" i="4"/>
  <c r="U80" i="4"/>
  <c r="U517" i="4"/>
  <c r="U81" i="4"/>
  <c r="U151" i="4"/>
  <c r="U78" i="4"/>
  <c r="U452" i="4"/>
  <c r="U520" i="4"/>
  <c r="U264" i="4"/>
  <c r="U8" i="4"/>
  <c r="U157" i="4"/>
  <c r="U316" i="4"/>
  <c r="U193" i="4"/>
  <c r="U397" i="4"/>
  <c r="U475" i="4"/>
  <c r="U530" i="4"/>
  <c r="U274" i="4"/>
  <c r="U18" i="4"/>
  <c r="U435" i="4"/>
  <c r="U115" i="4"/>
  <c r="U85" i="4"/>
  <c r="U355" i="4"/>
  <c r="U509" i="4"/>
  <c r="U73" i="4"/>
  <c r="U143" i="4"/>
  <c r="U387" i="4"/>
  <c r="U75" i="4"/>
  <c r="U531" i="4"/>
  <c r="U203" i="4"/>
  <c r="U227" i="4"/>
  <c r="U35" i="4"/>
  <c r="U410" i="4"/>
  <c r="U154" i="4"/>
  <c r="U422" i="4"/>
  <c r="U166" i="4"/>
  <c r="U541" i="4"/>
  <c r="U17" i="4"/>
  <c r="U87" i="4"/>
  <c r="U70" i="4"/>
  <c r="U324" i="4"/>
  <c r="U493" i="4"/>
  <c r="U188" i="4"/>
  <c r="U65" i="4"/>
  <c r="U133" i="4"/>
  <c r="U359" i="4"/>
  <c r="U110" i="4"/>
  <c r="U468" i="4"/>
  <c r="U128" i="4"/>
  <c r="U552" i="4"/>
  <c r="U309" i="4"/>
  <c r="U455" i="4"/>
  <c r="U102" i="4"/>
  <c r="U621" i="4"/>
  <c r="U178" i="4"/>
  <c r="U583" i="4"/>
  <c r="U57" i="4"/>
  <c r="U259" i="4"/>
  <c r="U202" i="4"/>
  <c r="U3" i="4"/>
  <c r="U127" i="4"/>
  <c r="U311" i="4"/>
  <c r="U500" i="4"/>
  <c r="U384" i="4"/>
  <c r="U292" i="4"/>
  <c r="U38" i="4"/>
  <c r="U334" i="4"/>
  <c r="U247" i="4"/>
  <c r="U555" i="4"/>
  <c r="U191" i="4"/>
  <c r="U177" i="4"/>
  <c r="U598" i="4"/>
  <c r="U605" i="4"/>
  <c r="U41" i="4"/>
  <c r="U604" i="4"/>
  <c r="U280" i="4"/>
  <c r="U374" i="4"/>
  <c r="U214" i="4"/>
  <c r="U46" i="4"/>
  <c r="U197" i="4"/>
  <c r="U476" i="4"/>
  <c r="U445" i="4"/>
  <c r="U382" i="4"/>
  <c r="U47" i="4"/>
  <c r="U170" i="4"/>
  <c r="U318" i="4"/>
  <c r="U458" i="4"/>
  <c r="U420" i="4"/>
  <c r="U67" i="4"/>
  <c r="U532" i="4"/>
  <c r="U558" i="4"/>
  <c r="U140" i="4"/>
  <c r="U262" i="4"/>
  <c r="U502" i="4"/>
  <c r="U164" i="4"/>
  <c r="U404" i="4"/>
  <c r="U4" i="4"/>
  <c r="U496" i="4"/>
  <c r="U33" i="4"/>
  <c r="U426" i="4"/>
  <c r="U372" i="4"/>
  <c r="U345" i="4"/>
  <c r="U521" i="4"/>
  <c r="U121" i="4"/>
  <c r="U562" i="4"/>
  <c r="U241" i="4"/>
  <c r="U626" i="4"/>
  <c r="U153" i="4"/>
  <c r="U624" i="4"/>
  <c r="U453" i="4"/>
  <c r="U389" i="4"/>
  <c r="U423" i="4"/>
  <c r="U232" i="4"/>
  <c r="U310" i="4"/>
  <c r="U543" i="4"/>
  <c r="U489" i="4"/>
  <c r="U559" i="4"/>
  <c r="U469" i="4"/>
  <c r="U244" i="4"/>
  <c r="U186" i="4"/>
  <c r="U240" i="4"/>
  <c r="U526" i="4"/>
  <c r="U167" i="4"/>
  <c r="U228" i="4"/>
  <c r="U544" i="4"/>
  <c r="U288" i="4"/>
  <c r="U32" i="4"/>
  <c r="U366" i="4"/>
  <c r="U622" i="4"/>
  <c r="U277" i="4"/>
  <c r="U482" i="4"/>
  <c r="U226" i="4"/>
  <c r="U553" i="4"/>
  <c r="U408" i="4"/>
  <c r="U88" i="4"/>
  <c r="U111" i="4"/>
  <c r="U116" i="4"/>
  <c r="U217" i="4"/>
  <c r="U261" i="4"/>
  <c r="U629" i="4"/>
  <c r="U263" i="4"/>
  <c r="U556" i="4"/>
  <c r="U299" i="4"/>
  <c r="U36" i="4"/>
  <c r="U575" i="4"/>
  <c r="U63" i="4"/>
  <c r="U86" i="4"/>
  <c r="U276" i="4"/>
  <c r="U370" i="4"/>
  <c r="U424" i="4"/>
  <c r="U409" i="4"/>
  <c r="U614" i="4"/>
  <c r="U270" i="4"/>
  <c r="U597" i="4"/>
  <c r="U113" i="4"/>
  <c r="U183" i="4"/>
  <c r="U181" i="4"/>
  <c r="U516" i="4"/>
  <c r="U2" i="4"/>
  <c r="U368" i="4"/>
  <c r="U190" i="4"/>
  <c r="U231" i="4"/>
  <c r="U498" i="4"/>
  <c r="U114" i="4"/>
  <c r="U351" i="4"/>
  <c r="U470" i="4"/>
  <c r="U198" i="4"/>
  <c r="U425" i="4"/>
  <c r="U495" i="4"/>
  <c r="U349" i="4"/>
  <c r="U29" i="4"/>
  <c r="U103" i="4"/>
  <c r="U618" i="4"/>
  <c r="U362" i="4"/>
  <c r="U106" i="4"/>
  <c r="U506" i="4"/>
  <c r="U304" i="4"/>
  <c r="U126" i="4"/>
  <c r="U118" i="4"/>
  <c r="U293" i="4"/>
  <c r="U585" i="4"/>
  <c r="U246" i="4"/>
  <c r="U89" i="4"/>
  <c r="U94" i="4"/>
  <c r="U443" i="4"/>
  <c r="U394" i="4"/>
  <c r="U138" i="4"/>
  <c r="U576" i="4"/>
  <c r="U320" i="4"/>
  <c r="U64" i="4"/>
  <c r="U406" i="4"/>
  <c r="U150" i="4"/>
  <c r="U449" i="4"/>
  <c r="U71" i="4"/>
  <c r="U428" i="4"/>
  <c r="U187" i="4"/>
  <c r="U307" i="4"/>
  <c r="U441" i="4"/>
  <c r="U511" i="4"/>
  <c r="U501" i="4"/>
  <c r="U540" i="4"/>
  <c r="U148" i="4"/>
  <c r="U25" i="4"/>
  <c r="U613" i="4"/>
  <c r="U49" i="4"/>
  <c r="U119" i="4"/>
  <c r="U30" i="4"/>
  <c r="U388" i="4"/>
  <c r="U39" i="4"/>
  <c r="U616" i="4"/>
  <c r="U168" i="4"/>
  <c r="U182" i="4"/>
  <c r="U159" i="4"/>
  <c r="U361" i="4"/>
  <c r="U431" i="4"/>
  <c r="U221" i="4"/>
  <c r="U570" i="4"/>
  <c r="U633" i="4"/>
  <c r="U112" i="4"/>
  <c r="U565" i="4"/>
  <c r="U333" i="4"/>
  <c r="U480" i="4"/>
  <c r="U224" i="4"/>
  <c r="U513" i="4"/>
  <c r="U302" i="4"/>
  <c r="U494" i="4"/>
  <c r="U236" i="4"/>
  <c r="U418" i="4"/>
  <c r="U162" i="4"/>
  <c r="U600" i="4"/>
  <c r="U344" i="4"/>
  <c r="U24" i="4"/>
  <c r="U165" i="4"/>
  <c r="U479" i="4"/>
  <c r="U612" i="4"/>
  <c r="U155" i="4"/>
  <c r="U27" i="4"/>
  <c r="U385" i="4"/>
  <c r="U269" i="4"/>
  <c r="U300" i="4"/>
  <c r="U123" i="4"/>
  <c r="U377" i="4"/>
  <c r="U447" i="4"/>
  <c r="U381" i="4"/>
  <c r="U412" i="4"/>
  <c r="U28" i="4"/>
  <c r="U242" i="4"/>
  <c r="U296" i="4"/>
  <c r="U287" i="4"/>
  <c r="U486" i="4"/>
  <c r="U206" i="4"/>
  <c r="U497" i="4"/>
  <c r="U567" i="4"/>
  <c r="U55" i="4"/>
  <c r="U62" i="4"/>
  <c r="U132" i="4"/>
  <c r="U250" i="4"/>
  <c r="U176" i="4"/>
  <c r="U623" i="4"/>
  <c r="U492" i="4"/>
  <c r="U434" i="4"/>
  <c r="U437" i="4"/>
  <c r="U390" i="4"/>
  <c r="U134" i="4"/>
  <c r="U297" i="4"/>
  <c r="U367" i="4"/>
  <c r="U429" i="4"/>
  <c r="U417" i="4"/>
  <c r="U413" i="4"/>
  <c r="U554" i="4"/>
  <c r="U298" i="4"/>
  <c r="U42" i="4"/>
  <c r="U378" i="4"/>
  <c r="U577" i="4"/>
  <c r="U589" i="4"/>
  <c r="U356" i="4"/>
  <c r="U6" i="4"/>
  <c r="U545" i="4"/>
  <c r="U510" i="4"/>
  <c r="U415" i="4"/>
  <c r="U220" i="4"/>
  <c r="U586" i="4"/>
  <c r="U330" i="4"/>
  <c r="U74" i="4"/>
  <c r="U512" i="4"/>
  <c r="U256" i="4"/>
  <c r="U617" i="4"/>
  <c r="U342" i="4"/>
  <c r="U574" i="4"/>
  <c r="U321" i="4"/>
  <c r="U477" i="4"/>
  <c r="U172" i="4"/>
  <c r="U59" i="4"/>
  <c r="U195" i="4"/>
  <c r="U313" i="4"/>
  <c r="U383" i="4"/>
  <c r="U253" i="4"/>
  <c r="U284" i="4"/>
  <c r="U260" i="4"/>
  <c r="U31" i="4"/>
  <c r="U433" i="4"/>
  <c r="U503" i="4"/>
  <c r="U485" i="4"/>
  <c r="U524" i="4"/>
  <c r="U371" i="4"/>
  <c r="U481" i="4"/>
  <c r="U108" i="4"/>
  <c r="U488" i="4"/>
  <c r="U40" i="4"/>
  <c r="U615" i="4"/>
  <c r="U348" i="4"/>
  <c r="U233" i="4"/>
  <c r="U303" i="4"/>
  <c r="U14" i="4"/>
  <c r="U442" i="4"/>
  <c r="U560" i="4"/>
  <c r="U454" i="4"/>
  <c r="U289" i="4"/>
  <c r="U149" i="4"/>
  <c r="U569" i="4"/>
  <c r="U416" i="4"/>
  <c r="U160" i="4"/>
  <c r="U550" i="4"/>
  <c r="U238" i="4"/>
  <c r="U607" i="4"/>
  <c r="U225" i="4"/>
  <c r="U610" i="4"/>
  <c r="U354" i="4"/>
  <c r="U98" i="4"/>
  <c r="U536" i="4"/>
  <c r="U216" i="4"/>
  <c r="U601" i="4"/>
  <c r="U508" i="4"/>
  <c r="U223" i="4"/>
  <c r="U92" i="4"/>
  <c r="U91" i="4"/>
  <c r="U257" i="4"/>
  <c r="U341" i="4"/>
  <c r="U44" i="4"/>
  <c r="U235" i="4"/>
  <c r="U249" i="4"/>
  <c r="U319" i="4"/>
  <c r="U461" i="4"/>
  <c r="U156" i="4"/>
  <c r="U12" i="4"/>
  <c r="U50" i="4"/>
  <c r="U104" i="4"/>
  <c r="U189" i="4"/>
  <c r="U398" i="4"/>
  <c r="U142" i="4"/>
  <c r="U369" i="4"/>
  <c r="U439" i="4"/>
  <c r="U365" i="4"/>
  <c r="U396" i="4"/>
  <c r="U58" i="4"/>
  <c r="U48" i="4"/>
  <c r="U353" i="4"/>
  <c r="U484" i="4"/>
  <c r="U306" i="4"/>
  <c r="U573" i="4"/>
  <c r="U588" i="4"/>
  <c r="U326" i="4"/>
  <c r="U631" i="4"/>
  <c r="U169" i="4"/>
  <c r="U239" i="4"/>
  <c r="U380" i="4"/>
  <c r="U97" i="4"/>
  <c r="U628" i="4"/>
  <c r="U490" i="4"/>
  <c r="U234" i="4"/>
  <c r="U533" i="4"/>
  <c r="U122" i="4"/>
  <c r="U582" i="4"/>
  <c r="U487" i="4"/>
  <c r="U252" i="4"/>
  <c r="U566" i="4"/>
  <c r="U549" i="4"/>
  <c r="U95" i="4"/>
  <c r="U340" i="4"/>
  <c r="U101" i="4"/>
  <c r="U522" i="4"/>
  <c r="U266" i="4"/>
  <c r="U10" i="4"/>
  <c r="U448" i="4"/>
  <c r="U192" i="4"/>
  <c r="U630" i="4"/>
  <c r="U278" i="4"/>
  <c r="U430" i="4"/>
  <c r="U129" i="4"/>
  <c r="U213" i="4"/>
  <c r="U548" i="4"/>
  <c r="U131" i="4"/>
  <c r="U185" i="4"/>
  <c r="U255" i="4"/>
  <c r="U325" i="4"/>
  <c r="U20" i="4"/>
  <c r="U205" i="4"/>
  <c r="U141" i="4"/>
  <c r="U305" i="4"/>
  <c r="U375" i="4"/>
  <c r="U237" i="4"/>
  <c r="U268" i="4"/>
  <c r="U161" i="4"/>
  <c r="U100" i="4"/>
  <c r="U360" i="4"/>
  <c r="U446" i="4"/>
  <c r="U281" i="4"/>
  <c r="U212" i="4"/>
  <c r="U581" i="4"/>
  <c r="U105" i="4"/>
  <c r="U175" i="4"/>
  <c r="U124" i="4"/>
  <c r="U314" i="4"/>
  <c r="U432" i="4"/>
  <c r="U254" i="4"/>
  <c r="U551" i="4"/>
  <c r="U364" i="4"/>
  <c r="U608" i="4"/>
  <c r="U352" i="4"/>
  <c r="U96" i="4"/>
  <c r="U438" i="4"/>
  <c r="U174" i="4"/>
  <c r="U557" i="4"/>
  <c r="U295" i="4"/>
  <c r="U546" i="4"/>
  <c r="U290" i="4"/>
  <c r="U34" i="4"/>
  <c r="U472" i="4"/>
  <c r="U152" i="4"/>
  <c r="U542" i="4"/>
  <c r="U620" i="4"/>
  <c r="U473" i="4"/>
  <c r="U317" i="4"/>
</calcChain>
</file>

<file path=xl/sharedStrings.xml><?xml version="1.0" encoding="utf-8"?>
<sst xmlns="http://schemas.openxmlformats.org/spreadsheetml/2006/main" count="11715" uniqueCount="1535">
  <si>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</si>
  <si>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</si>
  <si>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</si>
  <si>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</si>
  <si>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</si>
  <si>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</si>
  <si>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</si>
  <si>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</si>
  <si>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</si>
  <si>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</si>
  <si>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</si>
  <si>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</si>
  <si>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</si>
  <si>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</si>
  <si>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</si>
  <si>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</si>
  <si>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</si>
  <si>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</si>
  <si>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</si>
  <si>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</si>
  <si>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</si>
  <si>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</si>
  <si>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</si>
  <si>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</si>
  <si>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</si>
  <si>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</si>
  <si>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</si>
  <si>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</si>
  <si>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</si>
  <si>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</si>
  <si>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</si>
  <si>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</si>
  <si>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</si>
  <si>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</si>
  <si>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</si>
  <si>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</si>
  <si>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</si>
  <si>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</si>
  <si>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</si>
  <si>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</si>
  <si>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</si>
  <si>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</si>
  <si>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</si>
  <si>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</si>
  <si>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</si>
  <si>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</si>
  <si>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</si>
  <si>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</si>
  <si>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</si>
  <si>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</si>
  <si>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</si>
  <si>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</si>
  <si>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</si>
  <si>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</si>
  <si>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</si>
  <si>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</si>
  <si>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</si>
  <si>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</si>
  <si>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</si>
  <si>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</si>
  <si>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</si>
  <si>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</si>
  <si>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</si>
  <si>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</si>
  <si>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</si>
  <si>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</si>
  <si>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</si>
  <si>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</si>
  <si>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</si>
  <si>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</si>
  <si>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</si>
  <si>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</si>
  <si>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</si>
  <si>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</si>
  <si>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</si>
  <si>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</si>
  <si>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</si>
  <si>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</si>
  <si>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</si>
  <si>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</si>
  <si>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</si>
  <si>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</si>
  <si>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</si>
  <si>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</si>
  <si>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</si>
  <si>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</si>
  <si>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</si>
  <si>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</si>
  <si>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</si>
  <si>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</si>
  <si>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</si>
  <si>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</si>
  <si>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</si>
  <si>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</si>
  <si>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</si>
  <si>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</si>
  <si>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</si>
  <si>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</si>
  <si>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</si>
  <si>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</si>
  <si>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</si>
  <si>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</si>
  <si>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</si>
  <si>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</si>
  <si>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</si>
  <si>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</si>
  <si>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</si>
  <si>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</si>
  <si>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</si>
  <si>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</si>
  <si>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</si>
  <si>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</si>
  <si>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</si>
  <si>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</si>
  <si>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</si>
  <si>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</si>
  <si>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</si>
  <si>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</si>
  <si>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</si>
  <si>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</si>
  <si>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</si>
  <si>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</si>
  <si>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</si>
  <si>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</si>
  <si>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</si>
  <si>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</si>
  <si>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</si>
  <si>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</si>
  <si>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</si>
  <si>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</si>
  <si>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</si>
  <si>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</si>
  <si>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</si>
  <si>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</si>
  <si>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</si>
  <si>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</si>
  <si>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</si>
  <si>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</si>
  <si>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</si>
  <si>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</si>
  <si>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</si>
  <si>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</si>
  <si>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</si>
  <si>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</si>
  <si>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</si>
  <si>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</si>
  <si>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</si>
  <si>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</si>
  <si>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</si>
  <si>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</si>
  <si>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</si>
  <si>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</si>
  <si>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</si>
  <si>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</si>
  <si>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</si>
  <si>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</si>
  <si>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</si>
  <si>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</si>
  <si>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</si>
  <si>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</si>
  <si>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</si>
  <si>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</si>
  <si>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</si>
  <si>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</si>
  <si>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</si>
  <si>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</si>
  <si>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</si>
  <si>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</si>
  <si>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</si>
  <si>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</si>
  <si>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</si>
  <si>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</si>
  <si>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</si>
  <si>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</si>
  <si>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</si>
  <si>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</si>
  <si>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</si>
  <si>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</si>
  <si>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</si>
  <si>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</si>
  <si>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</si>
  <si>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</si>
  <si>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</si>
  <si>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</si>
  <si>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</si>
  <si>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</si>
  <si>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</si>
  <si>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</si>
  <si>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</si>
  <si>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</si>
  <si>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</si>
  <si>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</si>
  <si>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</si>
  <si>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</si>
  <si>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</si>
  <si>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</si>
  <si>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</si>
  <si>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</si>
  <si>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</si>
  <si>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</si>
  <si>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</si>
  <si>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</si>
  <si>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</si>
  <si>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</si>
  <si>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</si>
  <si>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</si>
  <si>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</si>
  <si>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</si>
  <si>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</si>
  <si>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</si>
  <si>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</si>
  <si>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</si>
  <si>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</si>
  <si>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</si>
  <si>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</si>
  <si>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</si>
  <si>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</si>
  <si>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</si>
  <si>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</si>
  <si>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</si>
  <si>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</si>
  <si>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</si>
  <si>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</si>
  <si>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</si>
  <si>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</si>
  <si>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</si>
  <si>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</si>
  <si>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</si>
  <si>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</si>
  <si>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</si>
  <si>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</si>
  <si>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</si>
  <si>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</si>
  <si>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</si>
  <si>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</si>
  <si>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</si>
  <si>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</si>
  <si>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</si>
  <si>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</si>
  <si>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</si>
  <si>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</si>
  <si>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</si>
  <si>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</si>
  <si>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</si>
  <si>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</si>
  <si>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</si>
  <si>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</si>
  <si>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</si>
  <si>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</si>
  <si>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</si>
  <si>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</si>
  <si>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</si>
  <si>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</si>
  <si>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</si>
  <si>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</si>
  <si>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</si>
  <si>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</si>
  <si>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</si>
  <si>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</si>
  <si>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</si>
  <si>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</si>
  <si>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</si>
  <si>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</si>
  <si>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</si>
  <si>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</si>
  <si>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</si>
  <si>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</si>
  <si>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</si>
  <si>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</si>
  <si>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</si>
  <si>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</si>
  <si>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</si>
  <si>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</si>
  <si>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</si>
  <si>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</si>
  <si>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</si>
  <si>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</si>
  <si>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</si>
  <si>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</si>
  <si>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</si>
  <si>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</si>
  <si>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</si>
  <si>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</si>
  <si>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</si>
  <si>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</si>
  <si>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</si>
  <si>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</si>
  <si>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</si>
  <si>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</si>
  <si>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</si>
  <si>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</si>
  <si>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</si>
  <si>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</si>
  <si>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</si>
  <si>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</si>
  <si>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</si>
  <si>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</si>
  <si>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</si>
  <si>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</si>
  <si>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</si>
  <si>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</si>
  <si>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</si>
  <si>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</si>
  <si>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</si>
  <si>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</si>
  <si>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</si>
  <si>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</si>
  <si>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</si>
  <si>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</si>
  <si>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</si>
  <si>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</si>
  <si>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</si>
  <si>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</si>
  <si>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</si>
  <si>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</si>
  <si>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</si>
  <si>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</si>
  <si>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</si>
  <si>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</si>
  <si>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</si>
  <si>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</si>
  <si>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</si>
  <si>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</si>
  <si>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</si>
  <si>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</si>
  <si>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</si>
  <si>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</si>
  <si>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</si>
  <si>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</si>
  <si>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</si>
  <si>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</si>
  <si>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</si>
  <si>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</si>
  <si>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</si>
  <si>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</si>
  <si>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</si>
  <si>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</si>
  <si>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</si>
  <si>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</si>
  <si>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</si>
  <si>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</si>
  <si>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</si>
  <si>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</si>
  <si>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</si>
  <si>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</si>
  <si>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</si>
  <si>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</si>
  <si>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</si>
  <si>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</si>
  <si>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</si>
  <si>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</si>
  <si>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</si>
  <si>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</si>
  <si>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</si>
  <si>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</si>
  <si>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</si>
  <si>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</si>
  <si>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</si>
  <si>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</si>
  <si>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</si>
  <si>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</si>
  <si>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</si>
  <si>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</si>
  <si>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</si>
  <si>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</si>
  <si>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</si>
  <si>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</si>
  <si>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</si>
  <si>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</si>
  <si>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</si>
  <si>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</si>
  <si>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</si>
  <si>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</si>
  <si>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</si>
  <si>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</si>
  <si>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</si>
  <si>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</si>
  <si>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</si>
  <si>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</si>
  <si>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</si>
  <si>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</si>
  <si>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</si>
  <si>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</si>
  <si>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</si>
  <si>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</si>
  <si>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</si>
  <si>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</si>
  <si>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</si>
  <si>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</si>
  <si>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</si>
  <si>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</si>
  <si>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</si>
  <si>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</si>
  <si>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</si>
  <si>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</si>
  <si>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</si>
  <si>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</si>
  <si>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</si>
  <si>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</si>
  <si>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</si>
  <si>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</si>
  <si>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</si>
  <si>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</si>
  <si>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</si>
  <si>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</si>
  <si>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</si>
  <si>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</si>
  <si>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</si>
  <si>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</si>
  <si>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</si>
  <si>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</si>
  <si>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</si>
  <si>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</si>
  <si>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</si>
  <si>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</si>
  <si>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</si>
  <si>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</si>
  <si>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</si>
  <si>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</si>
  <si>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</si>
  <si>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</si>
  <si>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</si>
  <si>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</si>
  <si>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</si>
  <si>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</si>
  <si>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</si>
  <si>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</si>
  <si>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</si>
  <si>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</si>
  <si>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</si>
  <si>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</si>
  <si>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</si>
  <si>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</si>
  <si>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</si>
  <si>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</si>
  <si>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</si>
  <si>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</si>
  <si>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</si>
  <si>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</si>
  <si>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</si>
  <si>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</si>
  <si>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</si>
  <si>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</si>
  <si>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</si>
  <si>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</si>
  <si>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</si>
  <si>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</si>
  <si>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</si>
  <si>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</si>
  <si>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</si>
  <si>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</si>
  <si>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</si>
  <si>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</si>
  <si>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</si>
  <si>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</si>
  <si>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</si>
  <si>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</si>
  <si>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</si>
  <si>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</si>
  <si>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</si>
  <si>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</si>
  <si>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</si>
  <si>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</si>
  <si>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</si>
  <si>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</si>
  <si>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</si>
  <si>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</si>
  <si>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</si>
  <si>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</si>
  <si>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</si>
  <si>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</si>
  <si>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</si>
  <si>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</si>
  <si>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</si>
  <si>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</si>
  <si>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</si>
  <si>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</si>
  <si>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</si>
  <si>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</si>
  <si>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</si>
  <si>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</si>
  <si>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</si>
  <si>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</si>
  <si>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</si>
  <si>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</si>
  <si>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</si>
  <si>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</si>
  <si>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</si>
  <si>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</si>
  <si>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</si>
  <si>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</si>
  <si>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</si>
  <si>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</si>
  <si>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</si>
  <si>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</si>
  <si>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</si>
  <si>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</si>
  <si>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</si>
  <si>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</si>
  <si>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</si>
  <si>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</si>
  <si>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</si>
  <si>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</si>
  <si>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</si>
  <si>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</si>
  <si>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</si>
  <si>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</si>
  <si>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</si>
  <si>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</si>
  <si>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</si>
  <si>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</si>
  <si>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</si>
  <si>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</si>
  <si>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</si>
  <si>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</si>
  <si>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</si>
  <si>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</si>
  <si>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</si>
  <si>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</si>
  <si>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</si>
  <si>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</si>
  <si>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</si>
  <si>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</si>
  <si>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</si>
  <si>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</si>
  <si>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</si>
  <si>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</si>
  <si>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</si>
  <si>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</si>
  <si>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</si>
  <si>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</si>
  <si>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</si>
  <si>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</si>
  <si>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</si>
  <si>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</si>
  <si>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</si>
  <si>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</si>
  <si>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</si>
  <si>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</si>
  <si>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</si>
  <si>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</si>
  <si>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</si>
  <si>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</si>
  <si>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</si>
  <si>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</si>
  <si>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</si>
  <si>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</si>
  <si>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</si>
  <si>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</si>
  <si>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</si>
  <si>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</si>
  <si>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</si>
  <si>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</si>
  <si>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</si>
  <si>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</si>
  <si>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</si>
  <si>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</si>
  <si>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</si>
  <si>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</si>
  <si>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</si>
  <si>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</si>
  <si>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</si>
  <si>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</si>
  <si>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</si>
  <si>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</si>
  <si>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</si>
  <si>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</si>
  <si>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</si>
  <si>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</si>
  <si>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</si>
  <si>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</si>
  <si>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</si>
  <si>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</si>
  <si>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</si>
  <si>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</si>
  <si>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</si>
  <si>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</si>
  <si>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</si>
  <si>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</si>
  <si>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</si>
  <si>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</si>
  <si>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</si>
  <si>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</si>
  <si>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</si>
  <si>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</si>
  <si>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</si>
  <si>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</si>
  <si>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</si>
  <si>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</si>
  <si>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</si>
  <si>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</si>
  <si>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</si>
  <si>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</si>
  <si>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</si>
  <si>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</si>
  <si>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</si>
  <si>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</si>
  <si>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</si>
  <si>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</si>
  <si>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</si>
  <si>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</si>
  <si>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</si>
  <si>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</si>
  <si>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</si>
  <si>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</si>
  <si>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</si>
  <si>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</si>
  <si>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</si>
  <si>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</si>
  <si>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</si>
  <si>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</si>
  <si>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</si>
  <si>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</si>
  <si>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</si>
  <si>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</si>
  <si>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</si>
  <si>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</si>
  <si>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</si>
  <si>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</si>
  <si>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</si>
  <si>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</si>
  <si>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</si>
  <si>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</si>
  <si>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</si>
  <si>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</si>
  <si>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</si>
  <si>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</si>
  <si>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</si>
  <si>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</si>
  <si>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</si>
  <si>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</si>
  <si>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</si>
  <si>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</si>
  <si>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</si>
  <si>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</si>
  <si>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</si>
  <si>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</si>
  <si>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</si>
  <si>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</si>
  <si>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</si>
  <si>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</si>
  <si>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</si>
  <si>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</si>
  <si>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</si>
  <si>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</si>
  <si>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</si>
  <si>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</si>
  <si>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</si>
  <si>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</si>
  <si>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</si>
  <si>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</si>
  <si>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</si>
  <si>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</si>
  <si>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</si>
  <si>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</si>
  <si>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</si>
  <si>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</si>
  <si>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</si>
  <si>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</si>
  <si>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</si>
  <si>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</si>
  <si>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</si>
  <si>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</si>
  <si>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</si>
  <si>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</si>
  <si>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</si>
  <si>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</si>
  <si>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</si>
  <si>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</si>
  <si>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</si>
  <si>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</si>
  <si>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</si>
  <si>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</si>
  <si>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</si>
  <si>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</si>
  <si>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</si>
  <si>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</si>
  <si>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</si>
  <si>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</si>
  <si>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</si>
  <si>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</si>
  <si>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</si>
  <si>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</si>
  <si>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</si>
  <si>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</si>
  <si>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</si>
  <si>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</si>
  <si>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</si>
  <si>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</si>
  <si>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</si>
  <si>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</si>
  <si>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</si>
  <si>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</si>
  <si>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</si>
  <si>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</si>
  <si>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</si>
  <si>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</si>
  <si>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</si>
  <si>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</si>
  <si>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</si>
  <si>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</si>
  <si>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</si>
  <si>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</si>
  <si>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</si>
  <si>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</si>
  <si>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</si>
  <si>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</si>
  <si>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</si>
  <si>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</si>
  <si>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</si>
  <si>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</si>
  <si>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</si>
  <si>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</si>
  <si>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</si>
  <si>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</si>
  <si>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</si>
  <si>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</si>
  <si>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</si>
  <si>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</si>
  <si>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</si>
  <si>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</si>
  <si>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</si>
  <si>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</si>
  <si>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</si>
  <si>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</si>
  <si>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</si>
  <si>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</si>
  <si>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</si>
  <si>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</si>
  <si>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</si>
  <si>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</si>
  <si>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</si>
  <si>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</si>
  <si>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</si>
  <si>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</si>
  <si>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</si>
  <si>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</si>
  <si>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</si>
  <si>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</si>
  <si>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</si>
  <si>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</si>
  <si>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</si>
  <si>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</si>
  <si>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</si>
  <si>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</si>
  <si>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</si>
  <si>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</si>
  <si>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</si>
  <si>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</si>
  <si>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</si>
  <si>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</si>
  <si>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</si>
  <si>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</si>
  <si>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</si>
  <si>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</si>
  <si>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</si>
  <si>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</si>
  <si>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</si>
  <si>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</si>
  <si>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</si>
  <si>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</si>
  <si>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</si>
  <si>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</si>
  <si>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</si>
  <si>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</si>
  <si>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</si>
  <si>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</si>
  <si>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</si>
  <si>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</si>
  <si>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</si>
  <si>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</si>
  <si>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</si>
  <si>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</si>
  <si>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</si>
  <si>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</si>
  <si>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</si>
  <si>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</si>
  <si>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</si>
  <si>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</si>
  <si>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</si>
  <si>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</si>
  <si>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</si>
  <si>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</si>
  <si>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</si>
  <si>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</si>
  <si>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</si>
  <si>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</si>
  <si>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</si>
  <si>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</si>
  <si>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</si>
  <si>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</si>
  <si>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</si>
  <si>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</si>
  <si>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</si>
  <si>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</si>
  <si>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</si>
  <si>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</si>
  <si>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</si>
  <si>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</si>
  <si>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</si>
  <si>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</si>
  <si>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</si>
  <si>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</si>
  <si>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</si>
  <si>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</si>
  <si>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</si>
  <si>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</si>
  <si>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</si>
  <si>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</si>
  <si>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</si>
  <si>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</si>
  <si>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</si>
  <si>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</si>
  <si>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</si>
  <si>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</si>
  <si>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</si>
  <si>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</si>
  <si>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</si>
  <si>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</si>
  <si>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</si>
  <si>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</si>
  <si>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</si>
  <si>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</si>
  <si>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</si>
  <si>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</si>
  <si>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</si>
  <si>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</si>
  <si>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</si>
  <si>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</si>
  <si>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</si>
  <si>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</si>
  <si>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</si>
  <si>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</si>
  <si>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</si>
  <si>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</si>
  <si>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</si>
  <si>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</si>
  <si>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</si>
  <si>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</si>
  <si>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</si>
  <si>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</si>
  <si>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</si>
  <si>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</si>
  <si>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</si>
  <si>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</si>
  <si>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</si>
  <si>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</si>
  <si>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</si>
  <si>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</si>
  <si>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</si>
  <si>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</si>
  <si>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</si>
  <si>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</si>
  <si>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</si>
  <si>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</si>
  <si>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</si>
  <si>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</si>
  <si>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</si>
  <si>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</si>
  <si>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</si>
  <si>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</si>
  <si>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</si>
  <si>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</si>
  <si>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</si>
  <si>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</si>
  <si>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</si>
  <si>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</si>
  <si>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</si>
  <si>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</si>
  <si>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</si>
  <si>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</si>
  <si>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</si>
  <si>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</si>
  <si>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</si>
  <si>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</si>
  <si>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</si>
  <si>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</si>
  <si>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</si>
  <si>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</si>
  <si>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</si>
  <si>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</si>
  <si>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</si>
  <si>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</si>
  <si>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</si>
  <si>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</si>
  <si>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</si>
  <si>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</si>
  <si>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</si>
  <si>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</si>
  <si>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</si>
  <si>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</si>
  <si>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</si>
  <si>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</si>
  <si>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</si>
  <si>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</si>
  <si>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</si>
  <si>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</si>
  <si>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</si>
  <si>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</si>
  <si>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</si>
  <si>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</si>
  <si>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</si>
  <si>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</si>
  <si>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</si>
  <si>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</si>
  <si>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</si>
  <si>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</si>
  <si>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</si>
  <si>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</si>
  <si>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</si>
  <si>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</si>
  <si>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</si>
  <si>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</si>
  <si>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</si>
  <si>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</si>
  <si>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</si>
  <si>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</si>
  <si>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</si>
  <si>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</si>
  <si>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</si>
  <si>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</si>
  <si>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</si>
  <si>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</si>
  <si>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</si>
  <si>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</si>
  <si>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</si>
  <si>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</si>
  <si>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</si>
  <si>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</si>
  <si>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</si>
  <si>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</si>
  <si>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</si>
  <si>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</si>
  <si>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</si>
  <si>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</si>
  <si>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</si>
  <si>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</si>
  <si>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</si>
  <si>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</si>
  <si>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</si>
  <si>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</si>
  <si>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</si>
  <si>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</si>
  <si>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</si>
  <si>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</si>
  <si>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</si>
  <si>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</si>
  <si>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</si>
  <si>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</si>
  <si>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</si>
  <si>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</si>
  <si>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</si>
  <si>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</si>
  <si>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</si>
  <si>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</si>
  <si>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</si>
  <si>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</si>
  <si>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</si>
  <si>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</si>
  <si>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</si>
  <si>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</si>
  <si>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</si>
  <si>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</si>
  <si>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</si>
  <si>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</si>
  <si>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</si>
  <si>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</si>
  <si>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</si>
  <si>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</si>
  <si>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</si>
  <si>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</si>
  <si>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</si>
  <si>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</si>
  <si>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</si>
  <si>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</si>
  <si>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</si>
  <si>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</si>
  <si>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</si>
  <si>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</si>
  <si>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</si>
  <si>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</si>
  <si>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</si>
  <si>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</si>
  <si>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</si>
  <si>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</si>
  <si>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</si>
  <si>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</si>
  <si>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</si>
  <si>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</si>
  <si>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</si>
  <si>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</si>
  <si>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</si>
  <si>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</si>
  <si>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</si>
  <si>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</si>
  <si>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</si>
  <si>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</si>
  <si>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</si>
  <si>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</si>
  <si>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</si>
  <si>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</si>
  <si>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</si>
  <si>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</si>
  <si>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</si>
  <si>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</si>
  <si>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</si>
  <si>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</si>
  <si>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</si>
  <si>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</si>
  <si>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</si>
  <si>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</si>
  <si>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</si>
  <si>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</si>
  <si>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</si>
  <si>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</si>
  <si>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</si>
  <si>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</si>
  <si>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</si>
  <si>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</si>
  <si>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</si>
  <si>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</si>
  <si>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</si>
  <si>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</si>
  <si>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</si>
  <si>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</si>
  <si>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</si>
  <si>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</si>
  <si>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</si>
  <si>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</si>
  <si>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</si>
  <si>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</si>
  <si>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</si>
  <si>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</si>
  <si>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</si>
  <si>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</si>
  <si>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</si>
  <si>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</si>
  <si>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</si>
  <si>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</si>
  <si>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</si>
  <si>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</si>
  <si>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</si>
  <si>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</si>
  <si>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</si>
  <si>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</si>
  <si>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</si>
  <si>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</si>
  <si>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</si>
  <si>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</si>
  <si>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</si>
  <si>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</si>
  <si>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</si>
  <si>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</si>
  <si>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</si>
  <si>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</si>
  <si>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</si>
  <si>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</si>
  <si>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</si>
  <si>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</si>
  <si>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</si>
  <si>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</si>
  <si>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</si>
  <si>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</si>
  <si>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</si>
  <si>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</si>
  <si>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</si>
  <si>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</si>
  <si>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</si>
  <si>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</si>
  <si>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</si>
  <si>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</si>
  <si>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</si>
  <si>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</si>
  <si>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</si>
  <si>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</si>
  <si>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</si>
  <si>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</si>
  <si>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</si>
  <si>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</si>
  <si>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</si>
  <si>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</si>
  <si>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</si>
  <si>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</si>
  <si>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</si>
  <si>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</si>
  <si>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</si>
  <si>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</si>
  <si>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</si>
  <si>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</si>
  <si>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</si>
  <si>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</si>
  <si>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</si>
  <si>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</si>
  <si>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</si>
  <si>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</si>
  <si>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</si>
  <si>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</si>
  <si>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</si>
  <si>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</si>
  <si>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</si>
  <si>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</si>
  <si>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</si>
  <si>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</si>
  <si>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</si>
  <si>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</si>
  <si>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</si>
  <si>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</si>
  <si>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</si>
  <si>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</si>
  <si>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</si>
  <si>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</si>
  <si>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</si>
  <si>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</si>
  <si>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</si>
  <si>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</si>
  <si>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</si>
  <si>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</si>
  <si>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</si>
  <si>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</si>
  <si>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</si>
  <si>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</si>
  <si>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</si>
  <si>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</si>
  <si>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</si>
  <si>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</si>
  <si>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</si>
  <si>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</si>
  <si>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</si>
  <si>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</si>
  <si>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</si>
  <si>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</si>
  <si>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</si>
  <si>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</si>
  <si>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</si>
  <si>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</si>
  <si>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</si>
  <si>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</si>
  <si>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</si>
  <si>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</si>
  <si>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</si>
  <si>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</si>
  <si>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</si>
  <si>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</si>
  <si>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</si>
  <si>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</si>
  <si>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</si>
  <si>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</si>
  <si>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</si>
  <si>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</si>
  <si>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</si>
  <si>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</si>
  <si>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</si>
  <si>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</si>
  <si>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</si>
  <si>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</si>
  <si>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</si>
  <si>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</si>
  <si>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</si>
  <si>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</si>
  <si>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</si>
  <si>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</si>
  <si>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</si>
  <si>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</si>
  <si>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</si>
  <si>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</si>
  <si>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</si>
  <si>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</si>
  <si>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</si>
  <si>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</si>
  <si>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</si>
  <si>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</si>
  <si>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</si>
  <si>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</si>
  <si>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</si>
  <si>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</si>
  <si>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</si>
  <si>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</si>
  <si>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</si>
  <si>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</si>
  <si>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</si>
  <si>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</si>
  <si>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</si>
  <si>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</si>
  <si>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</si>
  <si>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</si>
  <si>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</si>
  <si>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</si>
  <si>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</si>
  <si>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</si>
  <si>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</si>
  <si>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</si>
  <si>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</si>
  <si>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</si>
  <si>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</si>
  <si>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</si>
  <si>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</si>
  <si>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</si>
  <si>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</si>
  <si>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</si>
  <si>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</si>
  <si>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</si>
  <si>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</si>
  <si>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</si>
  <si>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</si>
  <si>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</si>
  <si>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</si>
  <si>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</si>
  <si>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</si>
  <si>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</si>
  <si>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</si>
  <si>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</si>
  <si>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</si>
  <si>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</si>
  <si>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</si>
  <si>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</si>
  <si>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</si>
  <si>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</si>
  <si>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</si>
  <si>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</si>
  <si>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</si>
  <si>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</si>
  <si>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</si>
  <si>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</si>
  <si>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</si>
  <si>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</si>
  <si>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</si>
  <si>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</si>
  <si>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</si>
  <si>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</si>
  <si>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</si>
  <si>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</si>
  <si>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</si>
  <si>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</si>
  <si>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</si>
  <si>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</si>
  <si>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</si>
  <si>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</si>
  <si>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</si>
  <si>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</si>
  <si>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</si>
  <si>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</si>
  <si>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</si>
  <si>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</si>
  <si>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</si>
  <si>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</si>
  <si>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</si>
  <si>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</si>
  <si>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</si>
  <si>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</si>
  <si>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</si>
  <si>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</si>
  <si>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</si>
  <si>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</si>
  <si>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</si>
  <si>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</si>
  <si>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</si>
  <si>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</si>
  <si>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</si>
  <si>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</si>
  <si>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</si>
  <si>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</si>
  <si>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</si>
  <si>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</si>
  <si>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</si>
  <si>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</si>
  <si>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</si>
  <si>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</si>
  <si>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</si>
  <si>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</si>
  <si>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</si>
  <si>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</si>
  <si>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</si>
  <si>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</si>
  <si>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</si>
  <si>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</si>
  <si>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</si>
  <si>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</si>
  <si>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</si>
  <si>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</si>
  <si>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</si>
  <si>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</si>
  <si>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</si>
  <si>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</si>
  <si>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</si>
  <si>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</si>
  <si>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</si>
  <si>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</si>
  <si>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</si>
  <si>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</si>
  <si>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</si>
  <si>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</si>
  <si>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</si>
  <si>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</si>
  <si>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</si>
  <si>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</si>
  <si>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</si>
  <si>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</si>
  <si>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</si>
  <si>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</si>
  <si>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</si>
  <si>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</si>
  <si>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</si>
  <si>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</si>
  <si>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</si>
  <si>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</si>
  <si>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</si>
  <si>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</si>
  <si>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</si>
  <si>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</si>
  <si>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</si>
  <si>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</si>
  <si>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</si>
  <si>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</si>
  <si>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</si>
  <si>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</si>
  <si>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</si>
  <si>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</si>
  <si>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</si>
  <si>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</si>
  <si>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</si>
  <si>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</si>
  <si>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</si>
  <si>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</si>
  <si>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</si>
  <si>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</si>
  <si>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</si>
  <si>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</si>
  <si>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</si>
  <si>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</si>
  <si>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</si>
  <si>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</si>
  <si>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</si>
  <si>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</si>
  <si>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</si>
  <si>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</si>
  <si>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</si>
  <si>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</si>
  <si>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</si>
  <si>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</si>
  <si>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</si>
  <si>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</si>
  <si>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</si>
  <si>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</si>
  <si>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</si>
  <si>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</si>
  <si>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</si>
  <si>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</si>
  <si>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</si>
  <si>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</si>
  <si>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</si>
  <si>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</si>
  <si>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</si>
  <si>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</si>
  <si>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</si>
  <si>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</si>
  <si>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</si>
  <si>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</si>
  <si>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</si>
  <si>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</si>
  <si>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</si>
  <si>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</si>
  <si>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</si>
  <si>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</si>
  <si>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</si>
  <si>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</si>
  <si>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</si>
  <si>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</si>
  <si>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</si>
  <si>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</si>
  <si>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</si>
  <si>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</si>
  <si>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</si>
  <si>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</si>
  <si>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</si>
  <si>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</si>
  <si>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</si>
  <si>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</si>
  <si>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</si>
  <si>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</si>
  <si>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</si>
  <si>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</si>
  <si>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</si>
  <si>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</si>
  <si>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</si>
  <si>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</si>
  <si>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</si>
  <si>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</si>
  <si>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</si>
  <si>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</si>
  <si>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</si>
  <si>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</si>
  <si>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</si>
  <si>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</si>
  <si>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</si>
  <si>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</si>
  <si>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</si>
  <si>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</si>
  <si>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</si>
  <si>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</si>
  <si>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</si>
  <si>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</si>
  <si>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</si>
  <si>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</si>
  <si>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</si>
  <si>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</si>
  <si>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</si>
  <si>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</si>
  <si>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</si>
  <si>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</si>
  <si>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</si>
  <si>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</si>
  <si>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</si>
  <si>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</si>
  <si>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</si>
  <si>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</si>
  <si>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</si>
  <si>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</si>
  <si>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</si>
  <si>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</si>
  <si>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</si>
  <si>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</si>
  <si>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</si>
  <si>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t>
  </si>
  <si>
    <t>Unknown</t>
  </si>
  <si>
    <t>Data Quality Notes</t>
  </si>
  <si>
    <t>1.Fixed overlapping columns, increased header font size and made them bold</t>
  </si>
  <si>
    <t>2.Removing duplicates;</t>
  </si>
  <si>
    <t>3.Fixed data types by formatting dates as dates, text as texts amd numbers as numbers</t>
  </si>
  <si>
    <t>Select columns you want formatted, Go to Home, Under Numbers, Expand the arrow, format columns as required.</t>
  </si>
  <si>
    <t>Ctrl +A, Go to Data, Under Data Tools, Click remove duplicates, Select My data has headers and click OK. No duplicates were found</t>
  </si>
  <si>
    <t>4.Handling missing values</t>
  </si>
  <si>
    <t xml:space="preserve">Ctrl+A, Go to Home, Click Sort &amp; Filter, Enable filter. </t>
  </si>
  <si>
    <t>The data contained blanks in the City, Channel, and Salespersons Columns</t>
  </si>
  <si>
    <t>For Salesperson, City and Channel, I used the find and replace option(Ctrl+F). I replaced the blanks with Unknown</t>
  </si>
  <si>
    <t>5.Flagging &amp; Correcting suspicious UnitPrice Values</t>
  </si>
  <si>
    <t>For -ve values;</t>
  </si>
  <si>
    <t>New UnitPrice</t>
  </si>
  <si>
    <t>Create a new column, reference the old column using ABS(cell value)</t>
  </si>
  <si>
    <t>Format DiscountPct as percentage</t>
  </si>
  <si>
    <t>Discounts greater than 30%;</t>
  </si>
  <si>
    <t>Discount Category</t>
  </si>
  <si>
    <t>New Required Date</t>
  </si>
  <si>
    <t>6.Corrected RequiredDate</t>
  </si>
  <si>
    <t>I found the average of the DiscountPct, which was 12.14%</t>
  </si>
  <si>
    <t>RequiredDateCategory</t>
  </si>
  <si>
    <t>I used the filter drop-down, and found 34 Invalid RequiredDates</t>
  </si>
  <si>
    <t>Created a new column (RequiredDate Category) and applied IF(C2&lt;B2, "Invalid", "OK")</t>
  </si>
  <si>
    <t>Created a new column (NewDiscountPct) and applied IF(O2&gt;30%, "12.14%", O2) to replace the High discounts with the average DiscountPct</t>
  </si>
  <si>
    <t>Then applied IF(O2&gt;30%, "High", "Okay") on a new column to filter out and found 7 orders with High discounts</t>
  </si>
  <si>
    <t>Created a new column (NewRequiredDate) and applied IF(C2&lt;B2. B2+7, C2), to increase by 7 days from the orderdate</t>
  </si>
  <si>
    <t>7.LeadTimeDays</t>
  </si>
  <si>
    <t>Created a new column (LeadTimeDays) and applied NewRequiredDate-OrderDate to get the number of days in between</t>
  </si>
  <si>
    <t>LeadTimeDays</t>
  </si>
  <si>
    <t>Then I formatted the column as Number</t>
  </si>
  <si>
    <t>QUESTION 2</t>
  </si>
  <si>
    <t>GrossRevenue</t>
  </si>
  <si>
    <t>CostOfGoods</t>
  </si>
  <si>
    <t>GrossProfit</t>
  </si>
  <si>
    <t>Created new column GrossRevenue (Total sales after discount) and applied Q2*U2*(1-S2)</t>
  </si>
  <si>
    <t>Created new column CostOfGoods (Total cost to the business for the sold items) and applied O2*U2</t>
  </si>
  <si>
    <t>Created a new column GrossProfit (Profit made on each item before other expenses) and applied V2-W2</t>
  </si>
  <si>
    <t>Created a new column MarginPct and formatted it as a percentage</t>
  </si>
  <si>
    <t>QUESTION 3</t>
  </si>
  <si>
    <t>Row Labels</t>
  </si>
  <si>
    <t>Grand Total</t>
  </si>
  <si>
    <t>Created a new column and applied TEXT(B3,"MMM-YYYY") for Month</t>
  </si>
  <si>
    <t xml:space="preserve"> and applied TEXT(B3,"MMM-YYYY") for Month</t>
  </si>
  <si>
    <t>Quarter, year and concat columns for the quarter</t>
  </si>
  <si>
    <t>created a column for region, country, city and used concat</t>
  </si>
  <si>
    <t>Quarter</t>
  </si>
  <si>
    <t>Year</t>
  </si>
  <si>
    <t>Sum of GrossRevenue</t>
  </si>
  <si>
    <t>Jan</t>
  </si>
  <si>
    <t>Feb</t>
  </si>
  <si>
    <t>Mar</t>
  </si>
  <si>
    <t>NewOrderDate</t>
  </si>
  <si>
    <t>Month</t>
  </si>
  <si>
    <t>Region→Country→City</t>
  </si>
  <si>
    <t>Margin%</t>
  </si>
  <si>
    <t>Discount%</t>
  </si>
  <si>
    <t>New Discount%</t>
  </si>
  <si>
    <t>SKU%</t>
  </si>
  <si>
    <t>PriceBand</t>
  </si>
  <si>
    <t>Month-Year</t>
  </si>
  <si>
    <t>Apr</t>
  </si>
  <si>
    <t>May</t>
  </si>
  <si>
    <t>Jun</t>
  </si>
  <si>
    <t>Jul</t>
  </si>
  <si>
    <t>Aug</t>
  </si>
  <si>
    <t>Sep</t>
  </si>
  <si>
    <t>Oct</t>
  </si>
  <si>
    <t>Nov</t>
  </si>
  <si>
    <t>Dec</t>
  </si>
  <si>
    <t>Q1-2023</t>
  </si>
  <si>
    <t>Q1-2024</t>
  </si>
  <si>
    <t>Q1-2025</t>
  </si>
  <si>
    <t>Q2-2023</t>
  </si>
  <si>
    <t>Q2-2024</t>
  </si>
  <si>
    <t>Q2-2025</t>
  </si>
  <si>
    <t>Q3-2023</t>
  </si>
  <si>
    <t>Q3-2024</t>
  </si>
  <si>
    <t>Q3-2025</t>
  </si>
  <si>
    <t>Q4-2023</t>
  </si>
  <si>
    <t>Apr-2025</t>
  </si>
  <si>
    <t>Aug-2024</t>
  </si>
  <si>
    <t>Dec-2023</t>
  </si>
  <si>
    <t>Feb-2023</t>
  </si>
  <si>
    <t>Feb-2024</t>
  </si>
  <si>
    <t>Jan-2025</t>
  </si>
  <si>
    <t>Jul-2023</t>
  </si>
  <si>
    <t>Jun-2023</t>
  </si>
  <si>
    <t>Jun-2024</t>
  </si>
  <si>
    <t>Mar-2025</t>
  </si>
  <si>
    <t>May-2023</t>
  </si>
  <si>
    <t>May-2024</t>
  </si>
  <si>
    <t>May-2025</t>
  </si>
  <si>
    <t>Sep-2023</t>
  </si>
  <si>
    <t>Sep-2024</t>
  </si>
  <si>
    <t>Sep-2025</t>
  </si>
  <si>
    <t>Count of OrderID</t>
  </si>
  <si>
    <t>Sum of GrossProfit</t>
  </si>
  <si>
    <t>Column Labels</t>
  </si>
  <si>
    <t>(All)</t>
  </si>
  <si>
    <t>LTD Target</t>
  </si>
  <si>
    <t>Target Met</t>
  </si>
  <si>
    <t>Target Not Met</t>
  </si>
  <si>
    <t>Count of New Discount%</t>
  </si>
  <si>
    <t>OK</t>
  </si>
  <si>
    <t>Total Revenue</t>
  </si>
  <si>
    <t>Gross Profit</t>
  </si>
  <si>
    <t>Average of Margin%</t>
  </si>
  <si>
    <t>LTD&lt;=7</t>
  </si>
  <si>
    <t>Average of GrossRevenue</t>
  </si>
  <si>
    <t>Average Order Value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</si>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</sst>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1"/>
      <color rgb="FF00B0F0"/>
      <name val="Calibri"/>
      <family val="2"/>
      <scheme val="minor"/>
    </font>
    <font>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4"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49" fontId="0" fillId="0" borderId="0" xfId="0" applyNumberFormat="1"/>
    <xf numFmtId="49" fontId="2" fillId="0" borderId="1" xfId="0" applyNumberFormat="1" applyFont="1" applyBorder="1" applyAlignment="1">
      <alignment horizontal="center" vertical="top"/>
    </xf>
    <xf numFmtId="164" fontId="2" fillId="0" borderId="1" xfId="0" applyNumberFormat="1" applyFont="1" applyBorder="1" applyAlignment="1">
      <alignment horizontal="center" vertical="top"/>
    </xf>
    <xf numFmtId="164" fontId="0" fillId="0" borderId="0" xfId="0" applyNumberFormat="1"/>
    <xf numFmtId="2" fontId="2" fillId="0" borderId="1" xfId="0" applyNumberFormat="1" applyFont="1" applyBorder="1" applyAlignment="1">
      <alignment horizontal="center" vertical="top"/>
    </xf>
    <xf numFmtId="2" fontId="0" fillId="0" borderId="0" xfId="0" applyNumberFormat="1"/>
    <xf numFmtId="165" fontId="0" fillId="0" borderId="0" xfId="0" applyNumberFormat="1"/>
    <xf numFmtId="0" fontId="1" fillId="0" borderId="0" xfId="0" applyFont="1" applyAlignment="1">
      <alignment horizontal="center" vertical="top"/>
    </xf>
    <xf numFmtId="0" fontId="1" fillId="0" borderId="0" xfId="0" applyFont="1"/>
    <xf numFmtId="2" fontId="1" fillId="0" borderId="0" xfId="0" applyNumberFormat="1" applyFont="1"/>
    <xf numFmtId="10" fontId="2" fillId="0" borderId="1" xfId="0" applyNumberFormat="1" applyFont="1" applyBorder="1" applyAlignment="1">
      <alignment horizontal="center" vertical="top"/>
    </xf>
    <xf numFmtId="10" fontId="0" fillId="0" borderId="0" xfId="0" applyNumberFormat="1"/>
    <xf numFmtId="0" fontId="3" fillId="0" borderId="0" xfId="0" applyFont="1"/>
    <xf numFmtId="1" fontId="2" fillId="0" borderId="1" xfId="0" applyNumberFormat="1" applyFont="1" applyBorder="1" applyAlignment="1">
      <alignment horizontal="center" vertical="top"/>
    </xf>
    <xf numFmtId="1" fontId="0" fillId="0" borderId="0" xfId="0" applyNumberFormat="1"/>
    <xf numFmtId="10" fontId="2" fillId="0" borderId="2" xfId="0" applyNumberFormat="1" applyFont="1" applyBorder="1" applyAlignment="1">
      <alignment horizontal="center" vertical="top"/>
    </xf>
    <xf numFmtId="10" fontId="2" fillId="0" borderId="0" xfId="0" applyNumberFormat="1" applyFont="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1" xfId="0" applyFont="1" applyBorder="1" applyAlignment="1">
      <alignment horizontal="center" vertical="top"/>
    </xf>
    <xf numFmtId="0" fontId="0" fillId="0" borderId="0" xfId="0" applyAlignment="1">
      <alignment horizontal="left" indent="2"/>
    </xf>
    <xf numFmtId="10" fontId="0" fillId="0" borderId="0" xfId="1" applyNumberFormat="1" applyFont="1"/>
    <xf numFmtId="10" fontId="0" fillId="2" borderId="0" xfId="0" applyNumberFormat="1" applyFill="1"/>
    <xf numFmtId="10" fontId="0" fillId="3" borderId="0" xfId="0" applyNumberFormat="1" applyFill="1"/>
    <xf numFmtId="10" fontId="0" fillId="4" borderId="0" xfId="0" applyNumberFormat="1" applyFill="1"/>
    <xf numFmtId="0" fontId="1" fillId="5" borderId="3" xfId="0" applyFont="1" applyFill="1" applyBorder="1"/>
    <xf numFmtId="0" fontId="0" fillId="0" borderId="0" xfId="0" applyNumberFormat="1"/>
    <xf numFmtId="0" fontId="2" fillId="0" borderId="1" xfId="0" applyNumberFormat="1" applyFont="1" applyBorder="1" applyAlignment="1">
      <alignment horizontal="center" vertical="top"/>
    </xf>
    <xf numFmtId="0" fontId="1" fillId="5" borderId="4" xfId="0" applyFont="1" applyFill="1" applyBorder="1" applyAlignment="1">
      <alignment horizontal="left"/>
    </xf>
    <xf numFmtId="0" fontId="1" fillId="5" borderId="4" xfId="0" applyNumberFormat="1" applyFont="1" applyFill="1" applyBorder="1"/>
    <xf numFmtId="0" fontId="0" fillId="6" borderId="0" xfId="0" applyFill="1"/>
  </cellXfs>
  <cellStyles count="2">
    <cellStyle name="Normal" xfId="0" builtinId="0"/>
    <cellStyle name="Percent" xfId="1" builtinId="5"/>
  </cellStyles>
  <dxfs count="3">
    <dxf>
      <fill>
        <patternFill patternType="solid">
          <bgColor theme="7" tint="0.59999389629810485"/>
        </patternFill>
      </fill>
    </dxf>
    <dxf>
      <fill>
        <patternFill patternType="solid">
          <bgColor theme="8" tint="0.39997558519241921"/>
        </patternFill>
      </fill>
    </dxf>
    <dxf>
      <fill>
        <patternFill patternType="solid">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Assignment.xlsx]SalespersonProductivity!PivotTable13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SalespersonProductivity!$B$3</c:f>
              <c:strCache>
                <c:ptCount val="1"/>
                <c:pt idx="0">
                  <c:v>Count of OrderID</c:v>
                </c:pt>
              </c:strCache>
            </c:strRef>
          </c:tx>
          <c:spPr>
            <a:solidFill>
              <a:schemeClr val="accent1"/>
            </a:solidFill>
            <a:ln>
              <a:noFill/>
            </a:ln>
            <a:effectLst/>
            <a:sp3d/>
          </c:spPr>
          <c:invertIfNegative val="0"/>
          <c:cat>
            <c:strRef>
              <c:f>SalespersonProductivity!$A$4:$A$20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pt idx="15">
                  <c:v>Unknown</c:v>
                </c:pt>
              </c:strCache>
            </c:strRef>
          </c:cat>
          <c:val>
            <c:numRef>
              <c:f>SalespersonProductivity!$B$4:$B$20</c:f>
              <c:numCache>
                <c:formatCode>General</c:formatCode>
                <c:ptCount val="16"/>
                <c:pt idx="0">
                  <c:v>22</c:v>
                </c:pt>
                <c:pt idx="1">
                  <c:v>15</c:v>
                </c:pt>
                <c:pt idx="2">
                  <c:v>12</c:v>
                </c:pt>
                <c:pt idx="3">
                  <c:v>16</c:v>
                </c:pt>
                <c:pt idx="4">
                  <c:v>14</c:v>
                </c:pt>
                <c:pt idx="5">
                  <c:v>13</c:v>
                </c:pt>
                <c:pt idx="6">
                  <c:v>8</c:v>
                </c:pt>
                <c:pt idx="7">
                  <c:v>16</c:v>
                </c:pt>
                <c:pt idx="8">
                  <c:v>12</c:v>
                </c:pt>
                <c:pt idx="9">
                  <c:v>18</c:v>
                </c:pt>
                <c:pt idx="10">
                  <c:v>20</c:v>
                </c:pt>
                <c:pt idx="11">
                  <c:v>12</c:v>
                </c:pt>
                <c:pt idx="12">
                  <c:v>18</c:v>
                </c:pt>
                <c:pt idx="13">
                  <c:v>9</c:v>
                </c:pt>
                <c:pt idx="14">
                  <c:v>13</c:v>
                </c:pt>
                <c:pt idx="15">
                  <c:v>4</c:v>
                </c:pt>
              </c:numCache>
            </c:numRef>
          </c:val>
          <c:extLst>
            <c:ext xmlns:c16="http://schemas.microsoft.com/office/drawing/2014/chart" uri="{C3380CC4-5D6E-409C-BE32-E72D297353CC}">
              <c16:uniqueId val="{00000000-F7B4-493F-894C-C6032B9B7936}"/>
            </c:ext>
          </c:extLst>
        </c:ser>
        <c:ser>
          <c:idx val="1"/>
          <c:order val="1"/>
          <c:tx>
            <c:strRef>
              <c:f>SalespersonProductivity!$C$3</c:f>
              <c:strCache>
                <c:ptCount val="1"/>
                <c:pt idx="0">
                  <c:v>Sum of GrossProfit</c:v>
                </c:pt>
              </c:strCache>
            </c:strRef>
          </c:tx>
          <c:spPr>
            <a:solidFill>
              <a:schemeClr val="accent2"/>
            </a:solidFill>
            <a:ln>
              <a:noFill/>
            </a:ln>
            <a:effectLst/>
            <a:sp3d/>
          </c:spPr>
          <c:invertIfNegative val="0"/>
          <c:cat>
            <c:strRef>
              <c:f>SalespersonProductivity!$A$4:$A$20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pt idx="15">
                  <c:v>Unknown</c:v>
                </c:pt>
              </c:strCache>
            </c:strRef>
          </c:cat>
          <c:val>
            <c:numRef>
              <c:f>SalespersonProductivity!$C$4:$C$20</c:f>
              <c:numCache>
                <c:formatCode>General</c:formatCode>
                <c:ptCount val="16"/>
                <c:pt idx="0">
                  <c:v>149281.63269999996</c:v>
                </c:pt>
                <c:pt idx="1">
                  <c:v>86681.369429999992</c:v>
                </c:pt>
                <c:pt idx="2">
                  <c:v>64977.458639999983</c:v>
                </c:pt>
                <c:pt idx="3">
                  <c:v>71371.217329999985</c:v>
                </c:pt>
                <c:pt idx="4">
                  <c:v>114318.52962000003</c:v>
                </c:pt>
                <c:pt idx="5">
                  <c:v>26759.06956</c:v>
                </c:pt>
                <c:pt idx="6">
                  <c:v>31998.115910000011</c:v>
                </c:pt>
                <c:pt idx="7">
                  <c:v>107480.99931</c:v>
                </c:pt>
                <c:pt idx="8">
                  <c:v>47016.215489999995</c:v>
                </c:pt>
                <c:pt idx="9">
                  <c:v>78176.624599999981</c:v>
                </c:pt>
                <c:pt idx="10">
                  <c:v>110400.70138</c:v>
                </c:pt>
                <c:pt idx="11">
                  <c:v>62749.973510000003</c:v>
                </c:pt>
                <c:pt idx="12">
                  <c:v>130004.46140999996</c:v>
                </c:pt>
                <c:pt idx="13">
                  <c:v>48759.860899999985</c:v>
                </c:pt>
                <c:pt idx="14">
                  <c:v>69962.997009999992</c:v>
                </c:pt>
                <c:pt idx="15">
                  <c:v>71812.642319999999</c:v>
                </c:pt>
              </c:numCache>
            </c:numRef>
          </c:val>
          <c:extLst>
            <c:ext xmlns:c16="http://schemas.microsoft.com/office/drawing/2014/chart" uri="{C3380CC4-5D6E-409C-BE32-E72D297353CC}">
              <c16:uniqueId val="{00000001-F7B4-493F-894C-C6032B9B7936}"/>
            </c:ext>
          </c:extLst>
        </c:ser>
        <c:dLbls>
          <c:showLegendKey val="0"/>
          <c:showVal val="0"/>
          <c:showCatName val="0"/>
          <c:showSerName val="0"/>
          <c:showPercent val="0"/>
          <c:showBubbleSize val="0"/>
        </c:dLbls>
        <c:gapWidth val="150"/>
        <c:shape val="box"/>
        <c:axId val="1641402112"/>
        <c:axId val="1641388720"/>
        <c:axId val="0"/>
      </c:bar3DChart>
      <c:catAx>
        <c:axId val="164140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388720"/>
        <c:crosses val="autoZero"/>
        <c:auto val="1"/>
        <c:lblAlgn val="ctr"/>
        <c:lblOffset val="100"/>
        <c:noMultiLvlLbl val="0"/>
      </c:catAx>
      <c:valAx>
        <c:axId val="164138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0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Assignment.xlsx]RevenueByMonth!PivotTable23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RevenueByMonth</a:t>
            </a:r>
          </a:p>
        </c:rich>
      </c:tx>
      <c:layout>
        <c:manualLayout>
          <c:xMode val="edge"/>
          <c:yMode val="edge"/>
          <c:x val="0.3175000000000000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8092738407696"/>
          <c:y val="0.25402559055118112"/>
          <c:w val="0.67125196850393698"/>
          <c:h val="0.46953813065033539"/>
        </c:manualLayout>
      </c:layout>
      <c:lineChart>
        <c:grouping val="standard"/>
        <c:varyColors val="0"/>
        <c:ser>
          <c:idx val="0"/>
          <c:order val="0"/>
          <c:tx>
            <c:strRef>
              <c:f>RevenueByMonth!$B$3</c:f>
              <c:strCache>
                <c:ptCount val="1"/>
                <c:pt idx="0">
                  <c:v>Total</c:v>
                </c:pt>
              </c:strCache>
            </c:strRef>
          </c:tx>
          <c:spPr>
            <a:ln w="28575" cap="rnd">
              <a:solidFill>
                <a:schemeClr val="accent2"/>
              </a:solidFill>
              <a:round/>
            </a:ln>
            <a:effectLst/>
          </c:spPr>
          <c:marker>
            <c:symbol val="none"/>
          </c:marker>
          <c:cat>
            <c:strRef>
              <c:f>RevenueByMonth!$A$4:$A$16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RevenueByMonth!$B$4:$B$16</c:f>
              <c:numCache>
                <c:formatCode>General</c:formatCode>
                <c:ptCount val="12"/>
                <c:pt idx="0">
                  <c:v>318134.74194999994</c:v>
                </c:pt>
                <c:pt idx="1">
                  <c:v>284475.12923000002</c:v>
                </c:pt>
                <c:pt idx="2">
                  <c:v>283874.26403999998</c:v>
                </c:pt>
                <c:pt idx="3">
                  <c:v>267535.34538999997</c:v>
                </c:pt>
                <c:pt idx="4">
                  <c:v>652806.9549100002</c:v>
                </c:pt>
                <c:pt idx="5">
                  <c:v>258387.97100000002</c:v>
                </c:pt>
                <c:pt idx="6">
                  <c:v>676583.1457799999</c:v>
                </c:pt>
                <c:pt idx="7">
                  <c:v>386725.99842999998</c:v>
                </c:pt>
                <c:pt idx="8">
                  <c:v>335741.81115999998</c:v>
                </c:pt>
                <c:pt idx="9">
                  <c:v>186218.98044000001</c:v>
                </c:pt>
                <c:pt idx="10">
                  <c:v>176442.57738</c:v>
                </c:pt>
                <c:pt idx="11">
                  <c:v>276719.10940999998</c:v>
                </c:pt>
              </c:numCache>
            </c:numRef>
          </c:val>
          <c:smooth val="0"/>
          <c:extLst>
            <c:ext xmlns:c16="http://schemas.microsoft.com/office/drawing/2014/chart" uri="{C3380CC4-5D6E-409C-BE32-E72D297353CC}">
              <c16:uniqueId val="{00000000-0B53-44DE-B415-B15F0014581D}"/>
            </c:ext>
          </c:extLst>
        </c:ser>
        <c:dLbls>
          <c:showLegendKey val="0"/>
          <c:showVal val="0"/>
          <c:showCatName val="0"/>
          <c:showSerName val="0"/>
          <c:showPercent val="0"/>
          <c:showBubbleSize val="0"/>
        </c:dLbls>
        <c:smooth val="0"/>
        <c:axId val="324524784"/>
        <c:axId val="324528144"/>
      </c:lineChart>
      <c:catAx>
        <c:axId val="3245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8144"/>
        <c:crosses val="autoZero"/>
        <c:auto val="1"/>
        <c:lblAlgn val="ctr"/>
        <c:lblOffset val="100"/>
        <c:noMultiLvlLbl val="0"/>
      </c:catAx>
      <c:valAx>
        <c:axId val="32452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Assignment.xlsx]Region&amp;ChannelProfit!PivotTable24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Region&amp;ChannelProfit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'Region&amp;ChannelProfit'!$B$3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'Region&amp;ChannelProfit'!$A$4:$A$16</c:f>
              <c:multiLvlStrCache>
                <c:ptCount val="8"/>
                <c:lvl>
                  <c:pt idx="0">
                    <c:v>Online</c:v>
                  </c:pt>
                  <c:pt idx="1">
                    <c:v>Retail</c:v>
                  </c:pt>
                  <c:pt idx="2">
                    <c:v>Online</c:v>
                  </c:pt>
                  <c:pt idx="3">
                    <c:v>Retail</c:v>
                  </c:pt>
                  <c:pt idx="4">
                    <c:v>Online</c:v>
                  </c:pt>
                  <c:pt idx="5">
                    <c:v>Retail</c:v>
                  </c:pt>
                  <c:pt idx="6">
                    <c:v>Online</c:v>
                  </c:pt>
                  <c:pt idx="7">
                    <c:v>Retail</c:v>
                  </c:pt>
                </c:lvl>
                <c:lvl>
                  <c:pt idx="0">
                    <c:v>Africa</c:v>
                  </c:pt>
                  <c:pt idx="2">
                    <c:v>Americas</c:v>
                  </c:pt>
                  <c:pt idx="4">
                    <c:v>Asia</c:v>
                  </c:pt>
                  <c:pt idx="6">
                    <c:v>Europe</c:v>
                  </c:pt>
                </c:lvl>
              </c:multiLvlStrCache>
            </c:multiLvlStrRef>
          </c:cat>
          <c:val>
            <c:numRef>
              <c:f>'Region&amp;ChannelProfit'!$B$4:$B$16</c:f>
              <c:numCache>
                <c:formatCode>General</c:formatCode>
                <c:ptCount val="8"/>
                <c:pt idx="0">
                  <c:v>145453.94626999996</c:v>
                </c:pt>
                <c:pt idx="1">
                  <c:v>141171.08466999998</c:v>
                </c:pt>
                <c:pt idx="2">
                  <c:v>261943.84436999998</c:v>
                </c:pt>
                <c:pt idx="3">
                  <c:v>69035.709220000004</c:v>
                </c:pt>
                <c:pt idx="4">
                  <c:v>149042.38968999995</c:v>
                </c:pt>
                <c:pt idx="5">
                  <c:v>153258.55984</c:v>
                </c:pt>
                <c:pt idx="6">
                  <c:v>200067.16277</c:v>
                </c:pt>
                <c:pt idx="7">
                  <c:v>151779.17229000002</c:v>
                </c:pt>
              </c:numCache>
            </c:numRef>
          </c:val>
          <c:extLst>
            <c:ext xmlns:c16="http://schemas.microsoft.com/office/drawing/2014/chart" uri="{C3380CC4-5D6E-409C-BE32-E72D297353CC}">
              <c16:uniqueId val="{00000000-57E0-4DED-806C-5BCA4CCFAA88}"/>
            </c:ext>
          </c:extLst>
        </c:ser>
        <c:dLbls>
          <c:showLegendKey val="0"/>
          <c:showVal val="0"/>
          <c:showCatName val="0"/>
          <c:showSerName val="0"/>
          <c:showPercent val="0"/>
          <c:showBubbleSize val="0"/>
        </c:dLbls>
        <c:gapWidth val="150"/>
        <c:overlap val="100"/>
        <c:axId val="589943984"/>
        <c:axId val="589945904"/>
      </c:barChart>
      <c:catAx>
        <c:axId val="589943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45904"/>
        <c:crosses val="autoZero"/>
        <c:auto val="1"/>
        <c:lblAlgn val="ctr"/>
        <c:lblOffset val="100"/>
        <c:noMultiLvlLbl val="0"/>
      </c:catAx>
      <c:valAx>
        <c:axId val="58994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4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Assignment.xlsx]SKUsByRevenue!PivotTable25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Top 10 SKUs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SKUsByRevenue!$B$3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SKUsByRevenue!$A$4:$A$14</c:f>
              <c:strCache>
                <c:ptCount val="10"/>
                <c:pt idx="0">
                  <c:v>ACC-2988</c:v>
                </c:pt>
                <c:pt idx="1">
                  <c:v>CMP-3731</c:v>
                </c:pt>
                <c:pt idx="2">
                  <c:v>CMP-8851</c:v>
                </c:pt>
                <c:pt idx="3">
                  <c:v>LAP-3904</c:v>
                </c:pt>
                <c:pt idx="4">
                  <c:v>LAP-6499</c:v>
                </c:pt>
                <c:pt idx="5">
                  <c:v>LAP-8825</c:v>
                </c:pt>
                <c:pt idx="6">
                  <c:v>LAP-8910</c:v>
                </c:pt>
                <c:pt idx="7">
                  <c:v>MON-9662</c:v>
                </c:pt>
                <c:pt idx="8">
                  <c:v>NET-1282</c:v>
                </c:pt>
                <c:pt idx="9">
                  <c:v>NET-2365</c:v>
                </c:pt>
              </c:strCache>
            </c:strRef>
          </c:cat>
          <c:val>
            <c:numRef>
              <c:f>SKUsByRevenue!$B$4:$B$14</c:f>
              <c:numCache>
                <c:formatCode>General</c:formatCode>
                <c:ptCount val="10"/>
                <c:pt idx="0">
                  <c:v>53034.364139999991</c:v>
                </c:pt>
                <c:pt idx="1">
                  <c:v>60928.502359999999</c:v>
                </c:pt>
                <c:pt idx="2">
                  <c:v>139277.83032000001</c:v>
                </c:pt>
                <c:pt idx="3">
                  <c:v>82514.711519999997</c:v>
                </c:pt>
                <c:pt idx="4">
                  <c:v>64192.976999999999</c:v>
                </c:pt>
                <c:pt idx="5">
                  <c:v>58057.65</c:v>
                </c:pt>
                <c:pt idx="6">
                  <c:v>102122.94203999999</c:v>
                </c:pt>
                <c:pt idx="7">
                  <c:v>56176.777799999996</c:v>
                </c:pt>
                <c:pt idx="8">
                  <c:v>51768.181920000003</c:v>
                </c:pt>
                <c:pt idx="9">
                  <c:v>109244</c:v>
                </c:pt>
              </c:numCache>
            </c:numRef>
          </c:val>
          <c:extLst>
            <c:ext xmlns:c16="http://schemas.microsoft.com/office/drawing/2014/chart" uri="{C3380CC4-5D6E-409C-BE32-E72D297353CC}">
              <c16:uniqueId val="{00000000-629A-44A4-AD26-E20BD197B134}"/>
            </c:ext>
          </c:extLst>
        </c:ser>
        <c:dLbls>
          <c:showLegendKey val="0"/>
          <c:showVal val="0"/>
          <c:showCatName val="0"/>
          <c:showSerName val="0"/>
          <c:showPercent val="0"/>
          <c:showBubbleSize val="0"/>
        </c:dLbls>
        <c:gapWidth val="65"/>
        <c:shape val="box"/>
        <c:axId val="589907504"/>
        <c:axId val="589915664"/>
        <c:axId val="0"/>
      </c:bar3DChart>
      <c:catAx>
        <c:axId val="589907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9915664"/>
        <c:crosses val="autoZero"/>
        <c:auto val="1"/>
        <c:lblAlgn val="ctr"/>
        <c:lblOffset val="100"/>
        <c:noMultiLvlLbl val="0"/>
      </c:catAx>
      <c:valAx>
        <c:axId val="5899156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9907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Assignment.xlsx]SKUsByRevenue!PivotTable25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Top 10 SKUs By Revenue</a:t>
            </a:r>
          </a:p>
        </c:rich>
      </c:tx>
      <c:layout>
        <c:manualLayout>
          <c:xMode val="edge"/>
          <c:yMode val="edge"/>
          <c:x val="0.30464986397248289"/>
          <c:y val="0.1267495015808445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SKUsByRevenue!$B$3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SKUsByRevenue!$A$4:$A$14</c:f>
              <c:strCache>
                <c:ptCount val="10"/>
                <c:pt idx="0">
                  <c:v>ACC-2988</c:v>
                </c:pt>
                <c:pt idx="1">
                  <c:v>CMP-3731</c:v>
                </c:pt>
                <c:pt idx="2">
                  <c:v>CMP-8851</c:v>
                </c:pt>
                <c:pt idx="3">
                  <c:v>LAP-3904</c:v>
                </c:pt>
                <c:pt idx="4">
                  <c:v>LAP-6499</c:v>
                </c:pt>
                <c:pt idx="5">
                  <c:v>LAP-8825</c:v>
                </c:pt>
                <c:pt idx="6">
                  <c:v>LAP-8910</c:v>
                </c:pt>
                <c:pt idx="7">
                  <c:v>MON-9662</c:v>
                </c:pt>
                <c:pt idx="8">
                  <c:v>NET-1282</c:v>
                </c:pt>
                <c:pt idx="9">
                  <c:v>NET-2365</c:v>
                </c:pt>
              </c:strCache>
            </c:strRef>
          </c:cat>
          <c:val>
            <c:numRef>
              <c:f>SKUsByRevenue!$B$4:$B$14</c:f>
              <c:numCache>
                <c:formatCode>General</c:formatCode>
                <c:ptCount val="10"/>
                <c:pt idx="0">
                  <c:v>53034.364139999991</c:v>
                </c:pt>
                <c:pt idx="1">
                  <c:v>60928.502359999999</c:v>
                </c:pt>
                <c:pt idx="2">
                  <c:v>139277.83032000001</c:v>
                </c:pt>
                <c:pt idx="3">
                  <c:v>82514.711519999997</c:v>
                </c:pt>
                <c:pt idx="4">
                  <c:v>64192.976999999999</c:v>
                </c:pt>
                <c:pt idx="5">
                  <c:v>58057.65</c:v>
                </c:pt>
                <c:pt idx="6">
                  <c:v>102122.94203999999</c:v>
                </c:pt>
                <c:pt idx="7">
                  <c:v>56176.777799999996</c:v>
                </c:pt>
                <c:pt idx="8">
                  <c:v>51768.181920000003</c:v>
                </c:pt>
                <c:pt idx="9">
                  <c:v>109244</c:v>
                </c:pt>
              </c:numCache>
            </c:numRef>
          </c:val>
          <c:extLst>
            <c:ext xmlns:c16="http://schemas.microsoft.com/office/drawing/2014/chart" uri="{C3380CC4-5D6E-409C-BE32-E72D297353CC}">
              <c16:uniqueId val="{00000000-5327-4016-9826-92FE7365A502}"/>
            </c:ext>
          </c:extLst>
        </c:ser>
        <c:dLbls>
          <c:showLegendKey val="0"/>
          <c:showVal val="0"/>
          <c:showCatName val="0"/>
          <c:showSerName val="0"/>
          <c:showPercent val="0"/>
          <c:showBubbleSize val="0"/>
        </c:dLbls>
        <c:gapWidth val="65"/>
        <c:shape val="box"/>
        <c:axId val="589907504"/>
        <c:axId val="589915664"/>
        <c:axId val="0"/>
      </c:bar3DChart>
      <c:catAx>
        <c:axId val="589907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9915664"/>
        <c:crosses val="autoZero"/>
        <c:auto val="1"/>
        <c:lblAlgn val="ctr"/>
        <c:lblOffset val="100"/>
        <c:noMultiLvlLbl val="0"/>
      </c:catAx>
      <c:valAx>
        <c:axId val="5899156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9907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Assignment.xlsx]Region&amp;ChannelProfit!PivotTable24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Region&amp;ChannelProfit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'Region&amp;ChannelProfit'!$B$3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'Region&amp;ChannelProfit'!$A$4:$A$16</c:f>
              <c:multiLvlStrCache>
                <c:ptCount val="8"/>
                <c:lvl>
                  <c:pt idx="0">
                    <c:v>Online</c:v>
                  </c:pt>
                  <c:pt idx="1">
                    <c:v>Retail</c:v>
                  </c:pt>
                  <c:pt idx="2">
                    <c:v>Online</c:v>
                  </c:pt>
                  <c:pt idx="3">
                    <c:v>Retail</c:v>
                  </c:pt>
                  <c:pt idx="4">
                    <c:v>Online</c:v>
                  </c:pt>
                  <c:pt idx="5">
                    <c:v>Retail</c:v>
                  </c:pt>
                  <c:pt idx="6">
                    <c:v>Online</c:v>
                  </c:pt>
                  <c:pt idx="7">
                    <c:v>Retail</c:v>
                  </c:pt>
                </c:lvl>
                <c:lvl>
                  <c:pt idx="0">
                    <c:v>Africa</c:v>
                  </c:pt>
                  <c:pt idx="2">
                    <c:v>Americas</c:v>
                  </c:pt>
                  <c:pt idx="4">
                    <c:v>Asia</c:v>
                  </c:pt>
                  <c:pt idx="6">
                    <c:v>Europe</c:v>
                  </c:pt>
                </c:lvl>
              </c:multiLvlStrCache>
            </c:multiLvlStrRef>
          </c:cat>
          <c:val>
            <c:numRef>
              <c:f>'Region&amp;ChannelProfit'!$B$4:$B$16</c:f>
              <c:numCache>
                <c:formatCode>General</c:formatCode>
                <c:ptCount val="8"/>
                <c:pt idx="0">
                  <c:v>145453.94626999996</c:v>
                </c:pt>
                <c:pt idx="1">
                  <c:v>141171.08466999998</c:v>
                </c:pt>
                <c:pt idx="2">
                  <c:v>261943.84436999998</c:v>
                </c:pt>
                <c:pt idx="3">
                  <c:v>69035.709220000004</c:v>
                </c:pt>
                <c:pt idx="4">
                  <c:v>149042.38968999995</c:v>
                </c:pt>
                <c:pt idx="5">
                  <c:v>153258.55984</c:v>
                </c:pt>
                <c:pt idx="6">
                  <c:v>200067.16277</c:v>
                </c:pt>
                <c:pt idx="7">
                  <c:v>151779.17229000002</c:v>
                </c:pt>
              </c:numCache>
            </c:numRef>
          </c:val>
          <c:extLst>
            <c:ext xmlns:c16="http://schemas.microsoft.com/office/drawing/2014/chart" uri="{C3380CC4-5D6E-409C-BE32-E72D297353CC}">
              <c16:uniqueId val="{00000000-7509-4E6A-A8A6-8B5A789F4861}"/>
            </c:ext>
          </c:extLst>
        </c:ser>
        <c:dLbls>
          <c:showLegendKey val="0"/>
          <c:showVal val="0"/>
          <c:showCatName val="0"/>
          <c:showSerName val="0"/>
          <c:showPercent val="0"/>
          <c:showBubbleSize val="0"/>
        </c:dLbls>
        <c:gapWidth val="150"/>
        <c:overlap val="100"/>
        <c:axId val="589943984"/>
        <c:axId val="589945904"/>
      </c:barChart>
      <c:catAx>
        <c:axId val="589943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45904"/>
        <c:crosses val="autoZero"/>
        <c:auto val="1"/>
        <c:lblAlgn val="ctr"/>
        <c:lblOffset val="100"/>
        <c:noMultiLvlLbl val="0"/>
      </c:catAx>
      <c:valAx>
        <c:axId val="58994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4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Assignment.xlsx]RevenueByMonth!PivotTable23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RevenueByMonth</a:t>
            </a:r>
          </a:p>
        </c:rich>
      </c:tx>
      <c:layout>
        <c:manualLayout>
          <c:xMode val="edge"/>
          <c:yMode val="edge"/>
          <c:x val="0.3175000000000000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8092738407696"/>
          <c:y val="0.25402559055118112"/>
          <c:w val="0.67125196850393698"/>
          <c:h val="0.46953813065033539"/>
        </c:manualLayout>
      </c:layout>
      <c:lineChart>
        <c:grouping val="standard"/>
        <c:varyColors val="0"/>
        <c:ser>
          <c:idx val="0"/>
          <c:order val="0"/>
          <c:tx>
            <c:strRef>
              <c:f>RevenueByMonth!$B$3</c:f>
              <c:strCache>
                <c:ptCount val="1"/>
                <c:pt idx="0">
                  <c:v>Total</c:v>
                </c:pt>
              </c:strCache>
            </c:strRef>
          </c:tx>
          <c:spPr>
            <a:ln w="28575" cap="rnd">
              <a:solidFill>
                <a:schemeClr val="accent2"/>
              </a:solidFill>
              <a:round/>
            </a:ln>
            <a:effectLst/>
          </c:spPr>
          <c:marker>
            <c:symbol val="none"/>
          </c:marker>
          <c:cat>
            <c:strRef>
              <c:f>RevenueByMonth!$A$4:$A$16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RevenueByMonth!$B$4:$B$16</c:f>
              <c:numCache>
                <c:formatCode>General</c:formatCode>
                <c:ptCount val="12"/>
                <c:pt idx="0">
                  <c:v>318134.74194999994</c:v>
                </c:pt>
                <c:pt idx="1">
                  <c:v>284475.12923000002</c:v>
                </c:pt>
                <c:pt idx="2">
                  <c:v>283874.26403999998</c:v>
                </c:pt>
                <c:pt idx="3">
                  <c:v>267535.34538999997</c:v>
                </c:pt>
                <c:pt idx="4">
                  <c:v>652806.9549100002</c:v>
                </c:pt>
                <c:pt idx="5">
                  <c:v>258387.97100000002</c:v>
                </c:pt>
                <c:pt idx="6">
                  <c:v>676583.1457799999</c:v>
                </c:pt>
                <c:pt idx="7">
                  <c:v>386725.99842999998</c:v>
                </c:pt>
                <c:pt idx="8">
                  <c:v>335741.81115999998</c:v>
                </c:pt>
                <c:pt idx="9">
                  <c:v>186218.98044000001</c:v>
                </c:pt>
                <c:pt idx="10">
                  <c:v>176442.57738</c:v>
                </c:pt>
                <c:pt idx="11">
                  <c:v>276719.10940999998</c:v>
                </c:pt>
              </c:numCache>
            </c:numRef>
          </c:val>
          <c:smooth val="0"/>
          <c:extLst>
            <c:ext xmlns:c16="http://schemas.microsoft.com/office/drawing/2014/chart" uri="{C3380CC4-5D6E-409C-BE32-E72D297353CC}">
              <c16:uniqueId val="{00000000-479A-42D0-B409-EC4C24350CFF}"/>
            </c:ext>
          </c:extLst>
        </c:ser>
        <c:dLbls>
          <c:showLegendKey val="0"/>
          <c:showVal val="0"/>
          <c:showCatName val="0"/>
          <c:showSerName val="0"/>
          <c:showPercent val="0"/>
          <c:showBubbleSize val="0"/>
        </c:dLbls>
        <c:smooth val="0"/>
        <c:axId val="324524784"/>
        <c:axId val="324528144"/>
      </c:lineChart>
      <c:catAx>
        <c:axId val="3245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8144"/>
        <c:crosses val="autoZero"/>
        <c:auto val="1"/>
        <c:lblAlgn val="ctr"/>
        <c:lblOffset val="100"/>
        <c:noMultiLvlLbl val="0"/>
      </c:catAx>
      <c:valAx>
        <c:axId val="32452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 Assignment.xlsx]SalespersonProductivity!PivotTable13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SalespersonProductivity!$B$3</c:f>
              <c:strCache>
                <c:ptCount val="1"/>
                <c:pt idx="0">
                  <c:v>Count of OrderID</c:v>
                </c:pt>
              </c:strCache>
            </c:strRef>
          </c:tx>
          <c:spPr>
            <a:solidFill>
              <a:schemeClr val="accent1"/>
            </a:solidFill>
            <a:ln>
              <a:noFill/>
            </a:ln>
            <a:effectLst/>
            <a:sp3d/>
          </c:spPr>
          <c:invertIfNegative val="0"/>
          <c:cat>
            <c:strRef>
              <c:f>SalespersonProductivity!$A$4:$A$20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pt idx="15">
                  <c:v>Unknown</c:v>
                </c:pt>
              </c:strCache>
            </c:strRef>
          </c:cat>
          <c:val>
            <c:numRef>
              <c:f>SalespersonProductivity!$B$4:$B$20</c:f>
              <c:numCache>
                <c:formatCode>General</c:formatCode>
                <c:ptCount val="16"/>
                <c:pt idx="0">
                  <c:v>22</c:v>
                </c:pt>
                <c:pt idx="1">
                  <c:v>15</c:v>
                </c:pt>
                <c:pt idx="2">
                  <c:v>12</c:v>
                </c:pt>
                <c:pt idx="3">
                  <c:v>16</c:v>
                </c:pt>
                <c:pt idx="4">
                  <c:v>14</c:v>
                </c:pt>
                <c:pt idx="5">
                  <c:v>13</c:v>
                </c:pt>
                <c:pt idx="6">
                  <c:v>8</c:v>
                </c:pt>
                <c:pt idx="7">
                  <c:v>16</c:v>
                </c:pt>
                <c:pt idx="8">
                  <c:v>12</c:v>
                </c:pt>
                <c:pt idx="9">
                  <c:v>18</c:v>
                </c:pt>
                <c:pt idx="10">
                  <c:v>20</c:v>
                </c:pt>
                <c:pt idx="11">
                  <c:v>12</c:v>
                </c:pt>
                <c:pt idx="12">
                  <c:v>18</c:v>
                </c:pt>
                <c:pt idx="13">
                  <c:v>9</c:v>
                </c:pt>
                <c:pt idx="14">
                  <c:v>13</c:v>
                </c:pt>
                <c:pt idx="15">
                  <c:v>4</c:v>
                </c:pt>
              </c:numCache>
            </c:numRef>
          </c:val>
          <c:extLst>
            <c:ext xmlns:c16="http://schemas.microsoft.com/office/drawing/2014/chart" uri="{C3380CC4-5D6E-409C-BE32-E72D297353CC}">
              <c16:uniqueId val="{00000000-645E-4519-B1FF-671E8552D069}"/>
            </c:ext>
          </c:extLst>
        </c:ser>
        <c:ser>
          <c:idx val="1"/>
          <c:order val="1"/>
          <c:tx>
            <c:strRef>
              <c:f>SalespersonProductivity!$C$3</c:f>
              <c:strCache>
                <c:ptCount val="1"/>
                <c:pt idx="0">
                  <c:v>Sum of GrossProfit</c:v>
                </c:pt>
              </c:strCache>
            </c:strRef>
          </c:tx>
          <c:spPr>
            <a:solidFill>
              <a:schemeClr val="accent2"/>
            </a:solidFill>
            <a:ln>
              <a:noFill/>
            </a:ln>
            <a:effectLst/>
            <a:sp3d/>
          </c:spPr>
          <c:invertIfNegative val="0"/>
          <c:cat>
            <c:strRef>
              <c:f>SalespersonProductivity!$A$4:$A$20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pt idx="15">
                  <c:v>Unknown</c:v>
                </c:pt>
              </c:strCache>
            </c:strRef>
          </c:cat>
          <c:val>
            <c:numRef>
              <c:f>SalespersonProductivity!$C$4:$C$20</c:f>
              <c:numCache>
                <c:formatCode>General</c:formatCode>
                <c:ptCount val="16"/>
                <c:pt idx="0">
                  <c:v>149281.63269999996</c:v>
                </c:pt>
                <c:pt idx="1">
                  <c:v>86681.369429999992</c:v>
                </c:pt>
                <c:pt idx="2">
                  <c:v>64977.458639999983</c:v>
                </c:pt>
                <c:pt idx="3">
                  <c:v>71371.217329999985</c:v>
                </c:pt>
                <c:pt idx="4">
                  <c:v>114318.52962000003</c:v>
                </c:pt>
                <c:pt idx="5">
                  <c:v>26759.06956</c:v>
                </c:pt>
                <c:pt idx="6">
                  <c:v>31998.115910000011</c:v>
                </c:pt>
                <c:pt idx="7">
                  <c:v>107480.99931</c:v>
                </c:pt>
                <c:pt idx="8">
                  <c:v>47016.215489999995</c:v>
                </c:pt>
                <c:pt idx="9">
                  <c:v>78176.624599999981</c:v>
                </c:pt>
                <c:pt idx="10">
                  <c:v>110400.70138</c:v>
                </c:pt>
                <c:pt idx="11">
                  <c:v>62749.973510000003</c:v>
                </c:pt>
                <c:pt idx="12">
                  <c:v>130004.46140999996</c:v>
                </c:pt>
                <c:pt idx="13">
                  <c:v>48759.860899999985</c:v>
                </c:pt>
                <c:pt idx="14">
                  <c:v>69962.997009999992</c:v>
                </c:pt>
                <c:pt idx="15">
                  <c:v>71812.642319999999</c:v>
                </c:pt>
              </c:numCache>
            </c:numRef>
          </c:val>
          <c:extLst>
            <c:ext xmlns:c16="http://schemas.microsoft.com/office/drawing/2014/chart" uri="{C3380CC4-5D6E-409C-BE32-E72D297353CC}">
              <c16:uniqueId val="{00000001-645E-4519-B1FF-671E8552D069}"/>
            </c:ext>
          </c:extLst>
        </c:ser>
        <c:dLbls>
          <c:showLegendKey val="0"/>
          <c:showVal val="0"/>
          <c:showCatName val="0"/>
          <c:showSerName val="0"/>
          <c:showPercent val="0"/>
          <c:showBubbleSize val="0"/>
        </c:dLbls>
        <c:gapWidth val="150"/>
        <c:shape val="box"/>
        <c:axId val="1641402112"/>
        <c:axId val="1641388720"/>
        <c:axId val="0"/>
      </c:bar3DChart>
      <c:catAx>
        <c:axId val="164140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388720"/>
        <c:crosses val="autoZero"/>
        <c:auto val="1"/>
        <c:lblAlgn val="ctr"/>
        <c:lblOffset val="100"/>
        <c:noMultiLvlLbl val="0"/>
      </c:catAx>
      <c:valAx>
        <c:axId val="164138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0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2</xdr:row>
      <xdr:rowOff>0</xdr:rowOff>
    </xdr:from>
    <xdr:to>
      <xdr:col>7</xdr:col>
      <xdr:colOff>95250</xdr:colOff>
      <xdr:row>15</xdr:row>
      <xdr:rowOff>130175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34F172CB-9D7B-F986-4200-FB67F645166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930650" y="368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127000</xdr:colOff>
      <xdr:row>1</xdr:row>
      <xdr:rowOff>158750</xdr:rowOff>
    </xdr:from>
    <xdr:to>
      <xdr:col>9</xdr:col>
      <xdr:colOff>127000</xdr:colOff>
      <xdr:row>15</xdr:row>
      <xdr:rowOff>104775</xdr:rowOff>
    </xdr:to>
    <mc:AlternateContent xmlns:mc="http://schemas.openxmlformats.org/markup-compatibility/2006">
      <mc:Choice xmlns:a14="http://schemas.microsoft.com/office/drawing/2010/main" Requires="a14">
        <xdr:graphicFrame macro="">
          <xdr:nvGraphicFramePr>
            <xdr:cNvPr id="2" name="ProductCategory">
              <a:extLst>
                <a:ext uri="{FF2B5EF4-FFF2-40B4-BE49-F238E27FC236}">
                  <a16:creationId xmlns:a16="http://schemas.microsoft.com/office/drawing/2014/main" id="{40375994-EEE5-7C00-D597-30C55D69785C}"/>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4838700" y="3429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393700</xdr:colOff>
      <xdr:row>15</xdr:row>
      <xdr:rowOff>114300</xdr:rowOff>
    </xdr:from>
    <xdr:to>
      <xdr:col>16</xdr:col>
      <xdr:colOff>393700</xdr:colOff>
      <xdr:row>29</xdr:row>
      <xdr:rowOff>60325</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B5759645-143D-6791-B377-6761AB853BB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88500" y="28765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400050</xdr:colOff>
      <xdr:row>1</xdr:row>
      <xdr:rowOff>69850</xdr:rowOff>
    </xdr:from>
    <xdr:to>
      <xdr:col>16</xdr:col>
      <xdr:colOff>400050</xdr:colOff>
      <xdr:row>15</xdr:row>
      <xdr:rowOff>15875</xdr:rowOff>
    </xdr:to>
    <mc:AlternateContent xmlns:mc="http://schemas.openxmlformats.org/markup-compatibility/2006">
      <mc:Choice xmlns:a14="http://schemas.microsoft.com/office/drawing/2010/main" Requires="a14">
        <xdr:graphicFrame macro="">
          <xdr:nvGraphicFramePr>
            <xdr:cNvPr id="3" name="Salesperson">
              <a:extLst>
                <a:ext uri="{FF2B5EF4-FFF2-40B4-BE49-F238E27FC236}">
                  <a16:creationId xmlns:a16="http://schemas.microsoft.com/office/drawing/2014/main" id="{95246BB4-23F1-EAA9-68E3-DB7C0DEEF9B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594850" y="254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xdr:colOff>
      <xdr:row>2</xdr:row>
      <xdr:rowOff>12700</xdr:rowOff>
    </xdr:from>
    <xdr:to>
      <xdr:col>11</xdr:col>
      <xdr:colOff>307975</xdr:colOff>
      <xdr:row>16</xdr:row>
      <xdr:rowOff>177800</xdr:rowOff>
    </xdr:to>
    <xdr:graphicFrame macro="">
      <xdr:nvGraphicFramePr>
        <xdr:cNvPr id="4" name="Chart 3">
          <a:extLst>
            <a:ext uri="{FF2B5EF4-FFF2-40B4-BE49-F238E27FC236}">
              <a16:creationId xmlns:a16="http://schemas.microsoft.com/office/drawing/2014/main" id="{E2BDA622-7C63-BDCF-C19C-608A4F79D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336550</xdr:colOff>
      <xdr:row>2</xdr:row>
      <xdr:rowOff>44450</xdr:rowOff>
    </xdr:from>
    <xdr:to>
      <xdr:col>5</xdr:col>
      <xdr:colOff>755650</xdr:colOff>
      <xdr:row>15</xdr:row>
      <xdr:rowOff>174625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3248D3A-C3CC-2ADE-BF15-E463DCC0DA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94200" y="4127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1511300</xdr:colOff>
      <xdr:row>2</xdr:row>
      <xdr:rowOff>57150</xdr:rowOff>
    </xdr:from>
    <xdr:to>
      <xdr:col>6</xdr:col>
      <xdr:colOff>1663700</xdr:colOff>
      <xdr:row>16</xdr:row>
      <xdr:rowOff>3175</xdr:rowOff>
    </xdr:to>
    <mc:AlternateContent xmlns:mc="http://schemas.openxmlformats.org/markup-compatibility/2006">
      <mc:Choice xmlns:a14="http://schemas.microsoft.com/office/drawing/2010/main" Requires="a14">
        <xdr:graphicFrame macro="">
          <xdr:nvGraphicFramePr>
            <xdr:cNvPr id="3" name="Channel">
              <a:extLst>
                <a:ext uri="{FF2B5EF4-FFF2-40B4-BE49-F238E27FC236}">
                  <a16:creationId xmlns:a16="http://schemas.microsoft.com/office/drawing/2014/main" id="{529B537D-D810-61D7-620F-602C0D65D84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978650" y="425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2</xdr:row>
      <xdr:rowOff>31750</xdr:rowOff>
    </xdr:from>
    <xdr:to>
      <xdr:col>11</xdr:col>
      <xdr:colOff>190500</xdr:colOff>
      <xdr:row>17</xdr:row>
      <xdr:rowOff>12700</xdr:rowOff>
    </xdr:to>
    <xdr:graphicFrame macro="">
      <xdr:nvGraphicFramePr>
        <xdr:cNvPr id="2" name="Chart 1">
          <a:extLst>
            <a:ext uri="{FF2B5EF4-FFF2-40B4-BE49-F238E27FC236}">
              <a16:creationId xmlns:a16="http://schemas.microsoft.com/office/drawing/2014/main" id="{665F6E38-0509-E0F3-16D5-8F4103CB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412750</xdr:colOff>
      <xdr:row>3</xdr:row>
      <xdr:rowOff>57150</xdr:rowOff>
    </xdr:from>
    <xdr:to>
      <xdr:col>11</xdr:col>
      <xdr:colOff>292100</xdr:colOff>
      <xdr:row>18</xdr:row>
      <xdr:rowOff>38100</xdr:rowOff>
    </xdr:to>
    <xdr:graphicFrame macro="">
      <xdr:nvGraphicFramePr>
        <xdr:cNvPr id="2" name="Chart 1">
          <a:extLst>
            <a:ext uri="{FF2B5EF4-FFF2-40B4-BE49-F238E27FC236}">
              <a16:creationId xmlns:a16="http://schemas.microsoft.com/office/drawing/2014/main" id="{B283BCAE-7D77-1E5B-B86B-445D5D630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596900</xdr:colOff>
      <xdr:row>2</xdr:row>
      <xdr:rowOff>25400</xdr:rowOff>
    </xdr:from>
    <xdr:to>
      <xdr:col>11</xdr:col>
      <xdr:colOff>114300</xdr:colOff>
      <xdr:row>15</xdr:row>
      <xdr:rowOff>44450</xdr:rowOff>
    </xdr:to>
    <xdr:graphicFrame macro="">
      <xdr:nvGraphicFramePr>
        <xdr:cNvPr id="3" name="Chart 2">
          <a:extLst>
            <a:ext uri="{FF2B5EF4-FFF2-40B4-BE49-F238E27FC236}">
              <a16:creationId xmlns:a16="http://schemas.microsoft.com/office/drawing/2014/main" id="{5A173DEB-8471-9CEB-84CF-F9E697461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241300</xdr:colOff>
      <xdr:row>9</xdr:row>
      <xdr:rowOff>76200</xdr:rowOff>
    </xdr:from>
    <xdr:to>
      <xdr:col>19</xdr:col>
      <xdr:colOff>146050</xdr:colOff>
      <xdr:row>22</xdr:row>
      <xdr:rowOff>165100</xdr:rowOff>
    </xdr:to>
    <xdr:graphicFrame macro="">
      <xdr:nvGraphicFramePr>
        <xdr:cNvPr id="2" name="Chart 1">
          <a:extLst>
            <a:ext uri="{FF2B5EF4-FFF2-40B4-BE49-F238E27FC236}">
              <a16:creationId xmlns:a16="http://schemas.microsoft.com/office/drawing/2014/main" id="{714CAE16-4060-4205-9E66-F341321A9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9</xdr:row>
      <xdr:rowOff>50800</xdr:rowOff>
    </xdr:from>
    <xdr:to>
      <xdr:col>12</xdr:col>
      <xdr:colOff>171450</xdr:colOff>
      <xdr:row>27</xdr:row>
      <xdr:rowOff>38100</xdr:rowOff>
    </xdr:to>
    <xdr:graphicFrame macro="">
      <xdr:nvGraphicFramePr>
        <xdr:cNvPr id="3" name="Chart 2">
          <a:extLst>
            <a:ext uri="{FF2B5EF4-FFF2-40B4-BE49-F238E27FC236}">
              <a16:creationId xmlns:a16="http://schemas.microsoft.com/office/drawing/2014/main" id="{DB6D9F2A-9ABF-496E-9788-BD34E8CFD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266700</xdr:colOff>
      <xdr:row>23</xdr:row>
      <xdr:rowOff>88900</xdr:rowOff>
    </xdr:from>
    <xdr:to>
      <xdr:col>19</xdr:col>
      <xdr:colOff>266700</xdr:colOff>
      <xdr:row>36</xdr:row>
      <xdr:rowOff>127000</xdr:rowOff>
    </xdr:to>
    <xdr:graphicFrame macro="">
      <xdr:nvGraphicFramePr>
        <xdr:cNvPr id="4" name="Chart 3">
          <a:extLst>
            <a:ext uri="{FF2B5EF4-FFF2-40B4-BE49-F238E27FC236}">
              <a16:creationId xmlns:a16="http://schemas.microsoft.com/office/drawing/2014/main" id="{F06446A9-876C-4930-9E57-E6442B088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88899</xdr:rowOff>
    </xdr:from>
    <xdr:to>
      <xdr:col>2</xdr:col>
      <xdr:colOff>266700</xdr:colOff>
      <xdr:row>27</xdr:row>
      <xdr:rowOff>25400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B6E135CF-0CF2-49A2-98AC-6994C9580E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3587749"/>
              <a:ext cx="1485900" cy="1409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298450</xdr:colOff>
      <xdr:row>9</xdr:row>
      <xdr:rowOff>44451</xdr:rowOff>
    </xdr:from>
    <xdr:to>
      <xdr:col>4</xdr:col>
      <xdr:colOff>546100</xdr:colOff>
      <xdr:row>18</xdr:row>
      <xdr:rowOff>57150</xdr:rowOff>
    </xdr:to>
    <mc:AlternateContent xmlns:mc="http://schemas.openxmlformats.org/markup-compatibility/2006">
      <mc:Choice xmlns:a14="http://schemas.microsoft.com/office/drawing/2010/main" Requires="a14">
        <xdr:graphicFrame macro="">
          <xdr:nvGraphicFramePr>
            <xdr:cNvPr id="6" name="Channel 1">
              <a:extLst>
                <a:ext uri="{FF2B5EF4-FFF2-40B4-BE49-F238E27FC236}">
                  <a16:creationId xmlns:a16="http://schemas.microsoft.com/office/drawing/2014/main" id="{8B29E84E-7BFD-4284-99E9-F9DE2A7A050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517650" y="1701801"/>
              <a:ext cx="1466850" cy="1670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330200</xdr:colOff>
      <xdr:row>28</xdr:row>
      <xdr:rowOff>6350</xdr:rowOff>
    </xdr:from>
    <xdr:to>
      <xdr:col>4</xdr:col>
      <xdr:colOff>577850</xdr:colOff>
      <xdr:row>38</xdr:row>
      <xdr:rowOff>146050</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D79FCA8C-A925-482B-927A-EE810CA6F8E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549400" y="5162550"/>
              <a:ext cx="1466850" cy="1981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27</xdr:row>
      <xdr:rowOff>146049</xdr:rowOff>
    </xdr:from>
    <xdr:to>
      <xdr:col>2</xdr:col>
      <xdr:colOff>234950</xdr:colOff>
      <xdr:row>38</xdr:row>
      <xdr:rowOff>171450</xdr:rowOff>
    </xdr:to>
    <mc:AlternateContent xmlns:mc="http://schemas.openxmlformats.org/markup-compatibility/2006">
      <mc:Choice xmlns:a14="http://schemas.microsoft.com/office/drawing/2010/main" Requires="a14">
        <xdr:graphicFrame macro="">
          <xdr:nvGraphicFramePr>
            <xdr:cNvPr id="8" name="Salesperson 1">
              <a:extLst>
                <a:ext uri="{FF2B5EF4-FFF2-40B4-BE49-F238E27FC236}">
                  <a16:creationId xmlns:a16="http://schemas.microsoft.com/office/drawing/2014/main" id="{14022CA0-A221-43D0-9BAB-20E2EF91B37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6350" y="5118099"/>
              <a:ext cx="1447800" cy="20510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311150</xdr:colOff>
      <xdr:row>18</xdr:row>
      <xdr:rowOff>171451</xdr:rowOff>
    </xdr:from>
    <xdr:to>
      <xdr:col>4</xdr:col>
      <xdr:colOff>571500</xdr:colOff>
      <xdr:row>27</xdr:row>
      <xdr:rowOff>146051</xdr:rowOff>
    </xdr:to>
    <mc:AlternateContent xmlns:mc="http://schemas.openxmlformats.org/markup-compatibility/2006">
      <mc:Choice xmlns:a14="http://schemas.microsoft.com/office/drawing/2010/main" Requires="a14">
        <xdr:graphicFrame macro="">
          <xdr:nvGraphicFramePr>
            <xdr:cNvPr id="9" name="ProductCategory 1">
              <a:extLst>
                <a:ext uri="{FF2B5EF4-FFF2-40B4-BE49-F238E27FC236}">
                  <a16:creationId xmlns:a16="http://schemas.microsoft.com/office/drawing/2014/main" id="{15F16D4B-AF54-4A2E-BD18-D83862149B75}"/>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530350" y="3486151"/>
              <a:ext cx="1479550" cy="1631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38101</xdr:rowOff>
    </xdr:from>
    <xdr:to>
      <xdr:col>2</xdr:col>
      <xdr:colOff>247650</xdr:colOff>
      <xdr:row>18</xdr:row>
      <xdr:rowOff>57151</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D872985D-EF67-42E3-B773-3BB8ABBDECF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1695451"/>
              <a:ext cx="146685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5</xdr:row>
      <xdr:rowOff>12700</xdr:rowOff>
    </xdr:from>
    <xdr:to>
      <xdr:col>5</xdr:col>
      <xdr:colOff>82550</xdr:colOff>
      <xdr:row>7</xdr:row>
      <xdr:rowOff>177800</xdr:rowOff>
    </xdr:to>
    <xdr:sp macro="" textlink="">
      <xdr:nvSpPr>
        <xdr:cNvPr id="11" name="Rectangle: Rounded Corners 10">
          <a:extLst>
            <a:ext uri="{FF2B5EF4-FFF2-40B4-BE49-F238E27FC236}">
              <a16:creationId xmlns:a16="http://schemas.microsoft.com/office/drawing/2014/main" id="{C81AF333-5B60-9194-6D9E-0C4B1BD0DC02}"/>
            </a:ext>
          </a:extLst>
        </xdr:cNvPr>
        <xdr:cNvSpPr/>
      </xdr:nvSpPr>
      <xdr:spPr>
        <a:xfrm>
          <a:off x="1695450" y="933450"/>
          <a:ext cx="1435100" cy="5334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GB" sz="1100"/>
            <a:t>    </a:t>
          </a:r>
          <a:r>
            <a:rPr lang="en-GB" sz="1100" b="1">
              <a:solidFill>
                <a:sysClr val="windowText" lastClr="000000"/>
              </a:solidFill>
            </a:rPr>
            <a:t>Total</a:t>
          </a:r>
          <a:r>
            <a:rPr lang="en-GB" sz="1100" b="1" baseline="0">
              <a:solidFill>
                <a:sysClr val="windowText" lastClr="000000"/>
              </a:solidFill>
            </a:rPr>
            <a:t> Revenue</a:t>
          </a:r>
        </a:p>
        <a:p>
          <a:pPr algn="l"/>
          <a:r>
            <a:rPr lang="en-GB" sz="1100" b="1" baseline="0">
              <a:solidFill>
                <a:sysClr val="windowText" lastClr="000000"/>
              </a:solidFill>
            </a:rPr>
            <a:t>      10985574.28</a:t>
          </a:r>
          <a:endParaRPr lang="en-GB" sz="1100" b="1">
            <a:solidFill>
              <a:sysClr val="windowText" lastClr="000000"/>
            </a:solidFill>
          </a:endParaRPr>
        </a:p>
      </xdr:txBody>
    </xdr:sp>
    <xdr:clientData/>
  </xdr:twoCellAnchor>
  <xdr:twoCellAnchor>
    <xdr:from>
      <xdr:col>5</xdr:col>
      <xdr:colOff>412750</xdr:colOff>
      <xdr:row>4</xdr:row>
      <xdr:rowOff>171450</xdr:rowOff>
    </xdr:from>
    <xdr:to>
      <xdr:col>7</xdr:col>
      <xdr:colOff>539750</xdr:colOff>
      <xdr:row>8</xdr:row>
      <xdr:rowOff>0</xdr:rowOff>
    </xdr:to>
    <xdr:sp macro="" textlink="">
      <xdr:nvSpPr>
        <xdr:cNvPr id="12" name="Rectangle: Rounded Corners 11">
          <a:extLst>
            <a:ext uri="{FF2B5EF4-FFF2-40B4-BE49-F238E27FC236}">
              <a16:creationId xmlns:a16="http://schemas.microsoft.com/office/drawing/2014/main" id="{24D2B183-304F-58BB-CAEF-1C60749A472B}"/>
            </a:ext>
          </a:extLst>
        </xdr:cNvPr>
        <xdr:cNvSpPr/>
      </xdr:nvSpPr>
      <xdr:spPr>
        <a:xfrm>
          <a:off x="3460750" y="908050"/>
          <a:ext cx="1346200" cy="5651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GB" sz="1100"/>
            <a:t>    </a:t>
          </a:r>
          <a:r>
            <a:rPr lang="en-GB" sz="1100" b="1">
              <a:solidFill>
                <a:sysClr val="windowText" lastClr="000000"/>
              </a:solidFill>
            </a:rPr>
            <a:t>Gross Profit</a:t>
          </a:r>
        </a:p>
        <a:p>
          <a:pPr algn="l"/>
          <a:r>
            <a:rPr lang="en-GB" sz="1100" b="1">
              <a:solidFill>
                <a:sysClr val="windowText" lastClr="000000"/>
              </a:solidFill>
            </a:rPr>
            <a:t>    3457826.573</a:t>
          </a:r>
        </a:p>
      </xdr:txBody>
    </xdr:sp>
    <xdr:clientData/>
  </xdr:twoCellAnchor>
  <xdr:twoCellAnchor>
    <xdr:from>
      <xdr:col>8</xdr:col>
      <xdr:colOff>234950</xdr:colOff>
      <xdr:row>4</xdr:row>
      <xdr:rowOff>171450</xdr:rowOff>
    </xdr:from>
    <xdr:to>
      <xdr:col>10</xdr:col>
      <xdr:colOff>419100</xdr:colOff>
      <xdr:row>7</xdr:row>
      <xdr:rowOff>177800</xdr:rowOff>
    </xdr:to>
    <xdr:sp macro="" textlink="">
      <xdr:nvSpPr>
        <xdr:cNvPr id="13" name="Rectangle: Rounded Corners 12">
          <a:extLst>
            <a:ext uri="{FF2B5EF4-FFF2-40B4-BE49-F238E27FC236}">
              <a16:creationId xmlns:a16="http://schemas.microsoft.com/office/drawing/2014/main" id="{E187A897-A3B5-8086-0DE0-4A53422CA4B4}"/>
            </a:ext>
          </a:extLst>
        </xdr:cNvPr>
        <xdr:cNvSpPr/>
      </xdr:nvSpPr>
      <xdr:spPr>
        <a:xfrm>
          <a:off x="5111750" y="908050"/>
          <a:ext cx="1403350" cy="5588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GB" sz="1100" b="1">
              <a:solidFill>
                <a:sysClr val="windowText" lastClr="000000"/>
              </a:solidFill>
            </a:rPr>
            <a:t>       Margin %</a:t>
          </a:r>
        </a:p>
        <a:p>
          <a:pPr algn="l"/>
          <a:r>
            <a:rPr lang="en-GB" sz="1100" b="1">
              <a:solidFill>
                <a:sysClr val="windowText" lastClr="000000"/>
              </a:solidFill>
            </a:rPr>
            <a:t>  -0.270232604</a:t>
          </a:r>
        </a:p>
      </xdr:txBody>
    </xdr:sp>
    <xdr:clientData/>
  </xdr:twoCellAnchor>
  <xdr:twoCellAnchor>
    <xdr:from>
      <xdr:col>11</xdr:col>
      <xdr:colOff>120650</xdr:colOff>
      <xdr:row>4</xdr:row>
      <xdr:rowOff>158750</xdr:rowOff>
    </xdr:from>
    <xdr:to>
      <xdr:col>13</xdr:col>
      <xdr:colOff>381000</xdr:colOff>
      <xdr:row>7</xdr:row>
      <xdr:rowOff>152400</xdr:rowOff>
    </xdr:to>
    <xdr:sp macro="" textlink="">
      <xdr:nvSpPr>
        <xdr:cNvPr id="14" name="Rectangle: Rounded Corners 13">
          <a:extLst>
            <a:ext uri="{FF2B5EF4-FFF2-40B4-BE49-F238E27FC236}">
              <a16:creationId xmlns:a16="http://schemas.microsoft.com/office/drawing/2014/main" id="{F50E2CBB-BA86-5EAB-3F1C-6523C856E875}"/>
            </a:ext>
          </a:extLst>
        </xdr:cNvPr>
        <xdr:cNvSpPr/>
      </xdr:nvSpPr>
      <xdr:spPr>
        <a:xfrm>
          <a:off x="6826250" y="895350"/>
          <a:ext cx="1479550" cy="5461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GB" sz="1100" b="1">
              <a:solidFill>
                <a:sysClr val="windowText" lastClr="000000"/>
              </a:solidFill>
            </a:rPr>
            <a:t>Average Order Value</a:t>
          </a:r>
        </a:p>
        <a:p>
          <a:pPr algn="l"/>
          <a:r>
            <a:rPr lang="en-GB" sz="1100" b="1">
              <a:solidFill>
                <a:sysClr val="windowText" lastClr="000000"/>
              </a:solidFill>
            </a:rPr>
            <a:t>      17382.23779</a:t>
          </a:r>
        </a:p>
      </xdr:txBody>
    </xdr:sp>
    <xdr:clientData/>
  </xdr:twoCellAnchor>
  <xdr:twoCellAnchor>
    <xdr:from>
      <xdr:col>6</xdr:col>
      <xdr:colOff>368300</xdr:colOff>
      <xdr:row>0</xdr:row>
      <xdr:rowOff>50800</xdr:rowOff>
    </xdr:from>
    <xdr:to>
      <xdr:col>13</xdr:col>
      <xdr:colOff>539750</xdr:colOff>
      <xdr:row>3</xdr:row>
      <xdr:rowOff>44450</xdr:rowOff>
    </xdr:to>
    <xdr:sp macro="" textlink="">
      <xdr:nvSpPr>
        <xdr:cNvPr id="15" name="Rectangle: Rounded Corners 14">
          <a:extLst>
            <a:ext uri="{FF2B5EF4-FFF2-40B4-BE49-F238E27FC236}">
              <a16:creationId xmlns:a16="http://schemas.microsoft.com/office/drawing/2014/main" id="{465DD321-54C6-1CB7-5841-5BFD362397AB}"/>
            </a:ext>
          </a:extLst>
        </xdr:cNvPr>
        <xdr:cNvSpPr/>
      </xdr:nvSpPr>
      <xdr:spPr>
        <a:xfrm>
          <a:off x="4025900" y="50800"/>
          <a:ext cx="4438650" cy="5461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GB" sz="1400" b="1"/>
            <a:t>         SALES OPERATIONS &amp; ANALYTICS ASSIGNMENT</a:t>
          </a:r>
        </a:p>
      </xdr:txBody>
    </xdr:sp>
    <xdr:clientData/>
  </xdr:twoCellAnchor>
  <xdr:twoCellAnchor>
    <xdr:from>
      <xdr:col>14</xdr:col>
      <xdr:colOff>241300</xdr:colOff>
      <xdr:row>4</xdr:row>
      <xdr:rowOff>158750</xdr:rowOff>
    </xdr:from>
    <xdr:to>
      <xdr:col>17</xdr:col>
      <xdr:colOff>50800</xdr:colOff>
      <xdr:row>8</xdr:row>
      <xdr:rowOff>133350</xdr:rowOff>
    </xdr:to>
    <xdr:sp macro="" textlink="">
      <xdr:nvSpPr>
        <xdr:cNvPr id="16" name="Rectangle: Rounded Corners 15">
          <a:extLst>
            <a:ext uri="{FF2B5EF4-FFF2-40B4-BE49-F238E27FC236}">
              <a16:creationId xmlns:a16="http://schemas.microsoft.com/office/drawing/2014/main" id="{71AC059D-6C3F-E0A8-B559-CE7E5C82A0A2}"/>
            </a:ext>
          </a:extLst>
        </xdr:cNvPr>
        <xdr:cNvSpPr/>
      </xdr:nvSpPr>
      <xdr:spPr>
        <a:xfrm>
          <a:off x="8775700" y="895350"/>
          <a:ext cx="1638300" cy="7112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GB" sz="1100" b="1">
              <a:solidFill>
                <a:sysClr val="windowText" lastClr="000000"/>
              </a:solidFill>
            </a:rPr>
            <a:t>Lead</a:t>
          </a:r>
          <a:r>
            <a:rPr lang="en-GB" sz="1100" b="1" baseline="0">
              <a:solidFill>
                <a:sysClr val="windowText" lastClr="000000"/>
              </a:solidFill>
            </a:rPr>
            <a:t>TimeDays Target</a:t>
          </a:r>
        </a:p>
        <a:p>
          <a:pPr algn="l"/>
          <a:r>
            <a:rPr lang="en-GB" sz="1100" b="1" baseline="0">
              <a:solidFill>
                <a:sysClr val="windowText" lastClr="000000"/>
              </a:solidFill>
            </a:rPr>
            <a:t>Target Met -138</a:t>
          </a:r>
          <a:endParaRPr lang="en-GB" sz="1100" b="1">
            <a:solidFill>
              <a:sysClr val="windowText" lastClr="000000"/>
            </a:solidFill>
          </a:endParaRPr>
        </a:p>
        <a:p>
          <a:pPr algn="l"/>
          <a:r>
            <a:rPr lang="en-GB" sz="1100" b="1">
              <a:solidFill>
                <a:sysClr val="windowText" lastClr="000000"/>
              </a:solidFill>
            </a:rPr>
            <a:t>Target Not Met - 494</a:t>
          </a:r>
        </a:p>
      </xdr:txBody>
    </xdr:sp>
    <xdr:clientData/>
  </xdr:twoCellAnchor>
  <xdr:twoCellAnchor>
    <xdr:from>
      <xdr:col>5</xdr:col>
      <xdr:colOff>0</xdr:colOff>
      <xdr:row>27</xdr:row>
      <xdr:rowOff>82550</xdr:rowOff>
    </xdr:from>
    <xdr:to>
      <xdr:col>12</xdr:col>
      <xdr:colOff>190500</xdr:colOff>
      <xdr:row>38</xdr:row>
      <xdr:rowOff>177800</xdr:rowOff>
    </xdr:to>
    <xdr:graphicFrame macro="">
      <xdr:nvGraphicFramePr>
        <xdr:cNvPr id="18" name="Chart 17">
          <a:extLst>
            <a:ext uri="{FF2B5EF4-FFF2-40B4-BE49-F238E27FC236}">
              <a16:creationId xmlns:a16="http://schemas.microsoft.com/office/drawing/2014/main" id="{D87A12B0-F655-4E8C-B8E2-4E74E3F65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501650</xdr:colOff>
      <xdr:row>40</xdr:row>
      <xdr:rowOff>0</xdr:rowOff>
    </xdr:from>
    <xdr:to>
      <xdr:col>15</xdr:col>
      <xdr:colOff>31750</xdr:colOff>
      <xdr:row>46</xdr:row>
      <xdr:rowOff>158750</xdr:rowOff>
    </xdr:to>
    <xdr:sp macro="" textlink="">
      <xdr:nvSpPr>
        <xdr:cNvPr id="19" name="Rectangle: Rounded Corners 18">
          <a:extLst>
            <a:ext uri="{FF2B5EF4-FFF2-40B4-BE49-F238E27FC236}">
              <a16:creationId xmlns:a16="http://schemas.microsoft.com/office/drawing/2014/main" id="{B0801425-66C0-0AF6-7819-9BD39DA30278}"/>
            </a:ext>
          </a:extLst>
        </xdr:cNvPr>
        <xdr:cNvSpPr/>
      </xdr:nvSpPr>
      <xdr:spPr>
        <a:xfrm>
          <a:off x="2940050" y="7366000"/>
          <a:ext cx="6235700" cy="126365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GB" sz="1100"/>
            <a:t>Patel made the most profit while Muller made the least profit</a:t>
          </a:r>
        </a:p>
        <a:p>
          <a:pPr algn="l"/>
          <a:r>
            <a:rPr lang="en-GB" sz="1100"/>
            <a:t>Revenues were high in May and July</a:t>
          </a:r>
        </a:p>
        <a:p>
          <a:pPr algn="l"/>
          <a:r>
            <a:rPr lang="en-GB" sz="1100"/>
            <a:t>Americas made the</a:t>
          </a:r>
          <a:r>
            <a:rPr lang="en-GB" sz="1100" baseline="0"/>
            <a:t> most profit on its online channel and lowest profit on its retail channel</a:t>
          </a:r>
        </a:p>
        <a:p>
          <a:pPr algn="l"/>
          <a:r>
            <a:rPr lang="en-GB" sz="1100" baseline="0"/>
            <a:t>Revenues were lowest between October and November</a:t>
          </a:r>
        </a:p>
        <a:p>
          <a:pPr algn="l"/>
          <a:r>
            <a:rPr lang="en-GB" sz="1100" baseline="0"/>
            <a:t>Africa and Asia had moderate profits</a:t>
          </a:r>
        </a:p>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534109953704" createdVersion="8" refreshedVersion="8" minRefreshableVersion="3" recordCount="633" xr:uid="{CFE27196-7312-4DA4-A09D-F8E5BF440B41}">
  <cacheSource type="worksheet">
    <worksheetSource ref="A1:AH634" sheet="Staging_table"/>
  </cacheSource>
  <cacheFields count="37">
    <cacheField name="OrderID" numFmtId="49">
      <sharedItems containsBlank="1"/>
    </cacheField>
    <cacheField name="OrderDate" numFmtId="164">
      <sharedItems containsNonDate="0" containsDate="1" containsString="0" containsBlank="1" minDate="2023-01-02T00:00:00" maxDate="2025-09-16T00:00:00" count="469">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m/>
      </sharedItems>
      <fieldGroup par="36"/>
    </cacheField>
    <cacheField name="NewOrderDate" numFmtId="164">
      <sharedItems containsNonDate="0" containsDate="1" containsString="0" containsBlank="1" minDate="2023-01-02T00:00:00" maxDate="2025-09-16T00:00:00"/>
    </cacheField>
    <cacheField name="Month-Year" numFmtId="164">
      <sharedItems containsBlank="1" count="35">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m/>
        <s v="Jan-1900" u="1"/>
      </sharedItems>
    </cacheField>
    <cacheField name="Month" numFmtId="164">
      <sharedItems containsBlank="1" count="13">
        <s v="Mar"/>
        <s v="Oct"/>
        <s v="Feb"/>
        <s v="Dec"/>
        <s v="Jan"/>
        <s v="May"/>
        <s v="Sep"/>
        <s v="Apr"/>
        <s v="Jul"/>
        <s v="Jun"/>
        <s v="Nov"/>
        <s v="Aug"/>
        <m/>
      </sharedItems>
    </cacheField>
    <cacheField name="Year" numFmtId="164">
      <sharedItems containsBlank="1"/>
    </cacheField>
    <cacheField name="Quarter" numFmtId="164">
      <sharedItems containsBlank="1" count="13">
        <s v="Q1-2024"/>
        <s v="Q4-2024"/>
        <s v="Q1-2023"/>
        <s v="Q1-2025"/>
        <s v="Q4-2023"/>
        <s v="Q2-2024"/>
        <s v="Q2-2025"/>
        <s v="Q3-2025"/>
        <s v="Q2-2023"/>
        <s v="Q3-2024"/>
        <s v="Q3-2023"/>
        <m/>
        <s v="Q1-1900" u="1"/>
      </sharedItems>
    </cacheField>
    <cacheField name="RequiredDate" numFmtId="164">
      <sharedItems containsNonDate="0" containsDate="1" containsString="0" containsBlank="1" minDate="2023-01-05T00:00:00" maxDate="2025-10-06T00:00:00"/>
    </cacheField>
    <cacheField name="New Required Date" numFmtId="164">
      <sharedItems containsNonDate="0" containsDate="1" containsString="0" containsBlank="1" minDate="2023-01-05T00:00:00" maxDate="2025-10-06T00:00:00"/>
    </cacheField>
    <cacheField name="RequiredDateCategory" numFmtId="164">
      <sharedItems containsBlank="1"/>
    </cacheField>
    <cacheField name="LeadTimeDays" numFmtId="1">
      <sharedItems containsString="0" containsBlank="1" containsNumber="1" containsInteger="1" minValue="0" maxValue="30"/>
    </cacheField>
    <cacheField name="LTD Target" numFmtId="1">
      <sharedItems containsBlank="1" count="3">
        <s v="Target Not Met"/>
        <s v="Target Met"/>
        <m/>
      </sharedItems>
    </cacheField>
    <cacheField name="Region" numFmtId="49">
      <sharedItems containsBlank="1" count="5">
        <s v="Africa"/>
        <s v="Asia"/>
        <s v="Americas"/>
        <s v="Europe"/>
        <m/>
      </sharedItems>
    </cacheField>
    <cacheField name="Country" numFmtId="49">
      <sharedItems containsBlank="1" count="14">
        <s v="Kenya"/>
        <s v="Nigeria"/>
        <s v="Japan"/>
        <s v="Canada"/>
        <s v="India"/>
        <s v="Brazil"/>
        <s v="Germany"/>
        <s v="France"/>
        <s v="United Kingdom"/>
        <s v="China"/>
        <s v="USA"/>
        <s v="South Africa"/>
        <m/>
        <s v="Not Provided" u="1"/>
      </sharedItems>
    </cacheField>
    <cacheField name="City" numFmtId="49">
      <sharedItems containsBlank="1"/>
    </cacheField>
    <cacheField name="Region→Country→City" numFmtId="0">
      <sharedItems containsBlank="1"/>
    </cacheField>
    <cacheField name="CustomerSegment" numFmtId="49">
      <sharedItems containsBlank="1"/>
    </cacheField>
    <cacheField name="Channel" numFmtId="49">
      <sharedItems containsBlank="1" count="7">
        <s v="Retail"/>
        <s v="Online"/>
        <s v="Marketplace"/>
        <s v="Distributor"/>
        <s v="Direct"/>
        <s v="Unknown"/>
        <m/>
      </sharedItems>
    </cacheField>
    <cacheField name="Salesperson" numFmtId="49">
      <sharedItems containsBlank="1" count="17">
        <s v="C. Otieno"/>
        <s v="J. Njeri"/>
        <s v="I. Johnson"/>
        <s v="G. Dubois"/>
        <s v="L. Okafor"/>
        <s v="B. Chen"/>
        <s v="E. Garcia"/>
        <s v="O. Wang"/>
        <s v="A. Patel"/>
        <s v="F. Müller"/>
        <s v="H. Kim"/>
        <s v="K. Singh"/>
        <s v="M. Rossi"/>
        <s v="N. Brown"/>
        <s v="D. Smith"/>
        <s v="Unknown"/>
        <m/>
      </sharedItems>
    </cacheField>
    <cacheField name="ProductCategory" numFmtId="49">
      <sharedItems containsBlank="1" count="8">
        <s v="Components"/>
        <s v="Printers"/>
        <s v="Networking"/>
        <s v="Phones"/>
        <s v="Laptops"/>
        <s v="Monitors"/>
        <s v="Accessories"/>
        <m/>
      </sharedItems>
    </cacheField>
    <cacheField name="SKU%" numFmtId="0">
      <sharedItems containsBlank="1"/>
    </cacheField>
    <cacheField name="SKU" numFmtId="49">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2">
      <sharedItems containsString="0" containsBlank="1" containsNumber="1" minValue="5.34" maxValue="1495.79"/>
    </cacheField>
    <cacheField name="UnitPrice" numFmtId="2">
      <sharedItems containsString="0" containsBlank="1" containsNumber="1" minValue="-33.659999999999997" maxValue="3661.07"/>
    </cacheField>
    <cacheField name="New UnitPrice" numFmtId="2">
      <sharedItems containsString="0" containsBlank="1" containsNumber="1" minValue="4.22" maxValue="3661.07"/>
    </cacheField>
    <cacheField name="PriceBand" numFmtId="2">
      <sharedItems containsBlank="1"/>
    </cacheField>
    <cacheField name="Discount%" numFmtId="10">
      <sharedItems containsString="0" containsBlank="1" containsNumber="1" minValue="0" maxValue="0.56499999999999995"/>
    </cacheField>
    <cacheField name="New Discount%" numFmtId="10">
      <sharedItems containsBlank="1" containsMixedTypes="1" containsNumber="1" minValue="0" maxValue="0.29899999999999999"/>
    </cacheField>
    <cacheField name="Discount Category" numFmtId="10">
      <sharedItems containsBlank="1" count="3">
        <s v="OK"/>
        <s v="High"/>
        <m/>
      </sharedItems>
    </cacheField>
    <cacheField name="Quantity" numFmtId="2">
      <sharedItems containsString="0" containsBlank="1" containsNumber="1" containsInteger="1" minValue="2" maxValue="61"/>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68355.013999999996" maxValue="65188.659999999996"/>
    </cacheField>
    <cacheField name="Margin%" numFmtId="10">
      <sharedItems containsString="0" containsBlank="1" containsNumber="1" minValue="-250.39750756449047" maxValue="0.59672531214528945"/>
    </cacheField>
    <cacheField name="Months (OrderDate)" numFmtId="0" databaseField="0">
      <fieldGroup base="1">
        <rangePr groupBy="months" startDate="2023-01-02T00:00:00" endDate="2025-09-16T00:00:00"/>
        <groupItems count="14">
          <s v="&lt;02/01/2023"/>
          <s v="Jan"/>
          <s v="Feb"/>
          <s v="Mar"/>
          <s v="Apr"/>
          <s v="May"/>
          <s v="Jun"/>
          <s v="Jul"/>
          <s v="Aug"/>
          <s v="Sep"/>
          <s v="Oct"/>
          <s v="Nov"/>
          <s v="Dec"/>
          <s v="&gt;16/09/2025"/>
        </groupItems>
      </fieldGroup>
    </cacheField>
    <cacheField name="Quarters (OrderDate)" numFmtId="0" databaseField="0">
      <fieldGroup base="1">
        <rangePr groupBy="quarters" startDate="2023-01-02T00:00:00" endDate="2025-09-16T00:00:00"/>
        <groupItems count="6">
          <s v="&lt;02/01/2023"/>
          <s v="Qtr1"/>
          <s v="Qtr2"/>
          <s v="Qtr3"/>
          <s v="Qtr4"/>
          <s v="&gt;16/09/2025"/>
        </groupItems>
      </fieldGroup>
    </cacheField>
    <cacheField name="Years (OrderDate)"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460669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x v="0"/>
    <d v="2024-03-11T00:00:00"/>
    <x v="0"/>
    <x v="0"/>
    <s v="2024"/>
    <x v="0"/>
    <d v="2024-04-06T00:00:00"/>
    <d v="2024-04-06T00:00:00"/>
    <s v="Okay"/>
    <n v="26"/>
    <x v="0"/>
    <x v="0"/>
    <x v="0"/>
    <s v="Kisumu"/>
    <s v="Africa→Kenya→Kisumu"/>
    <s v="Corporate"/>
    <x v="0"/>
    <x v="0"/>
    <x v="0"/>
    <e v="#REF!"/>
    <x v="0"/>
    <n v="279.24"/>
    <n v="608.9"/>
    <n v="608.9"/>
    <s v="Low"/>
    <n v="0.112"/>
    <n v="0.112"/>
    <x v="0"/>
    <n v="9"/>
    <n v="4866.3287999999993"/>
    <n v="2513.16"/>
    <n v="2353.1687999999995"/>
    <n v="0.48356140670149533"/>
  </r>
  <r>
    <s v="ORD-2024-358795"/>
    <x v="1"/>
    <d v="2024-10-22T00:00:00"/>
    <x v="1"/>
    <x v="1"/>
    <s v="2024"/>
    <x v="1"/>
    <d v="2024-10-22T00:00:00"/>
    <d v="2024-10-30T00:00:00"/>
    <s v="Invalid"/>
    <n v="8"/>
    <x v="0"/>
    <x v="0"/>
    <x v="1"/>
    <s v="Port Harcourt"/>
    <s v="Africa→Nigeria→Port Harcourt"/>
    <s v="Education"/>
    <x v="1"/>
    <x v="1"/>
    <x v="1"/>
    <e v="#REF!"/>
    <x v="1"/>
    <n v="1084.3900000000001"/>
    <n v="759.33"/>
    <n v="759.33"/>
    <s v="Low"/>
    <n v="0.23699999999999999"/>
    <n v="0.23699999999999999"/>
    <x v="0"/>
    <n v="31"/>
    <n v="17960.432489999999"/>
    <n v="33616.090000000004"/>
    <n v="-15655.657510000005"/>
    <n v="-0.87167486187856302"/>
  </r>
  <r>
    <s v="ORD-2023-373538"/>
    <x v="2"/>
    <d v="2023-02-28T00:00:00"/>
    <x v="2"/>
    <x v="2"/>
    <s v="2023"/>
    <x v="2"/>
    <d v="2023-03-25T00:00:00"/>
    <d v="2023-03-25T00:00:00"/>
    <s v="Okay"/>
    <n v="25"/>
    <x v="0"/>
    <x v="0"/>
    <x v="0"/>
    <s v="Nairobi"/>
    <s v="Africa→Kenya→Nairobi"/>
    <s v="Corporate"/>
    <x v="0"/>
    <x v="2"/>
    <x v="2"/>
    <e v="#REF!"/>
    <x v="2"/>
    <n v="1460.76"/>
    <n v="-30.66"/>
    <n v="30.66"/>
    <s v="Low"/>
    <n v="0.13100000000000001"/>
    <n v="0.13100000000000001"/>
    <x v="0"/>
    <n v="12"/>
    <n v="319.72248000000002"/>
    <n v="17529.12"/>
    <n v="-17209.397519999999"/>
    <n v="-53.826047890032626"/>
  </r>
  <r>
    <s v="ORD-2025-168148"/>
    <x v="3"/>
    <d v="2025-03-29T00:00:00"/>
    <x v="3"/>
    <x v="0"/>
    <s v="2025"/>
    <x v="3"/>
    <d v="2025-04-02T00:00:00"/>
    <d v="2025-04-02T00:00:00"/>
    <s v="Okay"/>
    <n v="4"/>
    <x v="1"/>
    <x v="0"/>
    <x v="1"/>
    <s v="Lagos"/>
    <s v="Africa→Nigeria→Lagos"/>
    <s v="Non-Profit"/>
    <x v="2"/>
    <x v="3"/>
    <x v="3"/>
    <e v="#REF!"/>
    <x v="3"/>
    <n v="259.93"/>
    <n v="255.94"/>
    <n v="255.94"/>
    <s v="Low"/>
    <n v="7.1999999999999995E-2"/>
    <n v="7.1999999999999995E-2"/>
    <x v="0"/>
    <n v="22"/>
    <n v="5225.2710400000005"/>
    <n v="5718.46"/>
    <n v="-493.1889599999995"/>
    <n v="-9.4385335463861311E-2"/>
  </r>
  <r>
    <s v="ORD-2023-824839"/>
    <x v="4"/>
    <d v="2023-12-06T00:00:00"/>
    <x v="4"/>
    <x v="3"/>
    <s v="2023"/>
    <x v="4"/>
    <d v="2023-12-31T00:00:00"/>
    <d v="2023-12-31T00:00:00"/>
    <s v="Okay"/>
    <n v="25"/>
    <x v="0"/>
    <x v="1"/>
    <x v="2"/>
    <s v="Osaka"/>
    <s v="Asia→Japan→Osaka"/>
    <s v="Consumer"/>
    <x v="0"/>
    <x v="4"/>
    <x v="1"/>
    <e v="#REF!"/>
    <x v="4"/>
    <n v="663.03"/>
    <n v="813.51"/>
    <n v="813.51"/>
    <s v="Low"/>
    <n v="0.10199999999999999"/>
    <n v="0.10199999999999999"/>
    <x v="0"/>
    <n v="15"/>
    <n v="10957.9797"/>
    <n v="9945.4499999999989"/>
    <n v="1012.529700000001"/>
    <n v="9.2401129379715952E-2"/>
  </r>
  <r>
    <s v="ORD-2023-723587"/>
    <x v="5"/>
    <d v="2023-01-02T00:00:00"/>
    <x v="5"/>
    <x v="4"/>
    <s v="2023"/>
    <x v="2"/>
    <d v="2023-01-05T00:00:00"/>
    <d v="2023-01-05T00:00:00"/>
    <s v="Okay"/>
    <n v="3"/>
    <x v="1"/>
    <x v="2"/>
    <x v="3"/>
    <s v="Toronto"/>
    <s v="Americas→Canada→Toronto"/>
    <s v="Corporate"/>
    <x v="3"/>
    <x v="5"/>
    <x v="4"/>
    <e v="#REF!"/>
    <x v="5"/>
    <n v="315.87"/>
    <n v="591.67999999999995"/>
    <n v="591.67999999999995"/>
    <s v="Low"/>
    <n v="0"/>
    <n v="0"/>
    <x v="0"/>
    <n v="7"/>
    <n v="4141.7599999999993"/>
    <n v="2211.09"/>
    <n v="1930.6699999999992"/>
    <n v="0.46614724175229844"/>
  </r>
  <r>
    <s v="ORD-2024-336584"/>
    <x v="6"/>
    <d v="2024-12-27T00:00:00"/>
    <x v="6"/>
    <x v="3"/>
    <s v="2024"/>
    <x v="1"/>
    <d v="2025-01-14T00:00:00"/>
    <d v="2025-01-14T00:00:00"/>
    <s v="Okay"/>
    <n v="18"/>
    <x v="0"/>
    <x v="1"/>
    <x v="4"/>
    <s v="Bengaluru"/>
    <s v="Asia→India→Bengaluru"/>
    <s v="Small Business"/>
    <x v="2"/>
    <x v="6"/>
    <x v="5"/>
    <e v="#REF!"/>
    <x v="6"/>
    <n v="586.07000000000005"/>
    <n v="845.97"/>
    <n v="845.97"/>
    <s v="Low"/>
    <n v="0.14699999999999999"/>
    <n v="0.14699999999999999"/>
    <x v="0"/>
    <n v="4"/>
    <n v="2886.4496399999998"/>
    <n v="2344.2800000000002"/>
    <n v="542.16963999999962"/>
    <n v="0.18783270370862928"/>
  </r>
  <r>
    <s v="ORD-2023-112666"/>
    <x v="7"/>
    <d v="2023-01-13T00:00:00"/>
    <x v="5"/>
    <x v="4"/>
    <s v="2023"/>
    <x v="2"/>
    <d v="2023-01-13T00:00:00"/>
    <d v="2023-01-22T00:00:00"/>
    <s v="Invalid"/>
    <n v="9"/>
    <x v="0"/>
    <x v="0"/>
    <x v="1"/>
    <s v="Abuja"/>
    <s v="Africa→Nigeria→Abuja"/>
    <s v="Education"/>
    <x v="1"/>
    <x v="7"/>
    <x v="1"/>
    <e v="#REF!"/>
    <x v="7"/>
    <n v="28.38"/>
    <n v="47.22"/>
    <n v="47.22"/>
    <s v="Low"/>
    <n v="0.19400000000000001"/>
    <n v="0.19400000000000001"/>
    <x v="0"/>
    <n v="18"/>
    <n v="685.06776000000002"/>
    <n v="510.84"/>
    <n v="174.22776000000005"/>
    <n v="0.25432193743871417"/>
  </r>
  <r>
    <s v="ORD-2024-589570"/>
    <x v="8"/>
    <d v="2024-05-04T00:00:00"/>
    <x v="7"/>
    <x v="5"/>
    <s v="2024"/>
    <x v="5"/>
    <d v="2024-05-29T00:00:00"/>
    <d v="2024-05-29T00:00:00"/>
    <s v="Okay"/>
    <n v="25"/>
    <x v="0"/>
    <x v="0"/>
    <x v="1"/>
    <s v="Abuja"/>
    <s v="Africa→Nigeria→Abuja"/>
    <s v="Non-Profit"/>
    <x v="2"/>
    <x v="7"/>
    <x v="5"/>
    <e v="#REF!"/>
    <x v="8"/>
    <n v="1295.3399999999999"/>
    <n v="2530.81"/>
    <n v="2530.81"/>
    <s v="High"/>
    <n v="3.1E-2"/>
    <n v="3.1E-2"/>
    <x v="0"/>
    <n v="6"/>
    <n v="14714.12934"/>
    <n v="7772.0399999999991"/>
    <n v="6942.0893400000004"/>
    <n v="0.4717974933880798"/>
  </r>
  <r>
    <s v="ORD-2025-997421"/>
    <x v="9"/>
    <d v="2025-05-21T00:00:00"/>
    <x v="8"/>
    <x v="5"/>
    <s v="2025"/>
    <x v="6"/>
    <d v="2025-06-09T00:00:00"/>
    <d v="2025-06-09T00:00:00"/>
    <s v="Okay"/>
    <n v="19"/>
    <x v="0"/>
    <x v="2"/>
    <x v="5"/>
    <s v="São Paulo"/>
    <s v="Americas→Brazil→São Paulo"/>
    <s v="Non-Profit"/>
    <x v="1"/>
    <x v="8"/>
    <x v="0"/>
    <e v="#REF!"/>
    <x v="9"/>
    <n v="1331.38"/>
    <n v="2309.56"/>
    <n v="2309.56"/>
    <s v="High"/>
    <n v="0.14899999999999999"/>
    <n v="0.14899999999999999"/>
    <x v="0"/>
    <n v="31"/>
    <n v="60928.502359999999"/>
    <n v="41272.780000000006"/>
    <n v="19655.722359999992"/>
    <n v="0.32260307735553528"/>
  </r>
  <r>
    <s v="ORD-2024-210687"/>
    <x v="10"/>
    <d v="2024-01-28T00:00:00"/>
    <x v="9"/>
    <x v="4"/>
    <s v="2024"/>
    <x v="0"/>
    <d v="2024-02-09T00:00:00"/>
    <d v="2024-02-09T00:00:00"/>
    <s v="Okay"/>
    <n v="12"/>
    <x v="0"/>
    <x v="3"/>
    <x v="6"/>
    <s v="Berlin"/>
    <s v="Europe→Germany→Berlin"/>
    <s v="Corporate"/>
    <x v="1"/>
    <x v="3"/>
    <x v="6"/>
    <e v="#REF!"/>
    <x v="10"/>
    <n v="644.16999999999996"/>
    <n v="700.12"/>
    <n v="700.12"/>
    <s v="Low"/>
    <n v="6.0000000000000001E-3"/>
    <n v="6.0000000000000001E-3"/>
    <x v="0"/>
    <n v="23"/>
    <n v="16006.14344"/>
    <n v="14815.91"/>
    <n v="1190.23344"/>
    <n v="7.436103796405813E-2"/>
  </r>
  <r>
    <s v="ORD-2025-515515"/>
    <x v="11"/>
    <d v="2025-01-03T00:00:00"/>
    <x v="10"/>
    <x v="4"/>
    <s v="2025"/>
    <x v="3"/>
    <d v="2025-01-23T00:00:00"/>
    <d v="2025-01-23T00:00:00"/>
    <s v="Okay"/>
    <n v="20"/>
    <x v="0"/>
    <x v="1"/>
    <x v="2"/>
    <s v="Osaka"/>
    <s v="Asia→Japan→Osaka"/>
    <s v="Corporate"/>
    <x v="3"/>
    <x v="9"/>
    <x v="3"/>
    <e v="#REF!"/>
    <x v="11"/>
    <n v="908.6"/>
    <n v="691.37"/>
    <n v="691.37"/>
    <s v="Low"/>
    <n v="0.25"/>
    <n v="0.25"/>
    <x v="0"/>
    <n v="20"/>
    <n v="10370.549999999999"/>
    <n v="18172"/>
    <n v="-7801.4500000000007"/>
    <n v="-0.75226964818645115"/>
  </r>
  <r>
    <s v="ORD-2025-487261"/>
    <x v="12"/>
    <d v="2025-03-06T00:00:00"/>
    <x v="3"/>
    <x v="0"/>
    <s v="2025"/>
    <x v="3"/>
    <d v="2025-03-31T00:00:00"/>
    <d v="2025-03-31T00:00:00"/>
    <s v="Okay"/>
    <n v="25"/>
    <x v="0"/>
    <x v="2"/>
    <x v="5"/>
    <s v="Brasília"/>
    <s v="Americas→Brazil→Brasília"/>
    <s v="Non-Profit"/>
    <x v="1"/>
    <x v="1"/>
    <x v="0"/>
    <e v="#REF!"/>
    <x v="12"/>
    <n v="331.57"/>
    <n v="548.4"/>
    <n v="548.4"/>
    <s v="Low"/>
    <n v="9.4E-2"/>
    <n v="9.4E-2"/>
    <x v="0"/>
    <n v="10"/>
    <n v="4968.5039999999999"/>
    <n v="3315.7"/>
    <n v="1652.8040000000001"/>
    <n v="0.33265626836568918"/>
  </r>
  <r>
    <s v="ORD-2024-890180"/>
    <x v="13"/>
    <d v="2024-01-20T00:00:00"/>
    <x v="9"/>
    <x v="4"/>
    <s v="2024"/>
    <x v="0"/>
    <d v="2024-02-13T00:00:00"/>
    <d v="2024-02-13T00:00:00"/>
    <s v="Okay"/>
    <n v="24"/>
    <x v="0"/>
    <x v="3"/>
    <x v="7"/>
    <s v="Marseille"/>
    <s v="Europe→France→Marseille"/>
    <s v="Corporate"/>
    <x v="0"/>
    <x v="10"/>
    <x v="1"/>
    <e v="#REF!"/>
    <x v="13"/>
    <n v="643.53"/>
    <n v="1439.01"/>
    <n v="1439.01"/>
    <s v="Medium"/>
    <n v="0"/>
    <n v="0"/>
    <x v="0"/>
    <n v="15"/>
    <n v="21585.15"/>
    <n v="9652.9499999999989"/>
    <n v="11932.200000000003"/>
    <n v="0.55279671440782208"/>
  </r>
  <r>
    <s v="ORD-2025-840976"/>
    <x v="14"/>
    <d v="2025-09-01T00:00:00"/>
    <x v="11"/>
    <x v="6"/>
    <s v="2025"/>
    <x v="7"/>
    <d v="2025-09-30T00:00:00"/>
    <d v="2025-09-30T00:00:00"/>
    <s v="Okay"/>
    <n v="29"/>
    <x v="0"/>
    <x v="2"/>
    <x v="5"/>
    <s v="Brasília"/>
    <s v="Americas→Brazil→Brasília"/>
    <s v="Education"/>
    <x v="0"/>
    <x v="11"/>
    <x v="6"/>
    <e v="#REF!"/>
    <x v="14"/>
    <n v="780.59"/>
    <n v="631.57000000000005"/>
    <n v="631.57000000000005"/>
    <s v="Low"/>
    <n v="0"/>
    <n v="0"/>
    <x v="0"/>
    <n v="12"/>
    <n v="7578.84"/>
    <n v="9367.08"/>
    <n v="-1788.2399999999998"/>
    <n v="-0.23595167598207639"/>
  </r>
  <r>
    <s v="ORD-2023-937291"/>
    <x v="15"/>
    <d v="2023-04-22T00:00:00"/>
    <x v="12"/>
    <x v="7"/>
    <s v="2023"/>
    <x v="8"/>
    <d v="2023-04-22T00:00:00"/>
    <d v="2023-04-30T00:00:00"/>
    <s v="Invalid"/>
    <n v="8"/>
    <x v="0"/>
    <x v="0"/>
    <x v="0"/>
    <s v="Nairobi"/>
    <s v="Africa→Kenya→Nairobi"/>
    <s v="Small Business"/>
    <x v="4"/>
    <x v="6"/>
    <x v="4"/>
    <e v="#REF!"/>
    <x v="15"/>
    <n v="756.51"/>
    <n v="850.8"/>
    <n v="850.8"/>
    <s v="Low"/>
    <n v="7.3999999999999996E-2"/>
    <n v="7.3999999999999996E-2"/>
    <x v="0"/>
    <n v="9"/>
    <n v="7090.5672000000004"/>
    <n v="6808.59"/>
    <n v="281.97720000000027"/>
    <n v="3.9767932810791252E-2"/>
  </r>
  <r>
    <s v="ORD-2024-206081"/>
    <x v="16"/>
    <d v="2024-12-10T00:00:00"/>
    <x v="6"/>
    <x v="3"/>
    <s v="2024"/>
    <x v="1"/>
    <d v="2025-01-08T00:00:00"/>
    <d v="2025-01-08T00:00:00"/>
    <s v="Okay"/>
    <n v="29"/>
    <x v="0"/>
    <x v="3"/>
    <x v="7"/>
    <s v="Marseille"/>
    <s v="Europe→France→Marseille"/>
    <s v="Small Business"/>
    <x v="0"/>
    <x v="11"/>
    <x v="1"/>
    <e v="#REF!"/>
    <x v="16"/>
    <n v="891.08"/>
    <n v="1040.0999999999999"/>
    <n v="1040.0999999999999"/>
    <s v="Low"/>
    <n v="0.109"/>
    <n v="0.109"/>
    <x v="0"/>
    <n v="28"/>
    <n v="25948.414799999995"/>
    <n v="24950.240000000002"/>
    <n v="998.17479999999341"/>
    <n v="3.8467660074556598E-2"/>
  </r>
  <r>
    <s v="ORD-2025-233883"/>
    <x v="17"/>
    <d v="2025-09-08T00:00:00"/>
    <x v="11"/>
    <x v="6"/>
    <s v="2025"/>
    <x v="7"/>
    <d v="2025-09-16T00:00:00"/>
    <d v="2025-09-16T00:00:00"/>
    <s v="Okay"/>
    <n v="8"/>
    <x v="0"/>
    <x v="1"/>
    <x v="2"/>
    <s v="Osaka"/>
    <s v="Asia→Japan→Osaka"/>
    <s v="Corporate"/>
    <x v="3"/>
    <x v="0"/>
    <x v="3"/>
    <e v="#REF!"/>
    <x v="17"/>
    <n v="1225.57"/>
    <n v="2705.57"/>
    <n v="2705.57"/>
    <s v="High"/>
    <n v="0.183"/>
    <n v="0.183"/>
    <x v="0"/>
    <n v="16"/>
    <n v="35367.211040000002"/>
    <n v="19609.12"/>
    <n v="15758.091040000003"/>
    <n v="0.44555650775453404"/>
  </r>
  <r>
    <s v="ORD-2025-843974"/>
    <x v="18"/>
    <d v="2025-07-20T00:00:00"/>
    <x v="13"/>
    <x v="8"/>
    <s v="2025"/>
    <x v="7"/>
    <d v="2025-08-05T00:00:00"/>
    <d v="2025-08-05T00:00:00"/>
    <s v="Okay"/>
    <n v="16"/>
    <x v="0"/>
    <x v="2"/>
    <x v="5"/>
    <s v="Brasília"/>
    <s v="Americas→Brazil→Brasília"/>
    <s v="Enterprise"/>
    <x v="2"/>
    <x v="3"/>
    <x v="6"/>
    <e v="#REF!"/>
    <x v="18"/>
    <n v="1068.17"/>
    <n v="2375.37"/>
    <n v="2375.37"/>
    <s v="High"/>
    <n v="0.109"/>
    <n v="0.109"/>
    <x v="0"/>
    <n v="18"/>
    <n v="38096.18406"/>
    <n v="19227.060000000001"/>
    <n v="18869.124059999998"/>
    <n v="0.49530220744108822"/>
  </r>
  <r>
    <s v="ORD-2025-745263"/>
    <x v="9"/>
    <d v="2025-05-19T00:00:00"/>
    <x v="8"/>
    <x v="5"/>
    <s v="2025"/>
    <x v="6"/>
    <d v="2025-05-19T00:00:00"/>
    <d v="2025-05-28T00:00:00"/>
    <s v="Invalid"/>
    <n v="9"/>
    <x v="0"/>
    <x v="3"/>
    <x v="8"/>
    <s v="Birmingham"/>
    <s v="Europe→United Kingdom→Birmingham"/>
    <s v="Enterprise"/>
    <x v="1"/>
    <x v="12"/>
    <x v="4"/>
    <e v="#REF!"/>
    <x v="19"/>
    <n v="1015.16"/>
    <n v="2148.14"/>
    <n v="2148.14"/>
    <s v="High"/>
    <n v="3.7999999999999999E-2"/>
    <n v="3.7999999999999999E-2"/>
    <x v="0"/>
    <n v="19"/>
    <n v="39263.702919999996"/>
    <n v="19288.04"/>
    <n v="19975.662919999995"/>
    <n v="0.50875647059322227"/>
  </r>
  <r>
    <s v="ORD-2024-798002"/>
    <x v="19"/>
    <d v="2024-07-24T00:00:00"/>
    <x v="14"/>
    <x v="8"/>
    <s v="2024"/>
    <x v="9"/>
    <d v="2024-07-24T00:00:00"/>
    <d v="2024-08-01T00:00:00"/>
    <s v="Invalid"/>
    <n v="8"/>
    <x v="0"/>
    <x v="0"/>
    <x v="0"/>
    <s v="Mombasa"/>
    <s v="Africa→Kenya→Mombasa"/>
    <s v="Non-Profit"/>
    <x v="4"/>
    <x v="1"/>
    <x v="4"/>
    <e v="#REF!"/>
    <x v="20"/>
    <n v="1494.4"/>
    <n v="3661.07"/>
    <n v="3661.07"/>
    <s v="High"/>
    <n v="7.1999999999999995E-2"/>
    <n v="7.1999999999999995E-2"/>
    <x v="0"/>
    <n v="7"/>
    <n v="23782.310720000001"/>
    <n v="10460.800000000001"/>
    <n v="13321.51072"/>
    <n v="0.56014366630897339"/>
  </r>
  <r>
    <s v="ORD-2023-867836"/>
    <x v="20"/>
    <d v="2023-05-11T00:00:00"/>
    <x v="15"/>
    <x v="5"/>
    <s v="2023"/>
    <x v="8"/>
    <d v="2023-05-28T00:00:00"/>
    <d v="2023-05-28T00:00:00"/>
    <s v="Okay"/>
    <n v="17"/>
    <x v="0"/>
    <x v="1"/>
    <x v="9"/>
    <s v="Shenzhen"/>
    <s v="Asia→China→Shenzhen"/>
    <s v="Enterprise"/>
    <x v="2"/>
    <x v="6"/>
    <x v="2"/>
    <e v="#REF!"/>
    <x v="21"/>
    <n v="1331.19"/>
    <n v="2903.09"/>
    <n v="2903.09"/>
    <s v="High"/>
    <n v="0.14299999999999999"/>
    <n v="0.14299999999999999"/>
    <x v="0"/>
    <n v="8"/>
    <n v="19903.585040000002"/>
    <n v="10649.52"/>
    <n v="9254.0650400000013"/>
    <n v="0.46494463290920784"/>
  </r>
  <r>
    <s v="ORD-2025-580047"/>
    <x v="21"/>
    <d v="2025-06-14T00:00:00"/>
    <x v="16"/>
    <x v="9"/>
    <s v="2025"/>
    <x v="6"/>
    <d v="2025-06-29T00:00:00"/>
    <d v="2025-06-29T00:00:00"/>
    <s v="Okay"/>
    <n v="15"/>
    <x v="0"/>
    <x v="0"/>
    <x v="1"/>
    <s v="Port Harcourt"/>
    <s v="Africa→Nigeria→Port Harcourt"/>
    <s v="Consumer"/>
    <x v="2"/>
    <x v="12"/>
    <x v="6"/>
    <e v="#REF!"/>
    <x v="22"/>
    <n v="730.99"/>
    <n v="1242.8399999999999"/>
    <n v="1242.8399999999999"/>
    <s v="Medium"/>
    <n v="0.12"/>
    <n v="0.12"/>
    <x v="0"/>
    <n v="10"/>
    <n v="10936.992"/>
    <n v="7309.9"/>
    <n v="3627.0920000000006"/>
    <n v="0.33163524303574515"/>
  </r>
  <r>
    <s v="ORD-2024-500109"/>
    <x v="22"/>
    <d v="2024-05-18T00:00:00"/>
    <x v="7"/>
    <x v="5"/>
    <s v="2024"/>
    <x v="5"/>
    <d v="2024-05-23T00:00:00"/>
    <d v="2024-05-23T00:00:00"/>
    <s v="Okay"/>
    <n v="5"/>
    <x v="1"/>
    <x v="2"/>
    <x v="10"/>
    <s v="Chicago"/>
    <s v="Americas→USA→Chicago"/>
    <s v="Enterprise"/>
    <x v="0"/>
    <x v="10"/>
    <x v="4"/>
    <e v="#REF!"/>
    <x v="23"/>
    <n v="1274.5899999999999"/>
    <n v="2553.69"/>
    <n v="2553.69"/>
    <s v="High"/>
    <n v="0.01"/>
    <n v="0.01"/>
    <x v="0"/>
    <n v="8"/>
    <n v="20225.2248"/>
    <n v="10196.719999999999"/>
    <n v="10028.504800000001"/>
    <n v="0.49584145042481803"/>
  </r>
  <r>
    <s v="ORD-2023-271836"/>
    <x v="23"/>
    <d v="2023-02-07T00:00:00"/>
    <x v="2"/>
    <x v="2"/>
    <s v="2023"/>
    <x v="2"/>
    <d v="2023-02-12T00:00:00"/>
    <d v="2023-02-12T00:00:00"/>
    <s v="Okay"/>
    <n v="5"/>
    <x v="1"/>
    <x v="2"/>
    <x v="5"/>
    <s v="São Paulo"/>
    <s v="Americas→Brazil→São Paulo"/>
    <s v="Education"/>
    <x v="1"/>
    <x v="13"/>
    <x v="0"/>
    <e v="#REF!"/>
    <x v="24"/>
    <n v="948.55"/>
    <n v="2089.16"/>
    <n v="2089.16"/>
    <s v="High"/>
    <n v="7.0000000000000001E-3"/>
    <n v="7.0000000000000001E-3"/>
    <x v="0"/>
    <n v="12"/>
    <n v="24894.430559999997"/>
    <n v="11382.599999999999"/>
    <n v="13511.830559999999"/>
    <n v="0.54276519912492427"/>
  </r>
  <r>
    <s v="ORD-2024-215294"/>
    <x v="24"/>
    <d v="2024-06-30T00:00:00"/>
    <x v="17"/>
    <x v="9"/>
    <s v="2024"/>
    <x v="5"/>
    <d v="2024-07-14T00:00:00"/>
    <d v="2024-07-14T00:00:00"/>
    <s v="Okay"/>
    <n v="14"/>
    <x v="0"/>
    <x v="2"/>
    <x v="5"/>
    <s v="Brasília"/>
    <s v="Americas→Brazil→Brasília"/>
    <s v="Education"/>
    <x v="0"/>
    <x v="0"/>
    <x v="6"/>
    <e v="#REF!"/>
    <x v="25"/>
    <n v="1491.85"/>
    <n v="2583.02"/>
    <n v="2583.02"/>
    <s v="High"/>
    <n v="0.16800000000000001"/>
    <n v="0.16800000000000001"/>
    <x v="0"/>
    <n v="4"/>
    <n v="8596.2905599999995"/>
    <n v="5967.4"/>
    <n v="2628.8905599999998"/>
    <n v="0.30581685689321325"/>
  </r>
  <r>
    <s v="ORD-2024-788105"/>
    <x v="25"/>
    <d v="2024-11-30T00:00:00"/>
    <x v="18"/>
    <x v="10"/>
    <s v="2024"/>
    <x v="1"/>
    <d v="2024-12-30T00:00:00"/>
    <d v="2024-12-30T00:00:00"/>
    <s v="Okay"/>
    <n v="30"/>
    <x v="0"/>
    <x v="3"/>
    <x v="7"/>
    <s v="Marseille"/>
    <s v="Europe→France→Marseille"/>
    <s v="Consumer"/>
    <x v="2"/>
    <x v="9"/>
    <x v="1"/>
    <e v="#REF!"/>
    <x v="26"/>
    <n v="117.64"/>
    <n v="175.67"/>
    <n v="175.67"/>
    <s v="Low"/>
    <n v="0"/>
    <n v="0"/>
    <x v="0"/>
    <n v="10"/>
    <n v="1756.6999999999998"/>
    <n v="1176.4000000000001"/>
    <n v="580.29999999999973"/>
    <n v="0.33033528775545046"/>
  </r>
  <r>
    <s v="ORD-2024-855073"/>
    <x v="26"/>
    <d v="2024-07-19T00:00:00"/>
    <x v="14"/>
    <x v="8"/>
    <s v="2024"/>
    <x v="9"/>
    <d v="2024-07-19T00:00:00"/>
    <d v="2024-07-19T00:00:00"/>
    <s v="Okay"/>
    <n v="0"/>
    <x v="1"/>
    <x v="0"/>
    <x v="0"/>
    <s v="Kisumu"/>
    <s v="Africa→Kenya→Kisumu"/>
    <s v="Small Business"/>
    <x v="0"/>
    <x v="8"/>
    <x v="3"/>
    <e v="#REF!"/>
    <x v="27"/>
    <n v="857.24"/>
    <n v="758.23"/>
    <n v="758.23"/>
    <s v="Low"/>
    <n v="0.125"/>
    <n v="0.125"/>
    <x v="0"/>
    <n v="6"/>
    <n v="3980.7075"/>
    <n v="5143.4400000000005"/>
    <n v="-1162.7325000000005"/>
    <n v="-0.29209192084572921"/>
  </r>
  <r>
    <s v="ORD-2023-897079"/>
    <x v="27"/>
    <d v="2023-04-14T00:00:00"/>
    <x v="12"/>
    <x v="7"/>
    <s v="2023"/>
    <x v="8"/>
    <d v="2023-05-14T00:00:00"/>
    <d v="2023-05-14T00:00:00"/>
    <s v="Okay"/>
    <n v="30"/>
    <x v="0"/>
    <x v="0"/>
    <x v="0"/>
    <s v="Nakuru"/>
    <s v="Africa→Kenya→Nakuru"/>
    <s v="Consumer"/>
    <x v="2"/>
    <x v="12"/>
    <x v="3"/>
    <e v="#REF!"/>
    <x v="28"/>
    <n v="209.25"/>
    <n v="434.8"/>
    <n v="434.8"/>
    <s v="Low"/>
    <n v="0"/>
    <n v="0"/>
    <x v="0"/>
    <n v="9"/>
    <n v="3913.2000000000003"/>
    <n v="1883.25"/>
    <n v="2029.9500000000003"/>
    <n v="0.51874425022999082"/>
  </r>
  <r>
    <s v="ORD-2025-548982"/>
    <x v="28"/>
    <d v="2025-04-07T00:00:00"/>
    <x v="19"/>
    <x v="7"/>
    <s v="2025"/>
    <x v="6"/>
    <d v="2025-04-11T00:00:00"/>
    <d v="2025-04-11T00:00:00"/>
    <s v="Okay"/>
    <n v="4"/>
    <x v="1"/>
    <x v="3"/>
    <x v="7"/>
    <s v="Lyon"/>
    <s v="Europe→France→Lyon"/>
    <s v="Education"/>
    <x v="0"/>
    <x v="6"/>
    <x v="2"/>
    <e v="#REF!"/>
    <x v="29"/>
    <n v="754.77"/>
    <n v="1666.18"/>
    <n v="1666.18"/>
    <s v="Medium"/>
    <n v="0.13900000000000001"/>
    <n v="0.13900000000000001"/>
    <x v="0"/>
    <n v="14"/>
    <n v="20084.133720000002"/>
    <n v="10566.779999999999"/>
    <n v="9517.3537200000028"/>
    <n v="0.47387424584424653"/>
  </r>
  <r>
    <s v="ORD-2024-170313"/>
    <x v="6"/>
    <d v="2024-12-27T00:00:00"/>
    <x v="6"/>
    <x v="3"/>
    <s v="2024"/>
    <x v="1"/>
    <d v="2025-01-15T00:00:00"/>
    <d v="2025-01-15T00:00:00"/>
    <s v="Okay"/>
    <n v="19"/>
    <x v="0"/>
    <x v="1"/>
    <x v="4"/>
    <s v="Delhi"/>
    <s v="Asia→India→Delhi"/>
    <s v="Non-Profit"/>
    <x v="3"/>
    <x v="3"/>
    <x v="0"/>
    <e v="#REF!"/>
    <x v="30"/>
    <n v="495.59"/>
    <n v="631.78"/>
    <n v="631.78"/>
    <s v="Low"/>
    <n v="8.6999999999999994E-2"/>
    <n v="8.6999999999999994E-2"/>
    <x v="0"/>
    <n v="17"/>
    <n v="9805.8573800000013"/>
    <n v="8425.0299999999988"/>
    <n v="1380.8273800000024"/>
    <n v="0.14081658813601899"/>
  </r>
  <r>
    <s v="ORD-2023-562894"/>
    <x v="29"/>
    <d v="2023-02-23T00:00:00"/>
    <x v="2"/>
    <x v="2"/>
    <s v="2023"/>
    <x v="2"/>
    <d v="2023-03-25T00:00:00"/>
    <d v="2023-03-25T00:00:00"/>
    <s v="Okay"/>
    <n v="30"/>
    <x v="0"/>
    <x v="2"/>
    <x v="3"/>
    <s v="Montreal"/>
    <s v="Americas→Canada→Montreal"/>
    <s v="Enterprise"/>
    <x v="1"/>
    <x v="14"/>
    <x v="3"/>
    <e v="#REF!"/>
    <x v="31"/>
    <n v="1242.6600000000001"/>
    <n v="1794.07"/>
    <n v="1794.07"/>
    <s v="Medium"/>
    <n v="8.8999999999999996E-2"/>
    <n v="8.8999999999999996E-2"/>
    <x v="0"/>
    <n v="16"/>
    <n v="26150.364320000001"/>
    <n v="19882.560000000001"/>
    <n v="6267.8043199999993"/>
    <n v="0.23968325042440553"/>
  </r>
  <r>
    <s v="ORD-2025-474710"/>
    <x v="30"/>
    <d v="2025-07-24T00:00:00"/>
    <x v="13"/>
    <x v="8"/>
    <s v="2025"/>
    <x v="7"/>
    <d v="2025-08-06T00:00:00"/>
    <d v="2025-08-06T00:00:00"/>
    <s v="Okay"/>
    <n v="13"/>
    <x v="0"/>
    <x v="0"/>
    <x v="11"/>
    <s v="Johannesburg"/>
    <s v="Africa→South Africa→Johannesburg"/>
    <s v="Education"/>
    <x v="2"/>
    <x v="14"/>
    <x v="2"/>
    <e v="#REF!"/>
    <x v="32"/>
    <n v="1463.9"/>
    <n v="2633.02"/>
    <n v="2633.02"/>
    <s v="High"/>
    <n v="8.4000000000000005E-2"/>
    <n v="8.4000000000000005E-2"/>
    <x v="0"/>
    <n v="4"/>
    <n v="9647.3852800000004"/>
    <n v="5855.6"/>
    <n v="3791.7852800000001"/>
    <n v="0.39303761277791527"/>
  </r>
  <r>
    <s v="ORD-2024-629525"/>
    <x v="31"/>
    <d v="2024-04-18T00:00:00"/>
    <x v="20"/>
    <x v="7"/>
    <s v="2024"/>
    <x v="5"/>
    <d v="2024-05-08T00:00:00"/>
    <d v="2024-05-08T00:00:00"/>
    <s v="Okay"/>
    <n v="20"/>
    <x v="0"/>
    <x v="3"/>
    <x v="8"/>
    <s v="London"/>
    <s v="Europe→United Kingdom→London"/>
    <s v="Non-Profit"/>
    <x v="5"/>
    <x v="14"/>
    <x v="4"/>
    <e v="#REF!"/>
    <x v="33"/>
    <n v="645.33000000000004"/>
    <n v="1321.85"/>
    <n v="1321.85"/>
    <s v="Medium"/>
    <n v="0"/>
    <n v="0"/>
    <x v="0"/>
    <n v="10"/>
    <n v="13218.5"/>
    <n v="6453.3"/>
    <n v="6765.2"/>
    <n v="0.51179785906116426"/>
  </r>
  <r>
    <s v="ORD-2024-167215"/>
    <x v="32"/>
    <d v="2024-08-21T00:00:00"/>
    <x v="21"/>
    <x v="11"/>
    <s v="2024"/>
    <x v="9"/>
    <d v="2024-08-21T00:00:00"/>
    <d v="2024-08-30T00:00:00"/>
    <s v="Invalid"/>
    <n v="9"/>
    <x v="0"/>
    <x v="0"/>
    <x v="11"/>
    <s v="Johannesburg"/>
    <s v="Africa→South Africa→Johannesburg"/>
    <s v="Education"/>
    <x v="0"/>
    <x v="6"/>
    <x v="0"/>
    <e v="#REF!"/>
    <x v="34"/>
    <n v="1432.52"/>
    <n v="3036.87"/>
    <n v="3036.87"/>
    <s v="High"/>
    <n v="0"/>
    <n v="0"/>
    <x v="0"/>
    <n v="9"/>
    <n v="27331.829999999998"/>
    <n v="12892.68"/>
    <n v="14439.149999999998"/>
    <n v="0.52829064135112791"/>
  </r>
  <r>
    <s v="ORD-2023-864121"/>
    <x v="33"/>
    <d v="2023-03-27T00:00:00"/>
    <x v="22"/>
    <x v="0"/>
    <s v="2023"/>
    <x v="2"/>
    <d v="2023-04-22T00:00:00"/>
    <d v="2023-04-22T00:00:00"/>
    <s v="Okay"/>
    <n v="26"/>
    <x v="0"/>
    <x v="1"/>
    <x v="4"/>
    <s v="Delhi"/>
    <s v="Asia→India→Delhi"/>
    <s v="Non-Profit"/>
    <x v="2"/>
    <x v="1"/>
    <x v="1"/>
    <e v="#REF!"/>
    <x v="35"/>
    <n v="178.53"/>
    <n v="199.37"/>
    <n v="199.37"/>
    <s v="Low"/>
    <n v="0.10100000000000001"/>
    <n v="0.10100000000000001"/>
    <x v="0"/>
    <n v="37"/>
    <n v="6631.6443100000006"/>
    <n v="6605.61"/>
    <n v="26.034310000000914"/>
    <n v="3.9257699573457538E-3"/>
  </r>
  <r>
    <s v="ORD-2024-692673"/>
    <x v="34"/>
    <d v="2024-03-07T00:00:00"/>
    <x v="0"/>
    <x v="0"/>
    <s v="2024"/>
    <x v="0"/>
    <d v="2024-03-25T00:00:00"/>
    <d v="2024-03-25T00:00:00"/>
    <s v="Okay"/>
    <n v="18"/>
    <x v="0"/>
    <x v="3"/>
    <x v="6"/>
    <s v="Munich"/>
    <s v="Europe→Germany→Munich"/>
    <s v="Corporate"/>
    <x v="1"/>
    <x v="5"/>
    <x v="0"/>
    <e v="#REF!"/>
    <x v="36"/>
    <n v="712.84"/>
    <n v="927.51"/>
    <n v="927.51"/>
    <s v="Low"/>
    <n v="0.24299999999999999"/>
    <n v="0.24299999999999999"/>
    <x v="0"/>
    <n v="27"/>
    <n v="18957.37689"/>
    <n v="19246.68"/>
    <n v="-289.30311000000074"/>
    <n v="-1.5260714163076427E-2"/>
  </r>
  <r>
    <s v="ORD-2025-718992"/>
    <x v="35"/>
    <d v="2025-06-24T00:00:00"/>
    <x v="16"/>
    <x v="9"/>
    <s v="2025"/>
    <x v="6"/>
    <d v="2025-07-10T00:00:00"/>
    <d v="2025-07-10T00:00:00"/>
    <s v="Okay"/>
    <n v="16"/>
    <x v="0"/>
    <x v="1"/>
    <x v="9"/>
    <s v="Shanghai"/>
    <s v="Asia→China→Shanghai"/>
    <s v="Enterprise"/>
    <x v="4"/>
    <x v="13"/>
    <x v="0"/>
    <e v="#REF!"/>
    <x v="37"/>
    <n v="757.19"/>
    <n v="1735.41"/>
    <n v="1735.41"/>
    <s v="Medium"/>
    <n v="0.13600000000000001"/>
    <n v="0.13600000000000001"/>
    <x v="0"/>
    <n v="8"/>
    <n v="11995.153920000001"/>
    <n v="6057.52"/>
    <n v="5937.6339200000002"/>
    <n v="0.4950027285685718"/>
  </r>
  <r>
    <s v="ORD-2024-599522"/>
    <x v="36"/>
    <d v="2024-04-19T00:00:00"/>
    <x v="20"/>
    <x v="7"/>
    <s v="2024"/>
    <x v="5"/>
    <d v="2024-05-06T00:00:00"/>
    <d v="2024-05-06T00:00:00"/>
    <s v="Okay"/>
    <n v="17"/>
    <x v="0"/>
    <x v="0"/>
    <x v="1"/>
    <s v="Port Harcourt"/>
    <s v="Africa→Nigeria→Port Harcourt"/>
    <s v="Non-Profit"/>
    <x v="1"/>
    <x v="8"/>
    <x v="1"/>
    <e v="#REF!"/>
    <x v="38"/>
    <n v="865.33"/>
    <n v="1395.64"/>
    <n v="1395.64"/>
    <s v="Medium"/>
    <n v="0.17499999999999999"/>
    <n v="0.17499999999999999"/>
    <x v="0"/>
    <n v="13"/>
    <n v="14968.239"/>
    <n v="11249.29"/>
    <n v="3718.9489999999987"/>
    <n v="0.24845601409758347"/>
  </r>
  <r>
    <s v="ORD-2023-651638"/>
    <x v="37"/>
    <d v="2023-06-17T00:00:00"/>
    <x v="23"/>
    <x v="9"/>
    <s v="2023"/>
    <x v="8"/>
    <d v="2023-06-24T00:00:00"/>
    <d v="2023-06-24T00:00:00"/>
    <s v="Okay"/>
    <n v="7"/>
    <x v="1"/>
    <x v="2"/>
    <x v="10"/>
    <s v="San Francisco"/>
    <s v="Americas→USA→San Francisco"/>
    <s v="Corporate"/>
    <x v="0"/>
    <x v="2"/>
    <x v="1"/>
    <e v="#REF!"/>
    <x v="39"/>
    <n v="313.99"/>
    <n v="454.42"/>
    <n v="454.42"/>
    <s v="Low"/>
    <n v="0.129"/>
    <n v="0.129"/>
    <x v="0"/>
    <n v="9"/>
    <n v="3562.1983800000003"/>
    <n v="2825.91"/>
    <n v="736.28838000000042"/>
    <n v="0.20669493988147858"/>
  </r>
  <r>
    <s v="ORD-2024-635626"/>
    <x v="38"/>
    <d v="2024-08-27T00:00:00"/>
    <x v="21"/>
    <x v="11"/>
    <s v="2024"/>
    <x v="9"/>
    <d v="2024-09-19T00:00:00"/>
    <d v="2024-09-19T00:00:00"/>
    <s v="Okay"/>
    <n v="23"/>
    <x v="0"/>
    <x v="3"/>
    <x v="6"/>
    <s v="Berlin"/>
    <s v="Europe→Germany→Berlin"/>
    <s v="Small Business"/>
    <x v="4"/>
    <x v="14"/>
    <x v="5"/>
    <e v="#REF!"/>
    <x v="40"/>
    <n v="1024.01"/>
    <n v="1580.97"/>
    <n v="1580.97"/>
    <s v="Medium"/>
    <n v="3.6999999999999998E-2"/>
    <n v="3.6999999999999998E-2"/>
    <x v="0"/>
    <n v="27"/>
    <n v="41106.800970000004"/>
    <n v="27648.27"/>
    <n v="13458.530970000003"/>
    <n v="0.3274039976942531"/>
  </r>
  <r>
    <s v="ORD-2024-296582"/>
    <x v="39"/>
    <d v="2024-01-11T00:00:00"/>
    <x v="9"/>
    <x v="4"/>
    <s v="2024"/>
    <x v="0"/>
    <d v="2024-02-02T00:00:00"/>
    <d v="2024-02-02T00:00:00"/>
    <s v="Okay"/>
    <n v="22"/>
    <x v="0"/>
    <x v="0"/>
    <x v="11"/>
    <s v="Durban"/>
    <s v="Africa→South Africa→Durban"/>
    <s v="Consumer"/>
    <x v="1"/>
    <x v="11"/>
    <x v="2"/>
    <e v="#REF!"/>
    <x v="41"/>
    <n v="1206.2"/>
    <n v="1759.79"/>
    <n v="1759.79"/>
    <s v="Medium"/>
    <n v="0"/>
    <n v="0"/>
    <x v="0"/>
    <n v="6"/>
    <n v="10558.74"/>
    <n v="7237.2000000000007"/>
    <n v="3321.5399999999991"/>
    <n v="0.31457730751964713"/>
  </r>
  <r>
    <s v="ORD-2024-998320"/>
    <x v="40"/>
    <d v="2024-10-25T00:00:00"/>
    <x v="1"/>
    <x v="1"/>
    <s v="2024"/>
    <x v="1"/>
    <d v="2024-11-14T00:00:00"/>
    <d v="2024-11-14T00:00:00"/>
    <s v="Okay"/>
    <n v="20"/>
    <x v="0"/>
    <x v="0"/>
    <x v="0"/>
    <s v="Mombasa"/>
    <s v="Africa→Kenya→Mombasa"/>
    <s v="Corporate"/>
    <x v="4"/>
    <x v="10"/>
    <x v="1"/>
    <e v="#REF!"/>
    <x v="42"/>
    <n v="1396.48"/>
    <n v="3204.5"/>
    <n v="3204.5"/>
    <s v="High"/>
    <n v="0.318"/>
    <s v="12.14%"/>
    <x v="1"/>
    <n v="14"/>
    <n v="39416.631800000003"/>
    <n v="19550.72"/>
    <n v="19865.911800000002"/>
    <n v="0.50399820818784424"/>
  </r>
  <r>
    <s v="ORD-2025-820255"/>
    <x v="41"/>
    <d v="2025-05-29T00:00:00"/>
    <x v="8"/>
    <x v="5"/>
    <s v="2025"/>
    <x v="6"/>
    <d v="2025-06-20T00:00:00"/>
    <d v="2025-06-20T00:00:00"/>
    <s v="Okay"/>
    <n v="22"/>
    <x v="0"/>
    <x v="3"/>
    <x v="6"/>
    <s v="Berlin"/>
    <s v="Europe→Germany→Berlin"/>
    <s v="Corporate"/>
    <x v="4"/>
    <x v="8"/>
    <x v="1"/>
    <e v="#REF!"/>
    <x v="43"/>
    <n v="483.47"/>
    <n v="1135.43"/>
    <n v="1135.43"/>
    <s v="Low"/>
    <n v="0.14599999999999999"/>
    <n v="0.14599999999999999"/>
    <x v="0"/>
    <n v="11"/>
    <n v="10666.229420000001"/>
    <n v="5318.17"/>
    <n v="5348.0594200000014"/>
    <n v="0.50140112399719983"/>
  </r>
  <r>
    <s v="ORD-2024-389336"/>
    <x v="42"/>
    <d v="2024-05-20T00:00:00"/>
    <x v="7"/>
    <x v="5"/>
    <s v="2024"/>
    <x v="5"/>
    <d v="2024-06-02T00:00:00"/>
    <d v="2024-06-02T00:00:00"/>
    <s v="Okay"/>
    <n v="13"/>
    <x v="0"/>
    <x v="2"/>
    <x v="3"/>
    <s v="Vancouver"/>
    <s v="Americas→Canada→Vancouver"/>
    <s v="Enterprise"/>
    <x v="2"/>
    <x v="11"/>
    <x v="0"/>
    <e v="#REF!"/>
    <x v="44"/>
    <n v="675.43"/>
    <n v="996.36"/>
    <n v="996.36"/>
    <s v="Low"/>
    <n v="0.182"/>
    <n v="0.182"/>
    <x v="0"/>
    <n v="22"/>
    <n v="17930.494560000003"/>
    <n v="14859.46"/>
    <n v="3071.0345600000037"/>
    <n v="0.17127439233332575"/>
  </r>
  <r>
    <s v="ORD-2023-308124"/>
    <x v="43"/>
    <d v="2023-04-19T00:00:00"/>
    <x v="12"/>
    <x v="7"/>
    <s v="2023"/>
    <x v="8"/>
    <d v="2023-04-30T00:00:00"/>
    <d v="2023-04-30T00:00:00"/>
    <s v="Okay"/>
    <n v="11"/>
    <x v="0"/>
    <x v="1"/>
    <x v="4"/>
    <s v="Delhi"/>
    <s v="Asia→India→Delhi"/>
    <s v="Small Business"/>
    <x v="0"/>
    <x v="8"/>
    <x v="2"/>
    <e v="#REF!"/>
    <x v="45"/>
    <n v="826.55"/>
    <n v="1397.05"/>
    <n v="1397.05"/>
    <s v="Medium"/>
    <n v="0.16900000000000001"/>
    <n v="0.16900000000000001"/>
    <x v="0"/>
    <n v="28"/>
    <n v="32506.559399999998"/>
    <n v="23143.399999999998"/>
    <n v="9363.1594000000005"/>
    <n v="0.28803907804527601"/>
  </r>
  <r>
    <s v="ORD-2023-128295"/>
    <x v="44"/>
    <d v="2023-06-23T00:00:00"/>
    <x v="23"/>
    <x v="9"/>
    <s v="2023"/>
    <x v="8"/>
    <d v="2023-07-03T00:00:00"/>
    <d v="2023-07-03T00:00:00"/>
    <s v="Okay"/>
    <n v="10"/>
    <x v="0"/>
    <x v="0"/>
    <x v="1"/>
    <s v="Abuja"/>
    <s v="Africa→Nigeria→Abuja"/>
    <s v="Consumer"/>
    <x v="1"/>
    <x v="1"/>
    <x v="1"/>
    <e v="#REF!"/>
    <x v="46"/>
    <n v="337.75"/>
    <n v="548.89"/>
    <n v="548.89"/>
    <s v="Low"/>
    <n v="0"/>
    <n v="0"/>
    <x v="0"/>
    <n v="13"/>
    <n v="7135.57"/>
    <n v="4390.75"/>
    <n v="2744.8199999999997"/>
    <n v="0.38466723751571352"/>
  </r>
  <r>
    <s v="ORD-2024-548345"/>
    <x v="45"/>
    <d v="2024-05-14T00:00:00"/>
    <x v="7"/>
    <x v="5"/>
    <s v="2024"/>
    <x v="5"/>
    <d v="2024-05-28T00:00:00"/>
    <d v="2024-05-28T00:00:00"/>
    <s v="Okay"/>
    <n v="14"/>
    <x v="0"/>
    <x v="3"/>
    <x v="8"/>
    <s v="Birmingham"/>
    <s v="Europe→United Kingdom→Birmingham"/>
    <s v="Consumer"/>
    <x v="0"/>
    <x v="5"/>
    <x v="2"/>
    <e v="#REF!"/>
    <x v="47"/>
    <n v="1421.14"/>
    <n v="3524"/>
    <n v="3524"/>
    <s v="High"/>
    <n v="0"/>
    <n v="0"/>
    <x v="0"/>
    <n v="31"/>
    <n v="109244"/>
    <n v="44055.340000000004"/>
    <n v="65188.659999999996"/>
    <n v="0.59672531214528945"/>
  </r>
  <r>
    <s v="ORD-2024-966651"/>
    <x v="46"/>
    <d v="2024-10-14T00:00:00"/>
    <x v="1"/>
    <x v="1"/>
    <s v="2024"/>
    <x v="1"/>
    <d v="2024-11-08T00:00:00"/>
    <d v="2024-11-08T00:00:00"/>
    <s v="Okay"/>
    <n v="25"/>
    <x v="0"/>
    <x v="0"/>
    <x v="1"/>
    <s v="Lagos"/>
    <s v="Africa→Nigeria→Lagos"/>
    <s v="Enterprise"/>
    <x v="1"/>
    <x v="7"/>
    <x v="2"/>
    <e v="#REF!"/>
    <x v="48"/>
    <n v="859.35"/>
    <n v="1825.61"/>
    <n v="1825.61"/>
    <s v="Medium"/>
    <n v="0.187"/>
    <n v="0.187"/>
    <x v="0"/>
    <n v="24"/>
    <n v="35621.302319999995"/>
    <n v="20624.400000000001"/>
    <n v="14996.902319999994"/>
    <n v="0.42100937762681989"/>
  </r>
  <r>
    <s v="ORD-2023-292714"/>
    <x v="47"/>
    <d v="2023-07-10T00:00:00"/>
    <x v="24"/>
    <x v="8"/>
    <s v="2023"/>
    <x v="10"/>
    <d v="2023-08-01T00:00:00"/>
    <d v="2023-08-01T00:00:00"/>
    <s v="Okay"/>
    <n v="22"/>
    <x v="0"/>
    <x v="3"/>
    <x v="7"/>
    <s v="Marseille"/>
    <s v="Europe→France→Marseille"/>
    <s v="Consumer"/>
    <x v="2"/>
    <x v="5"/>
    <x v="1"/>
    <e v="#REF!"/>
    <x v="49"/>
    <n v="1303.56"/>
    <n v="1791.37"/>
    <n v="1791.37"/>
    <s v="Medium"/>
    <n v="0.126"/>
    <n v="0.126"/>
    <x v="0"/>
    <n v="22"/>
    <n v="34444.462359999998"/>
    <n v="28678.32"/>
    <n v="5766.142359999998"/>
    <n v="0.16740404596055358"/>
  </r>
  <r>
    <s v="ORD-2024-468501"/>
    <x v="48"/>
    <d v="2024-11-06T00:00:00"/>
    <x v="18"/>
    <x v="10"/>
    <s v="2024"/>
    <x v="1"/>
    <d v="2024-11-22T00:00:00"/>
    <d v="2024-11-22T00:00:00"/>
    <s v="Okay"/>
    <n v="16"/>
    <x v="0"/>
    <x v="2"/>
    <x v="3"/>
    <s v="Toronto"/>
    <s v="Americas→Canada→Toronto"/>
    <s v="Non-Profit"/>
    <x v="3"/>
    <x v="14"/>
    <x v="6"/>
    <e v="#REF!"/>
    <x v="50"/>
    <n v="1454.11"/>
    <n v="2629.75"/>
    <n v="2629.75"/>
    <s v="High"/>
    <n v="0.29199999999999998"/>
    <n v="0.29199999999999998"/>
    <x v="0"/>
    <n v="8"/>
    <n v="14894.903999999999"/>
    <n v="11632.88"/>
    <n v="3262.0239999999994"/>
    <n v="0.21900268709351867"/>
  </r>
  <r>
    <s v="ORD-2024-260775"/>
    <x v="49"/>
    <d v="2024-10-17T00:00:00"/>
    <x v="1"/>
    <x v="1"/>
    <s v="2024"/>
    <x v="1"/>
    <d v="2024-11-06T00:00:00"/>
    <d v="2024-11-06T00:00:00"/>
    <s v="Okay"/>
    <n v="20"/>
    <x v="0"/>
    <x v="1"/>
    <x v="4"/>
    <s v="Bengaluru"/>
    <s v="Asia→India→Bengaluru"/>
    <s v="Enterprise"/>
    <x v="3"/>
    <x v="7"/>
    <x v="5"/>
    <e v="#REF!"/>
    <x v="51"/>
    <n v="72.94"/>
    <n v="106.3"/>
    <n v="106.3"/>
    <s v="Low"/>
    <n v="0.29499999999999998"/>
    <n v="0.29499999999999998"/>
    <x v="0"/>
    <n v="8"/>
    <n v="599.53200000000004"/>
    <n v="583.52"/>
    <n v="16.012000000000057"/>
    <n v="2.6707498515508857E-2"/>
  </r>
  <r>
    <s v="ORD-2023-419187"/>
    <x v="50"/>
    <d v="2023-03-31T00:00:00"/>
    <x v="22"/>
    <x v="0"/>
    <s v="2023"/>
    <x v="2"/>
    <d v="2023-04-05T00:00:00"/>
    <d v="2023-04-05T00:00:00"/>
    <s v="Okay"/>
    <n v="5"/>
    <x v="1"/>
    <x v="0"/>
    <x v="0"/>
    <s v="Nakuru"/>
    <s v="Africa→Kenya→Nakuru"/>
    <s v="Education"/>
    <x v="2"/>
    <x v="5"/>
    <x v="4"/>
    <e v="#REF!"/>
    <x v="52"/>
    <n v="533.26"/>
    <n v="385.72"/>
    <n v="385.72"/>
    <s v="Low"/>
    <n v="0"/>
    <n v="0"/>
    <x v="0"/>
    <n v="15"/>
    <n v="5785.8"/>
    <n v="7998.9"/>
    <n v="-2213.0999999999995"/>
    <n v="-0.38250544436378708"/>
  </r>
  <r>
    <s v="ORD-2025-578007"/>
    <x v="51"/>
    <d v="2025-01-21T00:00:00"/>
    <x v="10"/>
    <x v="4"/>
    <s v="2025"/>
    <x v="3"/>
    <d v="2025-02-16T00:00:00"/>
    <d v="2025-02-16T00:00:00"/>
    <s v="Okay"/>
    <n v="26"/>
    <x v="0"/>
    <x v="3"/>
    <x v="7"/>
    <s v="Lyon"/>
    <s v="Europe→France→Lyon"/>
    <s v="Corporate"/>
    <x v="3"/>
    <x v="7"/>
    <x v="4"/>
    <e v="#REF!"/>
    <x v="53"/>
    <n v="204.11"/>
    <n v="236.87"/>
    <n v="236.87"/>
    <s v="Low"/>
    <n v="0.182"/>
    <n v="0.182"/>
    <x v="0"/>
    <n v="13"/>
    <n v="2518.8755800000004"/>
    <n v="2653.4300000000003"/>
    <n v="-134.55441999999994"/>
    <n v="-5.3418446337075494E-2"/>
  </r>
  <r>
    <s v="ORD-2023-235230"/>
    <x v="52"/>
    <d v="2023-08-30T00:00:00"/>
    <x v="25"/>
    <x v="11"/>
    <s v="2023"/>
    <x v="10"/>
    <d v="2023-09-01T00:00:00"/>
    <d v="2023-09-01T00:00:00"/>
    <s v="Okay"/>
    <n v="2"/>
    <x v="1"/>
    <x v="3"/>
    <x v="6"/>
    <s v="Munich"/>
    <s v="Europe→Germany→Munich"/>
    <s v="Corporate"/>
    <x v="4"/>
    <x v="13"/>
    <x v="2"/>
    <e v="#REF!"/>
    <x v="54"/>
    <n v="44.42"/>
    <n v="41.9"/>
    <n v="41.9"/>
    <s v="Low"/>
    <n v="0.14399999999999999"/>
    <n v="0.14399999999999999"/>
    <x v="0"/>
    <n v="6"/>
    <n v="215.19839999999996"/>
    <n v="266.52"/>
    <n v="-51.321600000000018"/>
    <n v="-0.23848504449847224"/>
  </r>
  <r>
    <s v="ORD-2025-765220"/>
    <x v="53"/>
    <d v="2025-04-06T00:00:00"/>
    <x v="19"/>
    <x v="7"/>
    <s v="2025"/>
    <x v="6"/>
    <d v="2025-04-30T00:00:00"/>
    <d v="2025-04-30T00:00:00"/>
    <s v="Okay"/>
    <n v="24"/>
    <x v="0"/>
    <x v="2"/>
    <x v="5"/>
    <s v="Brasília"/>
    <s v="Americas→Brazil→Brasília"/>
    <s v="Education"/>
    <x v="1"/>
    <x v="11"/>
    <x v="5"/>
    <e v="#REF!"/>
    <x v="55"/>
    <n v="855.78"/>
    <n v="977.38"/>
    <n v="977.38"/>
    <s v="Low"/>
    <n v="0.14699999999999999"/>
    <n v="0.14699999999999999"/>
    <x v="0"/>
    <n v="38"/>
    <n v="31680.795320000001"/>
    <n v="32519.64"/>
    <n v="-838.84467999999833"/>
    <n v="-2.6478018355506307E-2"/>
  </r>
  <r>
    <s v="ORD-2025-931538"/>
    <x v="54"/>
    <d v="2025-02-09T00:00:00"/>
    <x v="26"/>
    <x v="2"/>
    <s v="2025"/>
    <x v="3"/>
    <d v="2025-03-01T00:00:00"/>
    <d v="2025-03-01T00:00:00"/>
    <s v="Okay"/>
    <n v="20"/>
    <x v="0"/>
    <x v="2"/>
    <x v="5"/>
    <s v="São Paulo"/>
    <s v="Americas→Brazil→São Paulo"/>
    <s v="Corporate"/>
    <x v="3"/>
    <x v="5"/>
    <x v="4"/>
    <e v="#REF!"/>
    <x v="56"/>
    <n v="1154.6400000000001"/>
    <n v="2794.13"/>
    <n v="2794.13"/>
    <s v="High"/>
    <n v="3.5000000000000003E-2"/>
    <n v="3.5000000000000003E-2"/>
    <x v="0"/>
    <n v="11"/>
    <n v="29659.68995"/>
    <n v="12701.04"/>
    <n v="16958.649949999999"/>
    <n v="0.57177435025749479"/>
  </r>
  <r>
    <s v="ORD-2024-289089"/>
    <x v="55"/>
    <d v="2024-12-17T00:00:00"/>
    <x v="6"/>
    <x v="3"/>
    <s v="2024"/>
    <x v="1"/>
    <d v="2024-12-18T00:00:00"/>
    <d v="2024-12-18T00:00:00"/>
    <s v="Okay"/>
    <n v="1"/>
    <x v="1"/>
    <x v="3"/>
    <x v="6"/>
    <s v="Munich"/>
    <s v="Europe→Germany→Munich"/>
    <s v="Education"/>
    <x v="0"/>
    <x v="4"/>
    <x v="6"/>
    <e v="#REF!"/>
    <x v="57"/>
    <n v="346.82"/>
    <n v="701.95"/>
    <n v="701.95"/>
    <s v="Low"/>
    <n v="0.14699999999999999"/>
    <n v="0.14699999999999999"/>
    <x v="0"/>
    <n v="8"/>
    <n v="4790.1068000000005"/>
    <n v="2774.56"/>
    <n v="2015.5468000000005"/>
    <n v="0.42077283120284509"/>
  </r>
  <r>
    <s v="ORD-2025-639542"/>
    <x v="56"/>
    <d v="2025-06-09T00:00:00"/>
    <x v="16"/>
    <x v="9"/>
    <s v="2025"/>
    <x v="6"/>
    <d v="2025-06-18T00:00:00"/>
    <d v="2025-06-18T00:00:00"/>
    <s v="Okay"/>
    <n v="9"/>
    <x v="0"/>
    <x v="3"/>
    <x v="7"/>
    <s v="Marseille"/>
    <s v="Europe→France→Marseille"/>
    <s v="Small Business"/>
    <x v="2"/>
    <x v="10"/>
    <x v="6"/>
    <e v="#REF!"/>
    <x v="58"/>
    <n v="1225.5"/>
    <n v="-5.27"/>
    <n v="5.27"/>
    <s v="Low"/>
    <n v="7.4999999999999997E-2"/>
    <n v="7.4999999999999997E-2"/>
    <x v="0"/>
    <n v="56"/>
    <n v="272.98599999999999"/>
    <n v="68628"/>
    <n v="-68355.013999999996"/>
    <n v="-250.39750756449047"/>
  </r>
  <r>
    <s v="ORD-2025-762301"/>
    <x v="57"/>
    <d v="2025-05-02T00:00:00"/>
    <x v="8"/>
    <x v="5"/>
    <s v="2025"/>
    <x v="6"/>
    <d v="2025-05-13T00:00:00"/>
    <d v="2025-05-13T00:00:00"/>
    <s v="Okay"/>
    <n v="11"/>
    <x v="0"/>
    <x v="0"/>
    <x v="0"/>
    <s v="Nakuru"/>
    <s v="Africa→Kenya→Nakuru"/>
    <s v="Small Business"/>
    <x v="1"/>
    <x v="8"/>
    <x v="6"/>
    <e v="#REF!"/>
    <x v="59"/>
    <n v="1057.5999999999999"/>
    <n v="1437.06"/>
    <n v="1437.06"/>
    <s v="Medium"/>
    <n v="0.20499999999999999"/>
    <n v="0.20499999999999999"/>
    <x v="0"/>
    <n v="4"/>
    <n v="4569.8508000000002"/>
    <n v="4230.3999999999996"/>
    <n v="339.45080000000053"/>
    <n v="7.4280499485891424E-2"/>
  </r>
  <r>
    <s v="ORD-2024-906395"/>
    <x v="58"/>
    <d v="2024-03-10T00:00:00"/>
    <x v="0"/>
    <x v="0"/>
    <s v="2024"/>
    <x v="0"/>
    <d v="2024-04-09T00:00:00"/>
    <d v="2024-04-09T00:00:00"/>
    <s v="Okay"/>
    <n v="30"/>
    <x v="0"/>
    <x v="3"/>
    <x v="7"/>
    <s v="Lyon"/>
    <s v="Europe→France→Lyon"/>
    <s v="Corporate"/>
    <x v="4"/>
    <x v="2"/>
    <x v="0"/>
    <e v="#REF!"/>
    <x v="60"/>
    <n v="1176.56"/>
    <n v="1911.89"/>
    <n v="1911.89"/>
    <s v="Medium"/>
    <n v="0.11899999999999999"/>
    <n v="0.11899999999999999"/>
    <x v="0"/>
    <n v="20"/>
    <n v="33687.501800000005"/>
    <n v="23531.199999999997"/>
    <n v="10156.301800000008"/>
    <n v="0.30148575160892477"/>
  </r>
  <r>
    <s v="ORD-2025-779574"/>
    <x v="59"/>
    <d v="2025-09-10T00:00:00"/>
    <x v="11"/>
    <x v="6"/>
    <s v="2025"/>
    <x v="7"/>
    <d v="2025-09-12T00:00:00"/>
    <d v="2025-09-12T00:00:00"/>
    <s v="Okay"/>
    <n v="2"/>
    <x v="1"/>
    <x v="1"/>
    <x v="2"/>
    <s v="Tokyo"/>
    <s v="Asia→Japan→Tokyo"/>
    <s v="Consumer"/>
    <x v="1"/>
    <x v="7"/>
    <x v="0"/>
    <e v="#REF!"/>
    <x v="61"/>
    <n v="1470.15"/>
    <n v="2593.7800000000002"/>
    <n v="2593.7800000000002"/>
    <s v="High"/>
    <n v="0.11"/>
    <n v="0.11"/>
    <x v="0"/>
    <n v="12"/>
    <n v="27701.570400000001"/>
    <n v="17641.800000000003"/>
    <n v="10059.770399999998"/>
    <n v="0.36314801849645306"/>
  </r>
  <r>
    <s v="ORD-2025-526650"/>
    <x v="60"/>
    <d v="2025-04-27T00:00:00"/>
    <x v="19"/>
    <x v="7"/>
    <s v="2025"/>
    <x v="6"/>
    <d v="2025-05-25T00:00:00"/>
    <d v="2025-05-25T00:00:00"/>
    <s v="Okay"/>
    <n v="28"/>
    <x v="0"/>
    <x v="3"/>
    <x v="7"/>
    <s v="Paris"/>
    <s v="Europe→France→Paris"/>
    <s v="Small Business"/>
    <x v="2"/>
    <x v="2"/>
    <x v="3"/>
    <e v="#REF!"/>
    <x v="62"/>
    <n v="603.45000000000005"/>
    <n v="1244.08"/>
    <n v="1244.08"/>
    <s v="Medium"/>
    <n v="0.2"/>
    <n v="0.2"/>
    <x v="0"/>
    <n v="11"/>
    <n v="10947.904"/>
    <n v="6637.9500000000007"/>
    <n v="4309.9539999999997"/>
    <n v="0.39367846119220623"/>
  </r>
  <r>
    <s v="ORD-2024-247979"/>
    <x v="61"/>
    <d v="2024-11-02T00:00:00"/>
    <x v="18"/>
    <x v="10"/>
    <s v="2024"/>
    <x v="1"/>
    <d v="2024-11-18T00:00:00"/>
    <d v="2024-11-18T00:00:00"/>
    <s v="Okay"/>
    <n v="16"/>
    <x v="0"/>
    <x v="1"/>
    <x v="4"/>
    <s v="Mumbai"/>
    <s v="Asia→India→Mumbai"/>
    <s v="Small Business"/>
    <x v="3"/>
    <x v="7"/>
    <x v="5"/>
    <e v="#REF!"/>
    <x v="63"/>
    <n v="1233.58"/>
    <n v="1912.51"/>
    <n v="1912.51"/>
    <s v="High"/>
    <n v="0.255"/>
    <n v="0.255"/>
    <x v="0"/>
    <n v="51"/>
    <n v="72665.817450000002"/>
    <n v="62912.579999999994"/>
    <n v="9753.2374500000078"/>
    <n v="0.134220432553601"/>
  </r>
  <r>
    <s v="ORD-2023-480975"/>
    <x v="62"/>
    <d v="2023-02-15T00:00:00"/>
    <x v="2"/>
    <x v="2"/>
    <s v="2023"/>
    <x v="2"/>
    <d v="2023-02-26T00:00:00"/>
    <d v="2023-02-26T00:00:00"/>
    <s v="Okay"/>
    <n v="11"/>
    <x v="0"/>
    <x v="0"/>
    <x v="11"/>
    <s v="Johannesburg"/>
    <s v="Africa→South Africa→Johannesburg"/>
    <s v="Non-Profit"/>
    <x v="0"/>
    <x v="11"/>
    <x v="4"/>
    <e v="#REF!"/>
    <x v="64"/>
    <n v="498.5"/>
    <n v="755.87"/>
    <n v="755.87"/>
    <s v="Low"/>
    <n v="0.13"/>
    <n v="0.13"/>
    <x v="0"/>
    <n v="40"/>
    <n v="26304.275999999998"/>
    <n v="19940"/>
    <n v="6364.275999999998"/>
    <n v="0.24194834330357537"/>
  </r>
  <r>
    <s v="ORD-2023-239789"/>
    <x v="63"/>
    <d v="2023-12-03T00:00:00"/>
    <x v="4"/>
    <x v="3"/>
    <s v="2023"/>
    <x v="4"/>
    <d v="2023-12-26T00:00:00"/>
    <d v="2023-12-26T00:00:00"/>
    <s v="Okay"/>
    <n v="23"/>
    <x v="0"/>
    <x v="2"/>
    <x v="5"/>
    <s v="Rio de Janeiro"/>
    <s v="Americas→Brazil→Rio de Janeiro"/>
    <s v="Education"/>
    <x v="0"/>
    <x v="7"/>
    <x v="3"/>
    <e v="#REF!"/>
    <x v="65"/>
    <n v="1303.1099999999999"/>
    <n v="1145.67"/>
    <n v="1145.67"/>
    <s v="Low"/>
    <n v="0.184"/>
    <n v="0.184"/>
    <x v="0"/>
    <n v="13"/>
    <n v="12153.267360000002"/>
    <n v="16940.43"/>
    <n v="-4787.1626399999986"/>
    <n v="-0.39389922875851208"/>
  </r>
  <r>
    <s v="ORD-2023-548874"/>
    <x v="64"/>
    <d v="2023-03-19T00:00:00"/>
    <x v="22"/>
    <x v="0"/>
    <s v="2023"/>
    <x v="2"/>
    <d v="2023-04-09T00:00:00"/>
    <d v="2023-04-09T00:00:00"/>
    <s v="Okay"/>
    <n v="21"/>
    <x v="0"/>
    <x v="3"/>
    <x v="8"/>
    <s v="Manchester"/>
    <s v="Europe→United Kingdom→Manchester"/>
    <s v="Consumer"/>
    <x v="0"/>
    <x v="4"/>
    <x v="6"/>
    <e v="#REF!"/>
    <x v="66"/>
    <n v="1082.17"/>
    <n v="1234.0999999999999"/>
    <n v="1234.0999999999999"/>
    <s v="Medium"/>
    <n v="0.189"/>
    <n v="0.189"/>
    <x v="0"/>
    <n v="16"/>
    <n v="16013.681599999998"/>
    <n v="17314.72"/>
    <n v="-1301.0384000000031"/>
    <n v="-8.124542703534228E-2"/>
  </r>
  <r>
    <s v="ORD-2024-347736"/>
    <x v="65"/>
    <d v="2024-05-22T00:00:00"/>
    <x v="7"/>
    <x v="5"/>
    <s v="2024"/>
    <x v="5"/>
    <d v="2024-06-06T00:00:00"/>
    <d v="2024-06-06T00:00:00"/>
    <s v="Okay"/>
    <n v="15"/>
    <x v="0"/>
    <x v="1"/>
    <x v="2"/>
    <s v="Nagoya"/>
    <s v="Asia→Japan→Nagoya"/>
    <s v="Corporate"/>
    <x v="3"/>
    <x v="0"/>
    <x v="5"/>
    <e v="#REF!"/>
    <x v="67"/>
    <n v="673.88"/>
    <n v="1228.01"/>
    <n v="1228.01"/>
    <s v="Medium"/>
    <n v="0.105"/>
    <n v="0.105"/>
    <x v="0"/>
    <n v="13"/>
    <n v="14287.896349999999"/>
    <n v="8760.44"/>
    <n v="5527.4563499999986"/>
    <n v="0.38686285332689996"/>
  </r>
  <r>
    <s v="ORD-2023-749324"/>
    <x v="66"/>
    <d v="2023-08-19T00:00:00"/>
    <x v="25"/>
    <x v="11"/>
    <s v="2023"/>
    <x v="10"/>
    <d v="2023-09-07T00:00:00"/>
    <d v="2023-09-07T00:00:00"/>
    <s v="Okay"/>
    <n v="19"/>
    <x v="0"/>
    <x v="0"/>
    <x v="11"/>
    <s v="Johannesburg"/>
    <s v="Africa→South Africa→Johannesburg"/>
    <s v="Enterprise"/>
    <x v="0"/>
    <x v="14"/>
    <x v="5"/>
    <e v="#REF!"/>
    <x v="68"/>
    <n v="494.61"/>
    <n v="605.23"/>
    <n v="605.23"/>
    <s v="Low"/>
    <n v="0.20399999999999999"/>
    <n v="0.20399999999999999"/>
    <x v="0"/>
    <n v="18"/>
    <n v="8671.7354400000004"/>
    <n v="8902.98"/>
    <n v="-231.24455999999918"/>
    <n v="-2.6666468505639647E-2"/>
  </r>
  <r>
    <s v="ORD-2023-809913"/>
    <x v="67"/>
    <d v="2023-04-21T00:00:00"/>
    <x v="12"/>
    <x v="7"/>
    <s v="2023"/>
    <x v="8"/>
    <d v="2023-05-10T00:00:00"/>
    <d v="2023-05-10T00:00:00"/>
    <s v="Okay"/>
    <n v="19"/>
    <x v="0"/>
    <x v="1"/>
    <x v="9"/>
    <s v="Shanghai"/>
    <s v="Asia→China→Shanghai"/>
    <s v="Corporate"/>
    <x v="0"/>
    <x v="8"/>
    <x v="0"/>
    <e v="#REF!"/>
    <x v="69"/>
    <n v="882.33"/>
    <n v="1880.15"/>
    <n v="1880.15"/>
    <s v="Medium"/>
    <n v="0.05"/>
    <n v="0.05"/>
    <x v="0"/>
    <n v="5"/>
    <n v="8930.7124999999996"/>
    <n v="4411.6500000000005"/>
    <n v="4519.0624999999991"/>
    <n v="0.50601365792482955"/>
  </r>
  <r>
    <s v="ORD-2024-287210"/>
    <x v="68"/>
    <d v="2024-03-18T00:00:00"/>
    <x v="0"/>
    <x v="0"/>
    <s v="2024"/>
    <x v="0"/>
    <d v="2024-03-21T00:00:00"/>
    <d v="2024-03-21T00:00:00"/>
    <s v="Okay"/>
    <n v="3"/>
    <x v="1"/>
    <x v="3"/>
    <x v="6"/>
    <s v="Munich"/>
    <s v="Europe→Germany→Munich"/>
    <s v="Small Business"/>
    <x v="1"/>
    <x v="12"/>
    <x v="6"/>
    <e v="#REF!"/>
    <x v="70"/>
    <n v="910.63"/>
    <n v="1269.4000000000001"/>
    <n v="1269.4000000000001"/>
    <s v="Medium"/>
    <n v="6.8000000000000005E-2"/>
    <n v="6.8000000000000005E-2"/>
    <x v="0"/>
    <n v="9"/>
    <n v="10647.727199999999"/>
    <n v="8195.67"/>
    <n v="2452.0571999999993"/>
    <n v="0.23028925834989455"/>
  </r>
  <r>
    <s v="ORD-2025-640677"/>
    <x v="69"/>
    <d v="2025-04-09T00:00:00"/>
    <x v="19"/>
    <x v="7"/>
    <s v="2025"/>
    <x v="6"/>
    <d v="2025-05-06T00:00:00"/>
    <d v="2025-05-06T00:00:00"/>
    <s v="Okay"/>
    <n v="27"/>
    <x v="0"/>
    <x v="2"/>
    <x v="5"/>
    <s v="Brasília"/>
    <s v="Americas→Brazil→Brasília"/>
    <s v="Enterprise"/>
    <x v="2"/>
    <x v="9"/>
    <x v="4"/>
    <e v="#REF!"/>
    <x v="71"/>
    <n v="264.19"/>
    <n v="620.92999999999995"/>
    <n v="620.92999999999995"/>
    <s v="Low"/>
    <n v="0.14199999999999999"/>
    <n v="0.14199999999999999"/>
    <x v="0"/>
    <n v="12"/>
    <n v="6393.0952799999995"/>
    <n v="3170.2799999999997"/>
    <n v="3222.8152799999998"/>
    <n v="0.50410875152794532"/>
  </r>
  <r>
    <s v="ORD-2024-939873"/>
    <x v="70"/>
    <d v="2024-04-12T00:00:00"/>
    <x v="20"/>
    <x v="7"/>
    <s v="2024"/>
    <x v="5"/>
    <d v="2024-05-07T00:00:00"/>
    <d v="2024-05-07T00:00:00"/>
    <s v="Okay"/>
    <n v="25"/>
    <x v="0"/>
    <x v="0"/>
    <x v="11"/>
    <s v="Johannesburg"/>
    <s v="Africa→South Africa→Johannesburg"/>
    <s v="Education"/>
    <x v="3"/>
    <x v="8"/>
    <x v="4"/>
    <e v="#REF!"/>
    <x v="72"/>
    <n v="1376.51"/>
    <n v="1455.91"/>
    <n v="1455.91"/>
    <s v="Medium"/>
    <n v="0.185"/>
    <n v="0.185"/>
    <x v="0"/>
    <n v="17"/>
    <n v="20171.63305"/>
    <n v="23400.67"/>
    <n v="-3229.0369499999979"/>
    <n v="-0.1600781127634085"/>
  </r>
  <r>
    <s v="ORD-2024-800947"/>
    <x v="71"/>
    <d v="2024-12-15T00:00:00"/>
    <x v="6"/>
    <x v="3"/>
    <s v="2024"/>
    <x v="1"/>
    <d v="2024-12-20T00:00:00"/>
    <d v="2024-12-20T00:00:00"/>
    <s v="Okay"/>
    <n v="5"/>
    <x v="1"/>
    <x v="1"/>
    <x v="9"/>
    <s v="Shenzhen"/>
    <s v="Asia→China→Shenzhen"/>
    <s v="Small Business"/>
    <x v="4"/>
    <x v="1"/>
    <x v="2"/>
    <e v="#REF!"/>
    <x v="73"/>
    <n v="717.55"/>
    <n v="546.42999999999995"/>
    <n v="546.42999999999995"/>
    <s v="Low"/>
    <n v="4.7E-2"/>
    <n v="4.7E-2"/>
    <x v="0"/>
    <n v="18"/>
    <n v="9373.460219999999"/>
    <n v="12915.9"/>
    <n v="-3542.4397800000006"/>
    <n v="-0.37792231437026369"/>
  </r>
  <r>
    <s v="ORD-2023-382272"/>
    <x v="72"/>
    <d v="2023-05-18T00:00:00"/>
    <x v="15"/>
    <x v="5"/>
    <s v="2023"/>
    <x v="8"/>
    <d v="2023-05-18T00:00:00"/>
    <d v="2023-05-27T00:00:00"/>
    <s v="Invalid"/>
    <n v="9"/>
    <x v="0"/>
    <x v="0"/>
    <x v="11"/>
    <s v="Durban"/>
    <s v="Africa→South Africa→Durban"/>
    <s v="Corporate"/>
    <x v="3"/>
    <x v="8"/>
    <x v="0"/>
    <e v="#REF!"/>
    <x v="74"/>
    <n v="917.88"/>
    <n v="1347.92"/>
    <n v="1347.92"/>
    <s v="Medium"/>
    <n v="0.34300000000000003"/>
    <s v="12.14%"/>
    <x v="1"/>
    <n v="5"/>
    <n v="5921.4125600000007"/>
    <n v="4589.3999999999996"/>
    <n v="1332.012560000001"/>
    <n v="0.2249484470982378"/>
  </r>
  <r>
    <s v="ORD-2023-722117"/>
    <x v="73"/>
    <d v="2023-09-18T00:00:00"/>
    <x v="27"/>
    <x v="6"/>
    <s v="2023"/>
    <x v="10"/>
    <d v="2023-10-08T00:00:00"/>
    <d v="2023-10-08T00:00:00"/>
    <s v="Okay"/>
    <n v="20"/>
    <x v="0"/>
    <x v="1"/>
    <x v="4"/>
    <s v="Delhi"/>
    <s v="Asia→India→Delhi"/>
    <s v="Small Business"/>
    <x v="4"/>
    <x v="5"/>
    <x v="0"/>
    <e v="#REF!"/>
    <x v="75"/>
    <n v="825.64"/>
    <n v="1108.43"/>
    <n v="1108.43"/>
    <s v="Low"/>
    <n v="0.114"/>
    <n v="0.114"/>
    <x v="0"/>
    <n v="7"/>
    <n v="6874.4828600000001"/>
    <n v="5779.48"/>
    <n v="1095.0028600000005"/>
    <n v="0.15928512475773349"/>
  </r>
  <r>
    <s v="ORD-2024-446699"/>
    <x v="74"/>
    <d v="2024-08-28T00:00:00"/>
    <x v="21"/>
    <x v="11"/>
    <s v="2024"/>
    <x v="9"/>
    <d v="2024-09-25T00:00:00"/>
    <d v="2024-09-25T00:00:00"/>
    <s v="Okay"/>
    <n v="28"/>
    <x v="0"/>
    <x v="2"/>
    <x v="5"/>
    <s v="Rio de Janeiro"/>
    <s v="Americas→Brazil→Rio de Janeiro"/>
    <s v="Non-Profit"/>
    <x v="1"/>
    <x v="15"/>
    <x v="6"/>
    <e v="#REF!"/>
    <x v="76"/>
    <n v="1394.65"/>
    <n v="3144.1"/>
    <n v="3144.1"/>
    <s v="High"/>
    <n v="0.13400000000000001"/>
    <n v="0.13400000000000001"/>
    <x v="0"/>
    <n v="13"/>
    <n v="35396.277799999996"/>
    <n v="18130.45"/>
    <n v="17265.827799999995"/>
    <n v="0.4877865378263021"/>
  </r>
  <r>
    <s v="ORD-2024-451005"/>
    <x v="24"/>
    <d v="2024-06-28T00:00:00"/>
    <x v="17"/>
    <x v="9"/>
    <s v="2024"/>
    <x v="5"/>
    <d v="2024-06-28T00:00:00"/>
    <d v="2024-07-07T00:00:00"/>
    <s v="Invalid"/>
    <n v="9"/>
    <x v="0"/>
    <x v="2"/>
    <x v="5"/>
    <s v="Rio de Janeiro"/>
    <s v="Americas→Brazil→Rio de Janeiro"/>
    <s v="Small Business"/>
    <x v="4"/>
    <x v="4"/>
    <x v="6"/>
    <e v="#REF!"/>
    <x v="77"/>
    <n v="1112.98"/>
    <n v="2095.73"/>
    <n v="2095.73"/>
    <s v="High"/>
    <n v="7.1999999999999995E-2"/>
    <n v="7.1999999999999995E-2"/>
    <x v="0"/>
    <n v="17"/>
    <n v="33062.236480000007"/>
    <n v="18920.66"/>
    <n v="14141.576480000007"/>
    <n v="0.42772594916724777"/>
  </r>
  <r>
    <s v="ORD-2023-290279"/>
    <x v="75"/>
    <d v="2023-06-14T00:00:00"/>
    <x v="23"/>
    <x v="9"/>
    <s v="2023"/>
    <x v="8"/>
    <d v="2023-06-16T00:00:00"/>
    <d v="2023-06-16T00:00:00"/>
    <s v="Okay"/>
    <n v="2"/>
    <x v="1"/>
    <x v="3"/>
    <x v="8"/>
    <s v="Manchester"/>
    <s v="Europe→United Kingdom→Manchester"/>
    <s v="Non-Profit"/>
    <x v="4"/>
    <x v="11"/>
    <x v="0"/>
    <e v="#REF!"/>
    <x v="78"/>
    <n v="357.36"/>
    <n v="703.62"/>
    <n v="703.62"/>
    <s v="Low"/>
    <n v="0.25700000000000001"/>
    <n v="0.25700000000000001"/>
    <x v="0"/>
    <n v="20"/>
    <n v="10455.7932"/>
    <n v="7147.2000000000007"/>
    <n v="3308.5931999999993"/>
    <n v="0.31643636563125593"/>
  </r>
  <r>
    <s v="ORD-2024-192263"/>
    <x v="76"/>
    <d v="2024-11-21T00:00:00"/>
    <x v="18"/>
    <x v="10"/>
    <s v="2024"/>
    <x v="1"/>
    <d v="2024-12-21T00:00:00"/>
    <d v="2024-12-21T00:00:00"/>
    <s v="Okay"/>
    <n v="30"/>
    <x v="0"/>
    <x v="3"/>
    <x v="7"/>
    <s v="Marseille"/>
    <s v="Europe→France→Marseille"/>
    <s v="Small Business"/>
    <x v="4"/>
    <x v="2"/>
    <x v="5"/>
    <e v="#REF!"/>
    <x v="79"/>
    <n v="1122.68"/>
    <n v="1997.19"/>
    <n v="1997.19"/>
    <s v="High"/>
    <n v="0.186"/>
    <n v="0.186"/>
    <x v="0"/>
    <n v="3"/>
    <n v="4877.1379800000004"/>
    <n v="3368.04"/>
    <n v="1509.0979800000005"/>
    <n v="0.30942285951073306"/>
  </r>
  <r>
    <s v="ORD-2023-159379"/>
    <x v="77"/>
    <d v="2023-02-08T00:00:00"/>
    <x v="2"/>
    <x v="2"/>
    <s v="2023"/>
    <x v="2"/>
    <d v="2023-02-11T00:00:00"/>
    <d v="2023-02-11T00:00:00"/>
    <s v="Okay"/>
    <n v="3"/>
    <x v="1"/>
    <x v="0"/>
    <x v="11"/>
    <s v="Cape Town"/>
    <s v="Africa→South Africa→Cape Town"/>
    <s v="Corporate"/>
    <x v="4"/>
    <x v="12"/>
    <x v="2"/>
    <e v="#REF!"/>
    <x v="80"/>
    <n v="1410.05"/>
    <n v="2763.95"/>
    <n v="2763.95"/>
    <s v="High"/>
    <n v="0.161"/>
    <n v="0.161"/>
    <x v="0"/>
    <n v="26"/>
    <n v="60292.805299999993"/>
    <n v="36661.299999999996"/>
    <n v="23631.505299999997"/>
    <n v="0.39194569206750779"/>
  </r>
  <r>
    <s v="ORD-2023-343322"/>
    <x v="66"/>
    <d v="2023-08-19T00:00:00"/>
    <x v="25"/>
    <x v="11"/>
    <s v="2023"/>
    <x v="10"/>
    <d v="2023-09-12T00:00:00"/>
    <d v="2023-09-12T00:00:00"/>
    <s v="Okay"/>
    <n v="24"/>
    <x v="0"/>
    <x v="2"/>
    <x v="3"/>
    <s v="Vancouver"/>
    <s v="Americas→Canada→Vancouver"/>
    <s v="Enterprise"/>
    <x v="0"/>
    <x v="2"/>
    <x v="1"/>
    <e v="#REF!"/>
    <x v="81"/>
    <n v="1183.95"/>
    <n v="1503.53"/>
    <n v="1503.53"/>
    <s v="Medium"/>
    <n v="0.24099999999999999"/>
    <n v="0.24099999999999999"/>
    <x v="0"/>
    <n v="16"/>
    <n v="18258.868320000001"/>
    <n v="18943.2"/>
    <n v="-684.33167999999932"/>
    <n v="-3.7479413729623705E-2"/>
  </r>
  <r>
    <s v="ORD-2025-114382"/>
    <x v="78"/>
    <d v="2025-05-14T00:00:00"/>
    <x v="8"/>
    <x v="5"/>
    <s v="2025"/>
    <x v="6"/>
    <d v="2025-05-24T00:00:00"/>
    <d v="2025-05-24T00:00:00"/>
    <s v="Okay"/>
    <n v="10"/>
    <x v="0"/>
    <x v="3"/>
    <x v="7"/>
    <s v="Paris"/>
    <s v="Europe→France→Paris"/>
    <s v="Small Business"/>
    <x v="2"/>
    <x v="11"/>
    <x v="0"/>
    <e v="#REF!"/>
    <x v="82"/>
    <n v="170.39"/>
    <n v="388.04"/>
    <n v="388.04"/>
    <s v="Low"/>
    <n v="8.4000000000000005E-2"/>
    <n v="8.4000000000000005E-2"/>
    <x v="0"/>
    <n v="15"/>
    <n v="5331.6696000000002"/>
    <n v="2555.85"/>
    <n v="2775.8196000000003"/>
    <n v="0.52062858508711796"/>
  </r>
  <r>
    <s v="ORD-2025-488349"/>
    <x v="79"/>
    <d v="2025-04-22T00:00:00"/>
    <x v="19"/>
    <x v="7"/>
    <s v="2025"/>
    <x v="6"/>
    <d v="2025-04-22T00:00:00"/>
    <d v="2025-04-30T00:00:00"/>
    <s v="Invalid"/>
    <n v="8"/>
    <x v="0"/>
    <x v="2"/>
    <x v="10"/>
    <s v="San Francisco"/>
    <s v="Americas→USA→San Francisco"/>
    <s v="Non-Profit"/>
    <x v="3"/>
    <x v="14"/>
    <x v="5"/>
    <e v="#REF!"/>
    <x v="83"/>
    <n v="23.24"/>
    <n v="44.57"/>
    <n v="44.57"/>
    <s v="Low"/>
    <n v="0.215"/>
    <n v="0.215"/>
    <x v="0"/>
    <n v="15"/>
    <n v="524.81174999999996"/>
    <n v="348.59999999999997"/>
    <n v="176.21174999999999"/>
    <n v="0.33576182316802167"/>
  </r>
  <r>
    <s v="ORD-2025-330203"/>
    <x v="80"/>
    <d v="2025-03-25T00:00:00"/>
    <x v="3"/>
    <x v="0"/>
    <s v="2025"/>
    <x v="3"/>
    <d v="2025-04-17T00:00:00"/>
    <d v="2025-04-17T00:00:00"/>
    <s v="Okay"/>
    <n v="23"/>
    <x v="0"/>
    <x v="3"/>
    <x v="8"/>
    <s v="London"/>
    <s v="Europe→United Kingdom→London"/>
    <s v="Consumer"/>
    <x v="0"/>
    <x v="10"/>
    <x v="2"/>
    <e v="#REF!"/>
    <x v="84"/>
    <n v="1421.19"/>
    <n v="1808.26"/>
    <n v="1808.26"/>
    <s v="Medium"/>
    <n v="0.104"/>
    <n v="0.104"/>
    <x v="0"/>
    <n v="13"/>
    <n v="21062.61248"/>
    <n v="18475.47"/>
    <n v="2587.1424799999986"/>
    <n v="0.12283103449093123"/>
  </r>
  <r>
    <s v="ORD-2023-841426"/>
    <x v="81"/>
    <d v="2023-12-22T00:00:00"/>
    <x v="4"/>
    <x v="3"/>
    <s v="2023"/>
    <x v="4"/>
    <d v="2023-12-23T00:00:00"/>
    <d v="2023-12-23T00:00:00"/>
    <s v="Okay"/>
    <n v="1"/>
    <x v="1"/>
    <x v="0"/>
    <x v="11"/>
    <s v="Cape Town"/>
    <s v="Africa→South Africa→Cape Town"/>
    <s v="Non-Profit"/>
    <x v="2"/>
    <x v="14"/>
    <x v="0"/>
    <e v="#REF!"/>
    <x v="85"/>
    <n v="1186.18"/>
    <n v="1285.0899999999999"/>
    <n v="1285.0899999999999"/>
    <s v="Medium"/>
    <n v="7.0000000000000007E-2"/>
    <n v="7.0000000000000007E-2"/>
    <x v="0"/>
    <n v="11"/>
    <n v="13146.470699999998"/>
    <n v="13047.980000000001"/>
    <n v="98.49069999999665"/>
    <n v="7.4917977796121861E-3"/>
  </r>
  <r>
    <s v="ORD-2024-594592"/>
    <x v="82"/>
    <d v="2024-04-06T00:00:00"/>
    <x v="20"/>
    <x v="7"/>
    <s v="2024"/>
    <x v="5"/>
    <d v="2024-04-25T00:00:00"/>
    <d v="2024-04-25T00:00:00"/>
    <s v="Okay"/>
    <n v="19"/>
    <x v="0"/>
    <x v="1"/>
    <x v="9"/>
    <s v="Shanghai"/>
    <s v="Asia→China→Shanghai"/>
    <s v="Corporate"/>
    <x v="0"/>
    <x v="11"/>
    <x v="0"/>
    <e v="#REF!"/>
    <x v="86"/>
    <n v="1366.48"/>
    <n v="1678.14"/>
    <n v="1678.14"/>
    <s v="Medium"/>
    <n v="0.154"/>
    <n v="0.154"/>
    <x v="0"/>
    <n v="10"/>
    <n v="14197.064400000001"/>
    <n v="13664.8"/>
    <n v="532.26440000000184"/>
    <n v="3.7491159087790132E-2"/>
  </r>
  <r>
    <s v="ORD-2025-863978"/>
    <x v="83"/>
    <d v="2025-08-07T00:00:00"/>
    <x v="28"/>
    <x v="11"/>
    <s v="2025"/>
    <x v="7"/>
    <d v="2025-08-19T00:00:00"/>
    <d v="2025-08-19T00:00:00"/>
    <s v="Okay"/>
    <n v="12"/>
    <x v="0"/>
    <x v="0"/>
    <x v="0"/>
    <s v="Nakuru"/>
    <s v="Africa→Kenya→Nakuru"/>
    <s v="Corporate"/>
    <x v="5"/>
    <x v="12"/>
    <x v="0"/>
    <e v="#REF!"/>
    <x v="87"/>
    <n v="601.51"/>
    <n v="679.35"/>
    <n v="679.35"/>
    <s v="Low"/>
    <n v="0.188"/>
    <n v="0.188"/>
    <x v="0"/>
    <n v="3"/>
    <n v="1654.8966000000003"/>
    <n v="1804.53"/>
    <n v="-149.63339999999971"/>
    <n v="-9.0418579626062243E-2"/>
  </r>
  <r>
    <s v="ORD-2024-604471"/>
    <x v="84"/>
    <d v="2024-01-21T00:00:00"/>
    <x v="9"/>
    <x v="4"/>
    <s v="2024"/>
    <x v="0"/>
    <d v="2024-01-25T00:00:00"/>
    <d v="2024-01-25T00:00:00"/>
    <s v="Okay"/>
    <n v="4"/>
    <x v="1"/>
    <x v="1"/>
    <x v="4"/>
    <s v="Delhi"/>
    <s v="Asia→India→Delhi"/>
    <s v="Consumer"/>
    <x v="4"/>
    <x v="0"/>
    <x v="5"/>
    <e v="#REF!"/>
    <x v="88"/>
    <n v="523.70000000000005"/>
    <n v="1109.92"/>
    <n v="1109.92"/>
    <s v="Low"/>
    <n v="0.03"/>
    <n v="0.03"/>
    <x v="0"/>
    <n v="11"/>
    <n v="11842.8464"/>
    <n v="5760.7000000000007"/>
    <n v="6082.1463999999996"/>
    <n v="0.51357133197302973"/>
  </r>
  <r>
    <s v="ORD-2023-258768"/>
    <x v="85"/>
    <d v="2023-06-29T00:00:00"/>
    <x v="23"/>
    <x v="9"/>
    <s v="2023"/>
    <x v="8"/>
    <d v="2023-07-02T00:00:00"/>
    <d v="2023-07-02T00:00:00"/>
    <s v="Okay"/>
    <n v="3"/>
    <x v="1"/>
    <x v="1"/>
    <x v="2"/>
    <s v="Nagoya"/>
    <s v="Asia→Japan→Nagoya"/>
    <s v="Education"/>
    <x v="2"/>
    <x v="9"/>
    <x v="5"/>
    <e v="#REF!"/>
    <x v="89"/>
    <n v="55.65"/>
    <n v="83.57"/>
    <n v="83.57"/>
    <s v="Low"/>
    <n v="6.6000000000000003E-2"/>
    <n v="6.6000000000000003E-2"/>
    <x v="0"/>
    <n v="8"/>
    <n v="624.43503999999996"/>
    <n v="445.2"/>
    <n v="179.23503999999997"/>
    <n v="0.2870355257449998"/>
  </r>
  <r>
    <s v="ORD-2025-626047"/>
    <x v="86"/>
    <d v="2025-04-28T00:00:00"/>
    <x v="19"/>
    <x v="7"/>
    <s v="2025"/>
    <x v="6"/>
    <d v="2025-05-15T00:00:00"/>
    <d v="2025-05-15T00:00:00"/>
    <s v="Okay"/>
    <n v="17"/>
    <x v="0"/>
    <x v="1"/>
    <x v="2"/>
    <s v="Nagoya"/>
    <s v="Asia→Japan→Nagoya"/>
    <s v="Education"/>
    <x v="4"/>
    <x v="13"/>
    <x v="2"/>
    <e v="#REF!"/>
    <x v="90"/>
    <n v="691.19"/>
    <n v="1284.3"/>
    <n v="1284.3"/>
    <s v="Medium"/>
    <n v="7.3999999999999996E-2"/>
    <n v="7.3999999999999996E-2"/>
    <x v="0"/>
    <n v="7"/>
    <n v="8324.8326000000015"/>
    <n v="4838.33"/>
    <n v="3486.5026000000016"/>
    <n v="0.41880753253825198"/>
  </r>
  <r>
    <s v="ORD-2025-526752"/>
    <x v="56"/>
    <d v="2025-06-09T00:00:00"/>
    <x v="16"/>
    <x v="9"/>
    <s v="2025"/>
    <x v="6"/>
    <d v="2025-06-25T00:00:00"/>
    <d v="2025-06-25T00:00:00"/>
    <s v="Okay"/>
    <n v="16"/>
    <x v="0"/>
    <x v="1"/>
    <x v="4"/>
    <s v="Hyderabad"/>
    <s v="Asia→India→Hyderabad"/>
    <s v="Enterprise"/>
    <x v="3"/>
    <x v="12"/>
    <x v="3"/>
    <e v="#REF!"/>
    <x v="91"/>
    <n v="527.33000000000004"/>
    <n v="911.72"/>
    <n v="911.72"/>
    <s v="Low"/>
    <n v="0.14399999999999999"/>
    <n v="0.14399999999999999"/>
    <x v="0"/>
    <n v="25"/>
    <n v="19510.808000000001"/>
    <n v="13183.250000000002"/>
    <n v="6327.5579999999991"/>
    <n v="0.32431040272652978"/>
  </r>
  <r>
    <s v="ORD-2023-374486"/>
    <x v="87"/>
    <d v="2023-06-23T00:00:00"/>
    <x v="23"/>
    <x v="9"/>
    <s v="2023"/>
    <x v="8"/>
    <d v="2023-06-23T00:00:00"/>
    <d v="2023-07-01T00:00:00"/>
    <s v="Invalid"/>
    <n v="8"/>
    <x v="0"/>
    <x v="2"/>
    <x v="5"/>
    <s v="Rio de Janeiro"/>
    <s v="Americas→Brazil→Rio de Janeiro"/>
    <s v="Non-Profit"/>
    <x v="0"/>
    <x v="6"/>
    <x v="1"/>
    <e v="#REF!"/>
    <x v="92"/>
    <n v="804.01"/>
    <n v="1405.07"/>
    <n v="1405.07"/>
    <s v="Medium"/>
    <n v="9.6000000000000002E-2"/>
    <n v="9.6000000000000002E-2"/>
    <x v="0"/>
    <n v="8"/>
    <n v="10161.46624"/>
    <n v="6432.08"/>
    <n v="3729.3862399999998"/>
    <n v="0.36701260939287439"/>
  </r>
  <r>
    <s v="ORD-2024-997336"/>
    <x v="88"/>
    <d v="2024-10-04T00:00:00"/>
    <x v="1"/>
    <x v="1"/>
    <s v="2024"/>
    <x v="1"/>
    <d v="2024-11-02T00:00:00"/>
    <d v="2024-11-02T00:00:00"/>
    <s v="Okay"/>
    <n v="29"/>
    <x v="0"/>
    <x v="0"/>
    <x v="1"/>
    <s v="Abuja"/>
    <s v="Africa→Nigeria→Abuja"/>
    <s v="Corporate"/>
    <x v="3"/>
    <x v="9"/>
    <x v="6"/>
    <e v="#REF!"/>
    <x v="93"/>
    <n v="412.09"/>
    <n v="968.94"/>
    <n v="968.94"/>
    <s v="Low"/>
    <n v="9.9000000000000005E-2"/>
    <n v="9.9000000000000005E-2"/>
    <x v="0"/>
    <n v="23"/>
    <n v="20079.343620000003"/>
    <n v="9478.07"/>
    <n v="10601.273620000004"/>
    <n v="0.52796913189137418"/>
  </r>
  <r>
    <s v="ORD-2025-725646"/>
    <x v="59"/>
    <d v="2025-09-10T00:00:00"/>
    <x v="11"/>
    <x v="6"/>
    <s v="2025"/>
    <x v="7"/>
    <d v="2025-09-30T00:00:00"/>
    <d v="2025-09-30T00:00:00"/>
    <s v="Okay"/>
    <n v="20"/>
    <x v="0"/>
    <x v="0"/>
    <x v="0"/>
    <s v="Mombasa"/>
    <s v="Africa→Kenya→Mombasa"/>
    <s v="Corporate"/>
    <x v="4"/>
    <x v="4"/>
    <x v="3"/>
    <e v="#REF!"/>
    <x v="94"/>
    <n v="1009.48"/>
    <n v="1088.81"/>
    <n v="1088.81"/>
    <s v="Low"/>
    <n v="0.16"/>
    <n v="0.16"/>
    <x v="0"/>
    <n v="6"/>
    <n v="5487.6023999999998"/>
    <n v="6056.88"/>
    <n v="-569.27760000000035"/>
    <n v="-0.10373885688219693"/>
  </r>
  <r>
    <s v="ORD-2023-868734"/>
    <x v="89"/>
    <d v="2023-04-06T00:00:00"/>
    <x v="12"/>
    <x v="7"/>
    <s v="2023"/>
    <x v="8"/>
    <d v="2023-04-27T00:00:00"/>
    <d v="2023-04-27T00:00:00"/>
    <s v="Okay"/>
    <n v="21"/>
    <x v="0"/>
    <x v="3"/>
    <x v="8"/>
    <s v="Manchester"/>
    <s v="Europe→United Kingdom→Manchester"/>
    <s v="Enterprise"/>
    <x v="3"/>
    <x v="2"/>
    <x v="1"/>
    <e v="#REF!"/>
    <x v="95"/>
    <n v="1084.79"/>
    <n v="2484.9899999999998"/>
    <n v="2484.9899999999998"/>
    <s v="High"/>
    <n v="3.4000000000000002E-2"/>
    <n v="3.4000000000000002E-2"/>
    <x v="0"/>
    <n v="18"/>
    <n v="43209.006119999991"/>
    <n v="19526.22"/>
    <n v="23682.78611999999"/>
    <n v="0.54809837685755114"/>
  </r>
  <r>
    <s v="ORD-2025-262491"/>
    <x v="90"/>
    <d v="2025-08-01T00:00:00"/>
    <x v="28"/>
    <x v="11"/>
    <s v="2025"/>
    <x v="7"/>
    <d v="2025-08-16T00:00:00"/>
    <d v="2025-08-16T00:00:00"/>
    <s v="Okay"/>
    <n v="15"/>
    <x v="0"/>
    <x v="1"/>
    <x v="4"/>
    <s v="Unknown"/>
    <s v="Asia→India→Unknown"/>
    <s v="Enterprise"/>
    <x v="4"/>
    <x v="7"/>
    <x v="5"/>
    <e v="#REF!"/>
    <x v="96"/>
    <n v="24.44"/>
    <n v="28.69"/>
    <n v="28.69"/>
    <s v="Low"/>
    <n v="0.14599999999999999"/>
    <n v="0.14599999999999999"/>
    <x v="0"/>
    <n v="6"/>
    <n v="147.00756000000001"/>
    <n v="146.64000000000001"/>
    <n v="0.36755999999999744"/>
    <n v="2.5002795774584476E-3"/>
  </r>
  <r>
    <s v="ORD-2024-638884"/>
    <x v="91"/>
    <d v="2024-05-26T00:00:00"/>
    <x v="7"/>
    <x v="5"/>
    <s v="2024"/>
    <x v="5"/>
    <d v="2024-05-26T00:00:00"/>
    <d v="2024-06-04T00:00:00"/>
    <s v="Invalid"/>
    <n v="9"/>
    <x v="0"/>
    <x v="0"/>
    <x v="1"/>
    <s v="Abuja"/>
    <s v="Africa→Nigeria→Abuja"/>
    <s v="Enterprise"/>
    <x v="1"/>
    <x v="9"/>
    <x v="6"/>
    <e v="#REF!"/>
    <x v="97"/>
    <n v="1227.08"/>
    <n v="1896.62"/>
    <n v="1896.62"/>
    <s v="Medium"/>
    <n v="0"/>
    <n v="0"/>
    <x v="0"/>
    <n v="18"/>
    <n v="34139.159999999996"/>
    <n v="22087.439999999999"/>
    <n v="12051.719999999998"/>
    <n v="0.353017473189147"/>
  </r>
  <r>
    <s v="ORD-2025-541501"/>
    <x v="92"/>
    <d v="2025-07-22T00:00:00"/>
    <x v="13"/>
    <x v="8"/>
    <s v="2025"/>
    <x v="7"/>
    <d v="2025-08-18T00:00:00"/>
    <d v="2025-08-18T00:00:00"/>
    <s v="Okay"/>
    <n v="27"/>
    <x v="0"/>
    <x v="1"/>
    <x v="9"/>
    <s v="Shenzhen"/>
    <s v="Asia→China→Shenzhen"/>
    <s v="Non-Profit"/>
    <x v="2"/>
    <x v="12"/>
    <x v="2"/>
    <e v="#REF!"/>
    <x v="98"/>
    <n v="547.32000000000005"/>
    <n v="419.17"/>
    <n v="419.17"/>
    <s v="Low"/>
    <n v="9.1999999999999998E-2"/>
    <n v="9.1999999999999998E-2"/>
    <x v="0"/>
    <n v="14"/>
    <n v="5328.4890400000004"/>
    <n v="7662.4800000000005"/>
    <n v="-2333.9909600000001"/>
    <n v="-0.43802116181137907"/>
  </r>
  <r>
    <s v="ORD-2023-422918"/>
    <x v="2"/>
    <d v="2023-02-28T00:00:00"/>
    <x v="2"/>
    <x v="2"/>
    <s v="2023"/>
    <x v="2"/>
    <d v="2023-03-20T00:00:00"/>
    <d v="2023-03-20T00:00:00"/>
    <s v="Okay"/>
    <n v="20"/>
    <x v="0"/>
    <x v="3"/>
    <x v="6"/>
    <s v="Berlin"/>
    <s v="Europe→Germany→Berlin"/>
    <s v="Small Business"/>
    <x v="4"/>
    <x v="10"/>
    <x v="4"/>
    <e v="#REF!"/>
    <x v="99"/>
    <n v="1200.78"/>
    <n v="2001.17"/>
    <n v="2001.17"/>
    <s v="High"/>
    <n v="0.29199999999999998"/>
    <n v="0.29199999999999998"/>
    <x v="0"/>
    <n v="18"/>
    <n v="25502.910479999999"/>
    <n v="21614.04"/>
    <n v="3888.8704799999978"/>
    <n v="0.15248732034132906"/>
  </r>
  <r>
    <s v="ORD-2025-328504"/>
    <x v="93"/>
    <d v="2025-01-27T00:00:00"/>
    <x v="10"/>
    <x v="4"/>
    <s v="2025"/>
    <x v="3"/>
    <d v="2025-02-15T00:00:00"/>
    <d v="2025-02-15T00:00:00"/>
    <s v="Okay"/>
    <n v="19"/>
    <x v="0"/>
    <x v="1"/>
    <x v="9"/>
    <s v="Shenzhen"/>
    <s v="Asia→China→Shenzhen"/>
    <s v="Non-Profit"/>
    <x v="4"/>
    <x v="4"/>
    <x v="3"/>
    <e v="#REF!"/>
    <x v="100"/>
    <n v="1253.22"/>
    <n v="3104.71"/>
    <n v="3104.71"/>
    <s v="High"/>
    <n v="0"/>
    <n v="0"/>
    <x v="0"/>
    <n v="17"/>
    <n v="52780.07"/>
    <n v="21304.74"/>
    <n v="31475.329999999998"/>
    <n v="0.59634877331538205"/>
  </r>
  <r>
    <s v="ORD-2024-851883"/>
    <x v="94"/>
    <d v="2024-01-13T00:00:00"/>
    <x v="9"/>
    <x v="4"/>
    <s v="2024"/>
    <x v="0"/>
    <d v="2024-01-22T00:00:00"/>
    <d v="2024-01-22T00:00:00"/>
    <s v="Okay"/>
    <n v="9"/>
    <x v="0"/>
    <x v="1"/>
    <x v="4"/>
    <s v="Mumbai"/>
    <s v="Asia→India→Mumbai"/>
    <s v="Enterprise"/>
    <x v="2"/>
    <x v="1"/>
    <x v="0"/>
    <e v="#REF!"/>
    <x v="101"/>
    <n v="313.60000000000002"/>
    <n v="334.28"/>
    <n v="334.28"/>
    <s v="Low"/>
    <n v="0.14000000000000001"/>
    <n v="0.14000000000000001"/>
    <x v="0"/>
    <n v="22"/>
    <n v="6324.5775999999996"/>
    <n v="6899.2000000000007"/>
    <n v="-574.62240000000111"/>
    <n v="-9.0855458868905517E-2"/>
  </r>
  <r>
    <s v="ORD-2025-662997"/>
    <x v="95"/>
    <d v="2025-03-31T00:00:00"/>
    <x v="3"/>
    <x v="0"/>
    <s v="2025"/>
    <x v="3"/>
    <d v="2025-04-04T00:00:00"/>
    <d v="2025-04-04T00:00:00"/>
    <s v="Okay"/>
    <n v="4"/>
    <x v="1"/>
    <x v="0"/>
    <x v="0"/>
    <s v="Nakuru"/>
    <s v="Africa→Kenya→Nakuru"/>
    <s v="Corporate"/>
    <x v="4"/>
    <x v="0"/>
    <x v="4"/>
    <e v="#REF!"/>
    <x v="102"/>
    <n v="862.08"/>
    <n v="1952.83"/>
    <n v="1952.83"/>
    <s v="High"/>
    <n v="0"/>
    <n v="0"/>
    <x v="0"/>
    <n v="7"/>
    <n v="13669.81"/>
    <n v="6034.56"/>
    <n v="7635.2499999999991"/>
    <n v="0.5585483631447693"/>
  </r>
  <r>
    <s v="ORD-2024-478165"/>
    <x v="96"/>
    <d v="2024-12-05T00:00:00"/>
    <x v="6"/>
    <x v="3"/>
    <s v="2024"/>
    <x v="1"/>
    <d v="2024-12-28T00:00:00"/>
    <d v="2024-12-28T00:00:00"/>
    <s v="Okay"/>
    <n v="23"/>
    <x v="0"/>
    <x v="2"/>
    <x v="3"/>
    <s v="Vancouver"/>
    <s v="Americas→Canada→Vancouver"/>
    <s v="Corporate"/>
    <x v="4"/>
    <x v="9"/>
    <x v="6"/>
    <e v="#REF!"/>
    <x v="103"/>
    <n v="107.03"/>
    <n v="242.29"/>
    <n v="242.29"/>
    <s v="Low"/>
    <n v="0.18"/>
    <n v="0.18"/>
    <x v="0"/>
    <n v="30"/>
    <n v="5960.3340000000007"/>
    <n v="3210.9"/>
    <n v="2749.4340000000007"/>
    <n v="0.46128857879440988"/>
  </r>
  <r>
    <s v="ORD-2024-771210"/>
    <x v="97"/>
    <d v="2024-09-14T00:00:00"/>
    <x v="29"/>
    <x v="6"/>
    <s v="2024"/>
    <x v="9"/>
    <d v="2024-10-05T00:00:00"/>
    <d v="2024-10-05T00:00:00"/>
    <s v="Okay"/>
    <n v="21"/>
    <x v="0"/>
    <x v="1"/>
    <x v="9"/>
    <s v="Shanghai"/>
    <s v="Asia→China→Shanghai"/>
    <s v="Small Business"/>
    <x v="1"/>
    <x v="10"/>
    <x v="4"/>
    <e v="#REF!"/>
    <x v="104"/>
    <n v="1405.56"/>
    <n v="2968.87"/>
    <n v="2968.87"/>
    <s v="High"/>
    <n v="0.16900000000000001"/>
    <n v="0.16900000000000001"/>
    <x v="0"/>
    <n v="5"/>
    <n v="12335.654849999999"/>
    <n v="7027.7999999999993"/>
    <n v="5307.8548499999997"/>
    <n v="0.4302856163327235"/>
  </r>
  <r>
    <s v="ORD-2024-155337"/>
    <x v="98"/>
    <d v="2024-05-21T00:00:00"/>
    <x v="7"/>
    <x v="5"/>
    <s v="2024"/>
    <x v="5"/>
    <d v="2024-05-27T00:00:00"/>
    <d v="2024-05-27T00:00:00"/>
    <s v="Okay"/>
    <n v="6"/>
    <x v="1"/>
    <x v="0"/>
    <x v="11"/>
    <s v="Johannesburg"/>
    <s v="Africa→South Africa→Johannesburg"/>
    <s v="Non-Profit"/>
    <x v="1"/>
    <x v="12"/>
    <x v="0"/>
    <e v="#REF!"/>
    <x v="105"/>
    <n v="1157.51"/>
    <n v="1394.3"/>
    <n v="1394.3"/>
    <s v="Medium"/>
    <n v="0.27800000000000002"/>
    <n v="0.27800000000000002"/>
    <x v="0"/>
    <n v="12"/>
    <n v="12080.215199999999"/>
    <n v="13890.119999999999"/>
    <n v="-1809.9048000000003"/>
    <n v="-0.14982388724333326"/>
  </r>
  <r>
    <s v="ORD-2023-251563"/>
    <x v="20"/>
    <d v="2023-05-11T00:00:00"/>
    <x v="15"/>
    <x v="5"/>
    <s v="2023"/>
    <x v="8"/>
    <d v="2023-06-07T00:00:00"/>
    <d v="2023-06-07T00:00:00"/>
    <s v="Okay"/>
    <n v="27"/>
    <x v="0"/>
    <x v="0"/>
    <x v="0"/>
    <s v="Mombasa"/>
    <s v="Africa→Kenya→Mombasa"/>
    <s v="Corporate"/>
    <x v="1"/>
    <x v="1"/>
    <x v="3"/>
    <e v="#REF!"/>
    <x v="106"/>
    <n v="12.85"/>
    <n v="15.41"/>
    <n v="15.41"/>
    <s v="Low"/>
    <n v="0.13700000000000001"/>
    <n v="0.13700000000000001"/>
    <x v="0"/>
    <n v="39"/>
    <n v="518.65436999999997"/>
    <n v="501.15"/>
    <n v="17.504369999999994"/>
    <n v="3.3749585489851353E-2"/>
  </r>
  <r>
    <s v="ORD-2024-286833"/>
    <x v="99"/>
    <d v="2024-08-14T00:00:00"/>
    <x v="21"/>
    <x v="11"/>
    <s v="2024"/>
    <x v="9"/>
    <d v="2024-09-04T00:00:00"/>
    <d v="2024-09-04T00:00:00"/>
    <s v="Okay"/>
    <n v="21"/>
    <x v="0"/>
    <x v="3"/>
    <x v="8"/>
    <s v="Manchester"/>
    <s v="Europe→United Kingdom→Manchester"/>
    <s v="Non-Profit"/>
    <x v="1"/>
    <x v="1"/>
    <x v="3"/>
    <e v="#REF!"/>
    <x v="107"/>
    <n v="1138.8"/>
    <n v="2250.81"/>
    <n v="2250.81"/>
    <s v="High"/>
    <n v="0.123"/>
    <n v="0.123"/>
    <x v="0"/>
    <n v="12"/>
    <n v="23687.524440000001"/>
    <n v="13665.599999999999"/>
    <n v="10021.924440000003"/>
    <n v="0.42308872188756258"/>
  </r>
  <r>
    <s v="ORD-2024-792558"/>
    <x v="100"/>
    <d v="2024-10-16T00:00:00"/>
    <x v="1"/>
    <x v="1"/>
    <s v="2024"/>
    <x v="1"/>
    <d v="2024-11-08T00:00:00"/>
    <d v="2024-11-08T00:00:00"/>
    <s v="Okay"/>
    <n v="23"/>
    <x v="0"/>
    <x v="1"/>
    <x v="2"/>
    <s v="Osaka"/>
    <s v="Asia→Japan→Osaka"/>
    <s v="Small Business"/>
    <x v="0"/>
    <x v="1"/>
    <x v="2"/>
    <e v="#REF!"/>
    <x v="108"/>
    <n v="82.14"/>
    <n v="166.04"/>
    <n v="166.04"/>
    <s v="Low"/>
    <n v="0"/>
    <n v="0"/>
    <x v="0"/>
    <n v="10"/>
    <n v="1660.3999999999999"/>
    <n v="821.4"/>
    <n v="838.99999999999989"/>
    <n v="0.50529992772825827"/>
  </r>
  <r>
    <s v="ORD-2024-166150"/>
    <x v="101"/>
    <d v="2024-06-02T00:00:00"/>
    <x v="17"/>
    <x v="9"/>
    <s v="2024"/>
    <x v="5"/>
    <d v="2024-06-08T00:00:00"/>
    <d v="2024-06-08T00:00:00"/>
    <s v="Okay"/>
    <n v="6"/>
    <x v="1"/>
    <x v="0"/>
    <x v="0"/>
    <s v="Kisumu"/>
    <s v="Africa→Kenya→Kisumu"/>
    <s v="Consumer"/>
    <x v="2"/>
    <x v="8"/>
    <x v="6"/>
    <e v="#REF!"/>
    <x v="109"/>
    <n v="292.94"/>
    <n v="356.55"/>
    <n v="356.55"/>
    <s v="Low"/>
    <n v="0.22900000000000001"/>
    <n v="0.22900000000000001"/>
    <x v="0"/>
    <n v="2"/>
    <n v="549.80010000000004"/>
    <n v="585.88"/>
    <n v="-36.079899999999952"/>
    <n v="-6.5623669402751925E-2"/>
  </r>
  <r>
    <s v="ORD-2024-909942"/>
    <x v="102"/>
    <d v="2024-06-09T00:00:00"/>
    <x v="17"/>
    <x v="9"/>
    <s v="2024"/>
    <x v="5"/>
    <d v="2024-07-07T00:00:00"/>
    <d v="2024-07-07T00:00:00"/>
    <s v="Okay"/>
    <n v="28"/>
    <x v="0"/>
    <x v="1"/>
    <x v="9"/>
    <s v="Shenzhen"/>
    <s v="Asia→China→Shenzhen"/>
    <s v="Corporate"/>
    <x v="1"/>
    <x v="1"/>
    <x v="0"/>
    <e v="#REF!"/>
    <x v="110"/>
    <n v="550.22"/>
    <n v="1025.05"/>
    <n v="1025.05"/>
    <s v="Low"/>
    <n v="0"/>
    <n v="0"/>
    <x v="0"/>
    <n v="27"/>
    <n v="27676.35"/>
    <n v="14855.94"/>
    <n v="12820.409999999998"/>
    <n v="0.46322618408858102"/>
  </r>
  <r>
    <s v="ORD-2024-223618"/>
    <x v="103"/>
    <d v="2024-06-10T00:00:00"/>
    <x v="17"/>
    <x v="9"/>
    <s v="2024"/>
    <x v="5"/>
    <d v="2024-06-11T00:00:00"/>
    <d v="2024-06-11T00:00:00"/>
    <s v="Okay"/>
    <n v="1"/>
    <x v="1"/>
    <x v="3"/>
    <x v="8"/>
    <s v="Birmingham"/>
    <s v="Europe→United Kingdom→Birmingham"/>
    <s v="Small Business"/>
    <x v="2"/>
    <x v="12"/>
    <x v="4"/>
    <e v="#REF!"/>
    <x v="111"/>
    <n v="1187.1300000000001"/>
    <n v="1795.17"/>
    <n v="1795.17"/>
    <s v="Medium"/>
    <n v="1.2E-2"/>
    <n v="1.2E-2"/>
    <x v="0"/>
    <n v="17"/>
    <n v="30151.675319999998"/>
    <n v="20181.210000000003"/>
    <n v="9970.4653199999957"/>
    <n v="0.33067699271046663"/>
  </r>
  <r>
    <s v="ORD-2024-919471"/>
    <x v="104"/>
    <d v="2024-06-29T00:00:00"/>
    <x v="17"/>
    <x v="9"/>
    <s v="2024"/>
    <x v="5"/>
    <d v="2024-07-26T00:00:00"/>
    <d v="2024-07-26T00:00:00"/>
    <s v="Okay"/>
    <n v="27"/>
    <x v="0"/>
    <x v="0"/>
    <x v="11"/>
    <s v="Durban"/>
    <s v="Africa→South Africa→Durban"/>
    <s v="Enterprise"/>
    <x v="3"/>
    <x v="5"/>
    <x v="2"/>
    <e v="#REF!"/>
    <x v="112"/>
    <n v="5.36"/>
    <n v="4.37"/>
    <n v="4.37"/>
    <s v="Low"/>
    <n v="0.11799999999999999"/>
    <n v="0.11799999999999999"/>
    <x v="0"/>
    <n v="9"/>
    <n v="34.689059999999998"/>
    <n v="48.24"/>
    <n v="-13.550940000000004"/>
    <n v="-0.39064016148030545"/>
  </r>
  <r>
    <s v="ORD-2025-649239"/>
    <x v="105"/>
    <d v="2025-01-17T00:00:00"/>
    <x v="10"/>
    <x v="4"/>
    <s v="2025"/>
    <x v="3"/>
    <d v="2025-01-24T00:00:00"/>
    <d v="2025-01-24T00:00:00"/>
    <s v="Okay"/>
    <n v="7"/>
    <x v="1"/>
    <x v="2"/>
    <x v="10"/>
    <s v="Austin"/>
    <s v="Americas→USA→Austin"/>
    <s v="Enterprise"/>
    <x v="1"/>
    <x v="3"/>
    <x v="6"/>
    <e v="#REF!"/>
    <x v="113"/>
    <n v="142.09"/>
    <n v="218.5"/>
    <n v="218.5"/>
    <s v="Low"/>
    <n v="0.11899999999999999"/>
    <n v="0.11899999999999999"/>
    <x v="0"/>
    <n v="11"/>
    <n v="2117.4834999999998"/>
    <n v="1562.99"/>
    <n v="554.49349999999981"/>
    <n v="0.26186437816398561"/>
  </r>
  <r>
    <s v="ORD-2023-975863"/>
    <x v="106"/>
    <d v="2023-11-20T00:00:00"/>
    <x v="30"/>
    <x v="10"/>
    <s v="2023"/>
    <x v="4"/>
    <d v="2023-12-05T00:00:00"/>
    <d v="2023-12-05T00:00:00"/>
    <s v="Okay"/>
    <n v="15"/>
    <x v="0"/>
    <x v="1"/>
    <x v="2"/>
    <s v="Tokyo"/>
    <s v="Asia→Japan→Tokyo"/>
    <s v="Enterprise"/>
    <x v="0"/>
    <x v="4"/>
    <x v="2"/>
    <e v="#REF!"/>
    <x v="114"/>
    <n v="354.24"/>
    <n v="249.87"/>
    <n v="249.87"/>
    <s v="Low"/>
    <n v="0"/>
    <n v="0"/>
    <x v="0"/>
    <n v="6"/>
    <n v="1499.22"/>
    <n v="2125.44"/>
    <n v="-626.22"/>
    <n v="-0.41769720254532355"/>
  </r>
  <r>
    <s v="ORD-2023-869884"/>
    <x v="107"/>
    <d v="2023-03-02T00:00:00"/>
    <x v="22"/>
    <x v="0"/>
    <s v="2023"/>
    <x v="2"/>
    <d v="2023-03-05T00:00:00"/>
    <d v="2023-03-05T00:00:00"/>
    <s v="Okay"/>
    <n v="3"/>
    <x v="1"/>
    <x v="2"/>
    <x v="5"/>
    <s v="Brasília"/>
    <s v="Americas→Brazil→Brasília"/>
    <s v="Enterprise"/>
    <x v="4"/>
    <x v="3"/>
    <x v="5"/>
    <e v="#REF!"/>
    <x v="115"/>
    <n v="1473.58"/>
    <n v="3436.52"/>
    <n v="3436.52"/>
    <s v="High"/>
    <n v="0.108"/>
    <n v="0.108"/>
    <x v="0"/>
    <n v="8"/>
    <n v="24523.006720000001"/>
    <n v="11788.64"/>
    <n v="12734.366720000002"/>
    <n v="0.51928243813652564"/>
  </r>
  <r>
    <s v="ORD-2025-698069"/>
    <x v="108"/>
    <d v="2025-06-03T00:00:00"/>
    <x v="16"/>
    <x v="9"/>
    <s v="2025"/>
    <x v="6"/>
    <d v="2025-06-10T00:00:00"/>
    <d v="2025-06-10T00:00:00"/>
    <s v="Okay"/>
    <n v="7"/>
    <x v="1"/>
    <x v="2"/>
    <x v="3"/>
    <s v="Toronto"/>
    <s v="Americas→Canada→Toronto"/>
    <s v="Consumer"/>
    <x v="3"/>
    <x v="7"/>
    <x v="1"/>
    <e v="#REF!"/>
    <x v="116"/>
    <n v="75.180000000000007"/>
    <n v="53.45"/>
    <n v="53.45"/>
    <s v="Low"/>
    <n v="0.157"/>
    <n v="0.157"/>
    <x v="0"/>
    <n v="17"/>
    <n v="765.99195000000009"/>
    <n v="1278.0600000000002"/>
    <n v="-512.06805000000008"/>
    <n v="-0.66850317421743144"/>
  </r>
  <r>
    <s v="ORD-2024-474999"/>
    <x v="6"/>
    <d v="2024-12-27T00:00:00"/>
    <x v="6"/>
    <x v="3"/>
    <s v="2024"/>
    <x v="1"/>
    <d v="2025-01-02T00:00:00"/>
    <d v="2025-01-02T00:00:00"/>
    <s v="Okay"/>
    <n v="6"/>
    <x v="1"/>
    <x v="3"/>
    <x v="6"/>
    <s v="Frankfurt"/>
    <s v="Europe→Germany→Frankfurt"/>
    <s v="Education"/>
    <x v="4"/>
    <x v="9"/>
    <x v="4"/>
    <e v="#REF!"/>
    <x v="117"/>
    <n v="1391.99"/>
    <n v="3469.7"/>
    <n v="3469.7"/>
    <s v="High"/>
    <n v="0.184"/>
    <n v="0.184"/>
    <x v="0"/>
    <n v="23"/>
    <n v="65119.329599999997"/>
    <n v="32015.77"/>
    <n v="33103.559599999993"/>
    <n v="0.50835227886006973"/>
  </r>
  <r>
    <s v="ORD-2023-427304"/>
    <x v="109"/>
    <d v="2023-06-09T00:00:00"/>
    <x v="23"/>
    <x v="9"/>
    <s v="2023"/>
    <x v="8"/>
    <d v="2023-06-19T00:00:00"/>
    <d v="2023-06-19T00:00:00"/>
    <s v="Okay"/>
    <n v="10"/>
    <x v="0"/>
    <x v="1"/>
    <x v="9"/>
    <s v="Beijing"/>
    <s v="Asia→China→Beijing"/>
    <s v="Enterprise"/>
    <x v="0"/>
    <x v="9"/>
    <x v="5"/>
    <e v="#REF!"/>
    <x v="118"/>
    <n v="339.61"/>
    <n v="621.02"/>
    <n v="621.02"/>
    <s v="Low"/>
    <n v="7.0999999999999994E-2"/>
    <n v="7.0999999999999994E-2"/>
    <x v="0"/>
    <n v="10"/>
    <n v="5769.2758000000003"/>
    <n v="3396.1000000000004"/>
    <n v="2373.1758"/>
    <n v="0.41134726129750981"/>
  </r>
  <r>
    <s v="ORD-2025-956101"/>
    <x v="110"/>
    <d v="2025-07-09T00:00:00"/>
    <x v="13"/>
    <x v="8"/>
    <s v="2025"/>
    <x v="7"/>
    <d v="2025-07-18T00:00:00"/>
    <d v="2025-07-18T00:00:00"/>
    <s v="Okay"/>
    <n v="9"/>
    <x v="0"/>
    <x v="2"/>
    <x v="3"/>
    <s v="Vancouver"/>
    <s v="Americas→Canada→Vancouver"/>
    <s v="Education"/>
    <x v="3"/>
    <x v="2"/>
    <x v="4"/>
    <e v="#REF!"/>
    <x v="119"/>
    <n v="57.96"/>
    <n v="88.51"/>
    <n v="88.51"/>
    <s v="Low"/>
    <n v="4.2999999999999997E-2"/>
    <n v="4.2999999999999997E-2"/>
    <x v="0"/>
    <n v="7"/>
    <n v="592.92849000000001"/>
    <n v="405.72"/>
    <n v="187.20848999999998"/>
    <n v="0.3157353595877978"/>
  </r>
  <r>
    <s v="ORD-2025-184082"/>
    <x v="111"/>
    <d v="2025-06-19T00:00:00"/>
    <x v="16"/>
    <x v="9"/>
    <s v="2025"/>
    <x v="6"/>
    <d v="2025-07-12T00:00:00"/>
    <d v="2025-07-12T00:00:00"/>
    <s v="Okay"/>
    <n v="23"/>
    <x v="0"/>
    <x v="3"/>
    <x v="8"/>
    <s v="Unknown"/>
    <s v="Europe→United Kingdom→Unknown"/>
    <s v="Non-Profit"/>
    <x v="4"/>
    <x v="15"/>
    <x v="2"/>
    <e v="#REF!"/>
    <x v="120"/>
    <n v="801.24"/>
    <n v="1959.09"/>
    <n v="1959.09"/>
    <s v="High"/>
    <n v="0.123"/>
    <n v="0.123"/>
    <x v="0"/>
    <n v="23"/>
    <n v="39516.804389999998"/>
    <n v="18428.52"/>
    <n v="21088.284389999997"/>
    <n v="0.53365358650651762"/>
  </r>
  <r>
    <s v="ORD-2023-576840"/>
    <x v="112"/>
    <d v="2023-11-19T00:00:00"/>
    <x v="30"/>
    <x v="10"/>
    <s v="2023"/>
    <x v="4"/>
    <d v="2023-12-13T00:00:00"/>
    <d v="2023-12-13T00:00:00"/>
    <s v="Okay"/>
    <n v="24"/>
    <x v="0"/>
    <x v="3"/>
    <x v="7"/>
    <s v="Lyon"/>
    <s v="Europe→France→Lyon"/>
    <s v="Non-Profit"/>
    <x v="4"/>
    <x v="10"/>
    <x v="5"/>
    <e v="#REF!"/>
    <x v="121"/>
    <n v="1297.42"/>
    <n v="2742.97"/>
    <n v="2742.97"/>
    <s v="High"/>
    <n v="6.9000000000000006E-2"/>
    <n v="6.9000000000000006E-2"/>
    <x v="0"/>
    <n v="9"/>
    <n v="22983.34563"/>
    <n v="11676.78"/>
    <n v="11306.565629999999"/>
    <n v="0.49194602961727291"/>
  </r>
  <r>
    <s v="ORD-2023-178249"/>
    <x v="113"/>
    <d v="2023-12-29T00:00:00"/>
    <x v="4"/>
    <x v="3"/>
    <s v="2023"/>
    <x v="4"/>
    <d v="2024-01-20T00:00:00"/>
    <d v="2024-01-20T00:00:00"/>
    <s v="Okay"/>
    <n v="22"/>
    <x v="0"/>
    <x v="0"/>
    <x v="0"/>
    <s v="Kisumu"/>
    <s v="Africa→Kenya→Kisumu"/>
    <s v="Corporate"/>
    <x v="4"/>
    <x v="4"/>
    <x v="3"/>
    <e v="#REF!"/>
    <x v="122"/>
    <n v="1395.49"/>
    <n v="1679.42"/>
    <n v="1679.42"/>
    <s v="Medium"/>
    <n v="0.20300000000000001"/>
    <n v="0.20300000000000001"/>
    <x v="0"/>
    <n v="12"/>
    <n v="16061.972879999999"/>
    <n v="16745.88"/>
    <n v="-683.90712000000167"/>
    <n v="-4.2579272490964493E-2"/>
  </r>
  <r>
    <s v="ORD-2024-588972"/>
    <x v="61"/>
    <d v="2024-11-02T00:00:00"/>
    <x v="18"/>
    <x v="10"/>
    <s v="2024"/>
    <x v="1"/>
    <d v="2024-11-29T00:00:00"/>
    <d v="2024-11-29T00:00:00"/>
    <s v="Okay"/>
    <n v="27"/>
    <x v="0"/>
    <x v="2"/>
    <x v="5"/>
    <s v="Brasília"/>
    <s v="Americas→Brazil→Brasília"/>
    <s v="Small Business"/>
    <x v="4"/>
    <x v="2"/>
    <x v="2"/>
    <e v="#REF!"/>
    <x v="123"/>
    <n v="1363.51"/>
    <n v="1433.9"/>
    <n v="1433.9"/>
    <s v="Medium"/>
    <n v="5.7000000000000002E-2"/>
    <n v="5.7000000000000002E-2"/>
    <x v="0"/>
    <n v="8"/>
    <n v="10817.3416"/>
    <n v="10908.08"/>
    <n v="-90.738400000000183"/>
    <n v="-8.3882346842037592E-3"/>
  </r>
  <r>
    <s v="ORD-2023-603238"/>
    <x v="114"/>
    <d v="2023-08-21T00:00:00"/>
    <x v="25"/>
    <x v="11"/>
    <s v="2023"/>
    <x v="10"/>
    <d v="2023-09-04T00:00:00"/>
    <d v="2023-09-04T00:00:00"/>
    <s v="Okay"/>
    <n v="14"/>
    <x v="0"/>
    <x v="2"/>
    <x v="3"/>
    <s v="Montreal"/>
    <s v="Americas→Canada→Montreal"/>
    <s v="Education"/>
    <x v="3"/>
    <x v="9"/>
    <x v="0"/>
    <e v="#REF!"/>
    <x v="124"/>
    <n v="178.19"/>
    <n v="284.43"/>
    <n v="284.43"/>
    <s v="Low"/>
    <n v="8.8999999999999996E-2"/>
    <n v="8.8999999999999996E-2"/>
    <x v="0"/>
    <n v="8"/>
    <n v="2072.9258400000003"/>
    <n v="1425.52"/>
    <n v="647.40584000000035"/>
    <n v="0.31231500302972742"/>
  </r>
  <r>
    <s v="ORD-2023-883066"/>
    <x v="115"/>
    <d v="2023-08-12T00:00:00"/>
    <x v="25"/>
    <x v="11"/>
    <s v="2023"/>
    <x v="10"/>
    <d v="2023-09-06T00:00:00"/>
    <d v="2023-09-06T00:00:00"/>
    <s v="Okay"/>
    <n v="25"/>
    <x v="0"/>
    <x v="1"/>
    <x v="9"/>
    <s v="Shanghai"/>
    <s v="Asia→China→Shanghai"/>
    <s v="Small Business"/>
    <x v="0"/>
    <x v="5"/>
    <x v="0"/>
    <e v="#REF!"/>
    <x v="125"/>
    <n v="950.77"/>
    <n v="694.78"/>
    <n v="694.78"/>
    <s v="Low"/>
    <n v="8.4000000000000005E-2"/>
    <n v="8.4000000000000005E-2"/>
    <x v="0"/>
    <n v="14"/>
    <n v="8909.8587200000002"/>
    <n v="13310.779999999999"/>
    <n v="-4400.9212799999987"/>
    <n v="-0.49393839097821279"/>
  </r>
  <r>
    <s v="ORD-2024-584090"/>
    <x v="116"/>
    <d v="2024-06-07T00:00:00"/>
    <x v="17"/>
    <x v="9"/>
    <s v="2024"/>
    <x v="5"/>
    <d v="2024-06-26T00:00:00"/>
    <d v="2024-06-26T00:00:00"/>
    <s v="Okay"/>
    <n v="19"/>
    <x v="0"/>
    <x v="3"/>
    <x v="6"/>
    <s v="Berlin"/>
    <s v="Europe→Germany→Berlin"/>
    <s v="Non-Profit"/>
    <x v="2"/>
    <x v="12"/>
    <x v="0"/>
    <e v="#REF!"/>
    <x v="126"/>
    <n v="1064.32"/>
    <n v="1848.39"/>
    <n v="1848.39"/>
    <s v="Medium"/>
    <n v="7.2999999999999995E-2"/>
    <n v="7.2999999999999995E-2"/>
    <x v="0"/>
    <n v="38"/>
    <n v="65111.38614000001"/>
    <n v="40444.159999999996"/>
    <n v="24667.226140000013"/>
    <n v="0.3788465827921631"/>
  </r>
  <r>
    <s v="ORD-2025-537785"/>
    <x v="117"/>
    <d v="2025-08-05T00:00:00"/>
    <x v="28"/>
    <x v="11"/>
    <s v="2025"/>
    <x v="7"/>
    <d v="2025-08-14T00:00:00"/>
    <d v="2025-08-14T00:00:00"/>
    <s v="Okay"/>
    <n v="9"/>
    <x v="0"/>
    <x v="3"/>
    <x v="8"/>
    <s v="London"/>
    <s v="Europe→United Kingdom→London"/>
    <s v="Non-Profit"/>
    <x v="4"/>
    <x v="6"/>
    <x v="0"/>
    <e v="#REF!"/>
    <x v="127"/>
    <n v="41.76"/>
    <n v="45.19"/>
    <n v="45.19"/>
    <s v="Low"/>
    <n v="0.17899999999999999"/>
    <n v="0.17899999999999999"/>
    <x v="0"/>
    <n v="23"/>
    <n v="853.32276999999988"/>
    <n v="960.4799999999999"/>
    <n v="-107.15723000000003"/>
    <n v="-0.12557643340514638"/>
  </r>
  <r>
    <s v="ORD-2024-605518"/>
    <x v="118"/>
    <d v="2024-05-30T00:00:00"/>
    <x v="7"/>
    <x v="5"/>
    <s v="2024"/>
    <x v="5"/>
    <d v="2024-06-13T00:00:00"/>
    <d v="2024-06-13T00:00:00"/>
    <s v="Okay"/>
    <n v="14"/>
    <x v="0"/>
    <x v="2"/>
    <x v="10"/>
    <s v="San Francisco"/>
    <s v="Americas→USA→San Francisco"/>
    <s v="Small Business"/>
    <x v="0"/>
    <x v="9"/>
    <x v="3"/>
    <e v="#REF!"/>
    <x v="128"/>
    <n v="157.78"/>
    <n v="361.1"/>
    <n v="361.1"/>
    <s v="Low"/>
    <n v="0.187"/>
    <n v="0.187"/>
    <x v="0"/>
    <n v="9"/>
    <n v="2642.1686999999997"/>
    <n v="1420.02"/>
    <n v="1222.1486999999997"/>
    <n v="0.46255513510549112"/>
  </r>
  <r>
    <s v="ORD-2023-521818"/>
    <x v="119"/>
    <d v="2023-01-22T00:00:00"/>
    <x v="5"/>
    <x v="4"/>
    <s v="2023"/>
    <x v="2"/>
    <d v="2023-01-30T00:00:00"/>
    <d v="2023-01-30T00:00:00"/>
    <s v="Okay"/>
    <n v="8"/>
    <x v="0"/>
    <x v="2"/>
    <x v="10"/>
    <s v="San Francisco"/>
    <s v="Americas→USA→San Francisco"/>
    <s v="Small Business"/>
    <x v="1"/>
    <x v="8"/>
    <x v="2"/>
    <e v="#REF!"/>
    <x v="129"/>
    <n v="413.52"/>
    <n v="1004.34"/>
    <n v="1004.34"/>
    <s v="Low"/>
    <n v="0.111"/>
    <n v="0.111"/>
    <x v="0"/>
    <n v="18"/>
    <n v="16071.44868"/>
    <n v="7443.36"/>
    <n v="8628.0886800000007"/>
    <n v="0.53685817948304593"/>
  </r>
  <r>
    <s v="ORD-2025-650719"/>
    <x v="120"/>
    <d v="2025-02-12T00:00:00"/>
    <x v="26"/>
    <x v="2"/>
    <s v="2025"/>
    <x v="3"/>
    <d v="2025-02-28T00:00:00"/>
    <d v="2025-02-28T00:00:00"/>
    <s v="Okay"/>
    <n v="16"/>
    <x v="0"/>
    <x v="2"/>
    <x v="5"/>
    <s v="São Paulo"/>
    <s v="Americas→Brazil→São Paulo"/>
    <s v="Non-Profit"/>
    <x v="4"/>
    <x v="5"/>
    <x v="5"/>
    <e v="#REF!"/>
    <x v="130"/>
    <n v="414.95"/>
    <n v="1027.73"/>
    <n v="1027.73"/>
    <s v="Low"/>
    <n v="6.3E-2"/>
    <n v="6.3E-2"/>
    <x v="0"/>
    <n v="8"/>
    <n v="7703.8640800000003"/>
    <n v="3319.6"/>
    <n v="4384.2640800000008"/>
    <n v="0.56909935513815568"/>
  </r>
  <r>
    <s v="ORD-2025-501927"/>
    <x v="121"/>
    <d v="2025-03-03T00:00:00"/>
    <x v="3"/>
    <x v="0"/>
    <s v="2025"/>
    <x v="3"/>
    <d v="2025-03-24T00:00:00"/>
    <d v="2025-03-24T00:00:00"/>
    <s v="Okay"/>
    <n v="21"/>
    <x v="0"/>
    <x v="0"/>
    <x v="1"/>
    <s v="Abuja"/>
    <s v="Africa→Nigeria→Abuja"/>
    <s v="Enterprise"/>
    <x v="4"/>
    <x v="10"/>
    <x v="6"/>
    <e v="#REF!"/>
    <x v="131"/>
    <n v="555.95000000000005"/>
    <n v="468.09"/>
    <n v="468.09"/>
    <s v="Low"/>
    <n v="0.14199999999999999"/>
    <n v="0.14199999999999999"/>
    <x v="0"/>
    <n v="11"/>
    <n v="4417.8334199999999"/>
    <n v="6115.4500000000007"/>
    <n v="-1697.6165800000008"/>
    <n v="-0.38426450674095375"/>
  </r>
  <r>
    <s v="ORD-2023-430904"/>
    <x v="122"/>
    <d v="2023-01-27T00:00:00"/>
    <x v="5"/>
    <x v="4"/>
    <s v="2023"/>
    <x v="2"/>
    <d v="2023-01-31T00:00:00"/>
    <d v="2023-01-31T00:00:00"/>
    <s v="Okay"/>
    <n v="4"/>
    <x v="1"/>
    <x v="3"/>
    <x v="8"/>
    <s v="Manchester"/>
    <s v="Europe→United Kingdom→Manchester"/>
    <s v="Enterprise"/>
    <x v="1"/>
    <x v="13"/>
    <x v="4"/>
    <e v="#REF!"/>
    <x v="132"/>
    <n v="941.2"/>
    <n v="668.02"/>
    <n v="668.02"/>
    <s v="Low"/>
    <n v="0.22"/>
    <n v="0.22"/>
    <x v="0"/>
    <n v="16"/>
    <n v="8336.8896000000004"/>
    <n v="15059.2"/>
    <n v="-6722.3104000000003"/>
    <n v="-0.80633314371825193"/>
  </r>
  <r>
    <s v="ORD-2025-354346"/>
    <x v="123"/>
    <d v="2025-01-09T00:00:00"/>
    <x v="10"/>
    <x v="4"/>
    <s v="2025"/>
    <x v="3"/>
    <d v="2025-01-15T00:00:00"/>
    <d v="2025-01-15T00:00:00"/>
    <s v="Okay"/>
    <n v="6"/>
    <x v="1"/>
    <x v="1"/>
    <x v="9"/>
    <s v="Beijing"/>
    <s v="Asia→China→Beijing"/>
    <s v="Education"/>
    <x v="1"/>
    <x v="0"/>
    <x v="3"/>
    <e v="#REF!"/>
    <x v="133"/>
    <n v="304.77999999999997"/>
    <n v="537.27"/>
    <n v="537.27"/>
    <s v="Low"/>
    <n v="0.187"/>
    <n v="0.187"/>
    <x v="0"/>
    <n v="8"/>
    <n v="3494.4040799999998"/>
    <n v="2438.2399999999998"/>
    <n v="1056.16408"/>
    <n v="0.3022444044307549"/>
  </r>
  <r>
    <s v="ORD-2024-164288"/>
    <x v="124"/>
    <d v="2024-12-21T00:00:00"/>
    <x v="6"/>
    <x v="3"/>
    <s v="2024"/>
    <x v="1"/>
    <d v="2024-12-26T00:00:00"/>
    <d v="2024-12-26T00:00:00"/>
    <s v="Okay"/>
    <n v="5"/>
    <x v="1"/>
    <x v="2"/>
    <x v="10"/>
    <s v="San Francisco"/>
    <s v="Americas→USA→San Francisco"/>
    <s v="Consumer"/>
    <x v="2"/>
    <x v="12"/>
    <x v="1"/>
    <e v="#REF!"/>
    <x v="134"/>
    <n v="699.57"/>
    <n v="572.71"/>
    <n v="572.71"/>
    <s v="Low"/>
    <n v="0.192"/>
    <n v="0.192"/>
    <x v="0"/>
    <n v="26"/>
    <n v="12031.491680000001"/>
    <n v="18188.82"/>
    <n v="-6157.3283199999987"/>
    <n v="-0.51176765805651114"/>
  </r>
  <r>
    <s v="ORD-2023-867285"/>
    <x v="125"/>
    <d v="2023-04-12T00:00:00"/>
    <x v="12"/>
    <x v="7"/>
    <s v="2023"/>
    <x v="8"/>
    <d v="2023-04-17T00:00:00"/>
    <d v="2023-04-17T00:00:00"/>
    <s v="Okay"/>
    <n v="5"/>
    <x v="1"/>
    <x v="3"/>
    <x v="7"/>
    <s v="Lyon"/>
    <s v="Europe→France→Lyon"/>
    <s v="Enterprise"/>
    <x v="4"/>
    <x v="6"/>
    <x v="5"/>
    <e v="#REF!"/>
    <x v="135"/>
    <n v="1087.81"/>
    <n v="2323.87"/>
    <n v="2323.87"/>
    <s v="High"/>
    <n v="9.4E-2"/>
    <n v="9.4E-2"/>
    <x v="0"/>
    <n v="13"/>
    <n v="27370.540859999997"/>
    <n v="14141.529999999999"/>
    <n v="13229.010859999999"/>
    <n v="0.48333026839572651"/>
  </r>
  <r>
    <s v="ORD-2024-836421"/>
    <x v="126"/>
    <d v="2024-12-14T00:00:00"/>
    <x v="6"/>
    <x v="3"/>
    <s v="2024"/>
    <x v="1"/>
    <d v="2025-01-12T00:00:00"/>
    <d v="2025-01-12T00:00:00"/>
    <s v="Okay"/>
    <n v="29"/>
    <x v="0"/>
    <x v="1"/>
    <x v="9"/>
    <s v="Shenzhen"/>
    <s v="Asia→China→Shenzhen"/>
    <s v="Education"/>
    <x v="1"/>
    <x v="1"/>
    <x v="0"/>
    <e v="#REF!"/>
    <x v="136"/>
    <n v="1412.15"/>
    <n v="1631.04"/>
    <n v="1631.04"/>
    <s v="Medium"/>
    <n v="8.9999999999999993E-3"/>
    <n v="8.9999999999999993E-3"/>
    <x v="0"/>
    <n v="6"/>
    <n v="9698.1638399999993"/>
    <n v="8472.9000000000015"/>
    <n v="1225.2638399999978"/>
    <n v="0.12633977526203535"/>
  </r>
  <r>
    <s v="ORD-2023-613287"/>
    <x v="50"/>
    <d v="2023-03-31T00:00:00"/>
    <x v="22"/>
    <x v="0"/>
    <s v="2023"/>
    <x v="2"/>
    <d v="2023-04-12T00:00:00"/>
    <d v="2023-04-12T00:00:00"/>
    <s v="Okay"/>
    <n v="12"/>
    <x v="0"/>
    <x v="0"/>
    <x v="0"/>
    <s v="Mombasa"/>
    <s v="Africa→Kenya→Mombasa"/>
    <s v="Small Business"/>
    <x v="1"/>
    <x v="0"/>
    <x v="3"/>
    <e v="#REF!"/>
    <x v="137"/>
    <n v="304.22000000000003"/>
    <n v="393.31"/>
    <n v="393.31"/>
    <s v="Low"/>
    <n v="0.26500000000000001"/>
    <n v="0.26500000000000001"/>
    <x v="0"/>
    <n v="15"/>
    <n v="4336.2427499999994"/>
    <n v="4563.3"/>
    <n v="-227.05725000000075"/>
    <n v="-5.2362670424759034E-2"/>
  </r>
  <r>
    <s v="ORD-2024-783321"/>
    <x v="127"/>
    <d v="2024-11-20T00:00:00"/>
    <x v="18"/>
    <x v="10"/>
    <s v="2024"/>
    <x v="1"/>
    <d v="2024-12-15T00:00:00"/>
    <d v="2024-12-15T00:00:00"/>
    <s v="Okay"/>
    <n v="25"/>
    <x v="0"/>
    <x v="3"/>
    <x v="7"/>
    <s v="Paris"/>
    <s v="Europe→France→Paris"/>
    <s v="Corporate"/>
    <x v="1"/>
    <x v="3"/>
    <x v="1"/>
    <e v="#REF!"/>
    <x v="138"/>
    <n v="1203.58"/>
    <n v="1856.16"/>
    <n v="1856.16"/>
    <s v="Medium"/>
    <n v="0.129"/>
    <n v="0.129"/>
    <x v="0"/>
    <n v="22"/>
    <n v="35567.737920000007"/>
    <n v="26478.76"/>
    <n v="9088.9779200000085"/>
    <n v="0.25553994860295032"/>
  </r>
  <r>
    <s v="ORD-2024-232632"/>
    <x v="128"/>
    <d v="2024-02-14T00:00:00"/>
    <x v="31"/>
    <x v="2"/>
    <s v="2024"/>
    <x v="0"/>
    <d v="2024-02-14T00:00:00"/>
    <d v="2024-02-14T00:00:00"/>
    <s v="Okay"/>
    <n v="0"/>
    <x v="1"/>
    <x v="1"/>
    <x v="9"/>
    <s v="Beijing"/>
    <s v="Asia→China→Beijing"/>
    <s v="Corporate"/>
    <x v="3"/>
    <x v="4"/>
    <x v="6"/>
    <e v="#REF!"/>
    <x v="139"/>
    <n v="65.930000000000007"/>
    <n v="84.9"/>
    <n v="84.9"/>
    <s v="Low"/>
    <n v="0.25900000000000001"/>
    <n v="0.25900000000000001"/>
    <x v="0"/>
    <n v="23"/>
    <n v="1446.9507000000001"/>
    <n v="1516.39"/>
    <n v="-69.439300000000003"/>
    <n v="-4.7990093926489688E-2"/>
  </r>
  <r>
    <s v="ORD-2023-906481"/>
    <x v="129"/>
    <d v="2023-05-02T00:00:00"/>
    <x v="15"/>
    <x v="5"/>
    <s v="2023"/>
    <x v="8"/>
    <d v="2023-05-18T00:00:00"/>
    <d v="2023-05-18T00:00:00"/>
    <s v="Okay"/>
    <n v="16"/>
    <x v="0"/>
    <x v="1"/>
    <x v="4"/>
    <s v="Delhi"/>
    <s v="Asia→India→Delhi"/>
    <s v="Small Business"/>
    <x v="2"/>
    <x v="11"/>
    <x v="5"/>
    <e v="#REF!"/>
    <x v="140"/>
    <n v="1463.92"/>
    <n v="2252.2399999999998"/>
    <n v="2252.2399999999998"/>
    <s v="High"/>
    <n v="0.11799999999999999"/>
    <n v="0.11799999999999999"/>
    <x v="0"/>
    <n v="44"/>
    <n v="87404.929919999995"/>
    <n v="64412.480000000003"/>
    <n v="22992.449919999992"/>
    <n v="0.26305667130040061"/>
  </r>
  <r>
    <s v="ORD-2024-902741"/>
    <x v="130"/>
    <d v="2024-12-23T00:00:00"/>
    <x v="6"/>
    <x v="3"/>
    <s v="2024"/>
    <x v="1"/>
    <d v="2025-01-11T00:00:00"/>
    <d v="2025-01-11T00:00:00"/>
    <s v="Okay"/>
    <n v="19"/>
    <x v="0"/>
    <x v="3"/>
    <x v="6"/>
    <s v="Berlin"/>
    <s v="Europe→Germany→Berlin"/>
    <s v="Education"/>
    <x v="0"/>
    <x v="11"/>
    <x v="3"/>
    <e v="#REF!"/>
    <x v="141"/>
    <n v="501.81"/>
    <n v="921.62"/>
    <n v="921.62"/>
    <s v="Low"/>
    <n v="0.01"/>
    <n v="0.01"/>
    <x v="0"/>
    <n v="9"/>
    <n v="8211.6342000000004"/>
    <n v="4516.29"/>
    <n v="3695.3442000000005"/>
    <n v="0.45001325071202031"/>
  </r>
  <r>
    <s v="ORD-2023-912395"/>
    <x v="131"/>
    <d v="2023-07-26T00:00:00"/>
    <x v="24"/>
    <x v="8"/>
    <s v="2023"/>
    <x v="10"/>
    <d v="2023-08-25T00:00:00"/>
    <d v="2023-08-25T00:00:00"/>
    <s v="Okay"/>
    <n v="30"/>
    <x v="0"/>
    <x v="2"/>
    <x v="10"/>
    <s v="New York"/>
    <s v="Americas→USA→New York"/>
    <s v="Consumer"/>
    <x v="0"/>
    <x v="12"/>
    <x v="6"/>
    <e v="#REF!"/>
    <x v="142"/>
    <n v="1261.48"/>
    <n v="1643.18"/>
    <n v="1643.18"/>
    <s v="Medium"/>
    <n v="0.151"/>
    <n v="0.151"/>
    <x v="0"/>
    <n v="23"/>
    <n v="32086.37586"/>
    <n v="29014.04"/>
    <n v="3072.3358599999992"/>
    <n v="9.5752037357079045E-2"/>
  </r>
  <r>
    <s v="ORD-2024-389102"/>
    <x v="132"/>
    <d v="2024-06-15T00:00:00"/>
    <x v="17"/>
    <x v="9"/>
    <s v="2024"/>
    <x v="5"/>
    <d v="2024-07-06T00:00:00"/>
    <d v="2024-07-06T00:00:00"/>
    <s v="Okay"/>
    <n v="21"/>
    <x v="0"/>
    <x v="2"/>
    <x v="3"/>
    <s v="Toronto"/>
    <s v="Americas→Canada→Toronto"/>
    <s v="Enterprise"/>
    <x v="3"/>
    <x v="4"/>
    <x v="1"/>
    <e v="#REF!"/>
    <x v="143"/>
    <n v="817.23"/>
    <n v="1467.17"/>
    <n v="1467.17"/>
    <s v="Medium"/>
    <n v="0.245"/>
    <n v="0.245"/>
    <x v="0"/>
    <n v="9"/>
    <n v="9969.4201499999999"/>
    <n v="7355.07"/>
    <n v="2614.3501500000002"/>
    <n v="0.26223693160328893"/>
  </r>
  <r>
    <s v="ORD-2023-309373"/>
    <x v="133"/>
    <d v="2023-07-05T00:00:00"/>
    <x v="24"/>
    <x v="8"/>
    <s v="2023"/>
    <x v="10"/>
    <d v="2023-07-14T00:00:00"/>
    <d v="2023-07-14T00:00:00"/>
    <s v="Okay"/>
    <n v="9"/>
    <x v="0"/>
    <x v="2"/>
    <x v="5"/>
    <s v="Brasília"/>
    <s v="Americas→Brazil→Brasília"/>
    <s v="Enterprise"/>
    <x v="4"/>
    <x v="5"/>
    <x v="2"/>
    <e v="#REF!"/>
    <x v="144"/>
    <n v="578.85"/>
    <n v="998.76"/>
    <n v="998.76"/>
    <s v="Low"/>
    <n v="8.2000000000000003E-2"/>
    <n v="8.2000000000000003E-2"/>
    <x v="0"/>
    <n v="28"/>
    <n v="25672.127039999999"/>
    <n v="16207.800000000001"/>
    <n v="9464.3270399999983"/>
    <n v="0.36866158480960831"/>
  </r>
  <r>
    <s v="ORD-2023-825495"/>
    <x v="134"/>
    <d v="2023-11-29T00:00:00"/>
    <x v="30"/>
    <x v="10"/>
    <s v="2023"/>
    <x v="4"/>
    <d v="2023-11-29T00:00:00"/>
    <d v="2023-12-07T00:00:00"/>
    <s v="Invalid"/>
    <n v="8"/>
    <x v="0"/>
    <x v="0"/>
    <x v="11"/>
    <s v="Durban"/>
    <s v="Africa→South Africa→Durban"/>
    <s v="Small Business"/>
    <x v="2"/>
    <x v="6"/>
    <x v="4"/>
    <e v="#REF!"/>
    <x v="145"/>
    <n v="275.56"/>
    <n v="630.72"/>
    <n v="630.72"/>
    <s v="Low"/>
    <n v="0.107"/>
    <n v="0.107"/>
    <x v="0"/>
    <n v="23"/>
    <n v="12954.358080000002"/>
    <n v="6337.88"/>
    <n v="6616.4780800000017"/>
    <n v="0.5107530638831933"/>
  </r>
  <r>
    <s v="ORD-2025-244832"/>
    <x v="135"/>
    <d v="2025-09-11T00:00:00"/>
    <x v="11"/>
    <x v="6"/>
    <s v="2025"/>
    <x v="7"/>
    <d v="2025-09-28T00:00:00"/>
    <d v="2025-09-28T00:00:00"/>
    <s v="Okay"/>
    <n v="17"/>
    <x v="0"/>
    <x v="0"/>
    <x v="0"/>
    <s v="Nairobi"/>
    <s v="Africa→Kenya→Nairobi"/>
    <s v="Non-Profit"/>
    <x v="3"/>
    <x v="1"/>
    <x v="4"/>
    <e v="#REF!"/>
    <x v="146"/>
    <n v="891.46"/>
    <n v="728.61"/>
    <n v="728.61"/>
    <s v="Low"/>
    <n v="0.185"/>
    <n v="0.185"/>
    <x v="0"/>
    <n v="6"/>
    <n v="3562.9028999999996"/>
    <n v="5348.76"/>
    <n v="-1785.8571000000006"/>
    <n v="-0.50123653383874167"/>
  </r>
  <r>
    <s v="ORD-2024-211453"/>
    <x v="136"/>
    <d v="2024-04-04T00:00:00"/>
    <x v="20"/>
    <x v="7"/>
    <s v="2024"/>
    <x v="5"/>
    <d v="2024-04-24T00:00:00"/>
    <d v="2024-04-24T00:00:00"/>
    <s v="Okay"/>
    <n v="20"/>
    <x v="0"/>
    <x v="3"/>
    <x v="6"/>
    <s v="Frankfurt"/>
    <s v="Europe→Germany→Frankfurt"/>
    <s v="Non-Profit"/>
    <x v="4"/>
    <x v="7"/>
    <x v="6"/>
    <e v="#REF!"/>
    <x v="147"/>
    <n v="683.42"/>
    <n v="951.51"/>
    <n v="951.51"/>
    <s v="Low"/>
    <n v="0"/>
    <n v="0"/>
    <x v="0"/>
    <n v="14"/>
    <n v="13321.14"/>
    <n v="9567.8799999999992"/>
    <n v="3753.26"/>
    <n v="0.28175216235247136"/>
  </r>
  <r>
    <s v="ORD-2023-192324"/>
    <x v="137"/>
    <d v="2023-09-14T00:00:00"/>
    <x v="27"/>
    <x v="6"/>
    <s v="2023"/>
    <x v="10"/>
    <d v="2023-09-16T00:00:00"/>
    <d v="2023-09-16T00:00:00"/>
    <s v="Okay"/>
    <n v="2"/>
    <x v="1"/>
    <x v="3"/>
    <x v="7"/>
    <s v="Lyon"/>
    <s v="Europe→France→Lyon"/>
    <s v="Non-Profit"/>
    <x v="4"/>
    <x v="5"/>
    <x v="1"/>
    <e v="#REF!"/>
    <x v="148"/>
    <n v="376.83"/>
    <n v="732.88"/>
    <n v="732.88"/>
    <s v="Low"/>
    <n v="0.188"/>
    <n v="0.188"/>
    <x v="0"/>
    <n v="25"/>
    <n v="14877.464000000002"/>
    <n v="9420.75"/>
    <n v="5456.7140000000018"/>
    <n v="0.36677716040852132"/>
  </r>
  <r>
    <s v="ORD-2024-438404"/>
    <x v="138"/>
    <d v="2024-09-23T00:00:00"/>
    <x v="29"/>
    <x v="6"/>
    <s v="2024"/>
    <x v="9"/>
    <d v="2024-10-18T00:00:00"/>
    <d v="2024-10-18T00:00:00"/>
    <s v="Okay"/>
    <n v="25"/>
    <x v="0"/>
    <x v="2"/>
    <x v="3"/>
    <s v="Vancouver"/>
    <s v="Americas→Canada→Vancouver"/>
    <s v="Small Business"/>
    <x v="1"/>
    <x v="13"/>
    <x v="3"/>
    <e v="#REF!"/>
    <x v="149"/>
    <n v="1297"/>
    <n v="2411.52"/>
    <n v="2411.52"/>
    <s v="High"/>
    <n v="2.1000000000000001E-2"/>
    <n v="2.1000000000000001E-2"/>
    <x v="0"/>
    <n v="18"/>
    <n v="42495.805439999996"/>
    <n v="23346"/>
    <n v="19149.805439999996"/>
    <n v="0.45062813239385913"/>
  </r>
  <r>
    <s v="ORD-2025-246470"/>
    <x v="139"/>
    <d v="2025-04-16T00:00:00"/>
    <x v="19"/>
    <x v="7"/>
    <s v="2025"/>
    <x v="6"/>
    <d v="2025-05-16T00:00:00"/>
    <d v="2025-05-16T00:00:00"/>
    <s v="Okay"/>
    <n v="30"/>
    <x v="0"/>
    <x v="2"/>
    <x v="3"/>
    <s v="Montreal"/>
    <s v="Americas→Canada→Montreal"/>
    <s v="Enterprise"/>
    <x v="3"/>
    <x v="11"/>
    <x v="1"/>
    <e v="#REF!"/>
    <x v="150"/>
    <n v="763.32"/>
    <n v="568.29"/>
    <n v="568.29"/>
    <s v="Low"/>
    <n v="0.13100000000000001"/>
    <n v="0.13100000000000001"/>
    <x v="0"/>
    <n v="16"/>
    <n v="7901.5041599999995"/>
    <n v="12213.12"/>
    <n v="-4311.6158400000013"/>
    <n v="-0.54567026134426555"/>
  </r>
  <r>
    <s v="ORD-2023-497686"/>
    <x v="140"/>
    <d v="2023-07-03T00:00:00"/>
    <x v="24"/>
    <x v="8"/>
    <s v="2023"/>
    <x v="10"/>
    <d v="2023-07-23T00:00:00"/>
    <d v="2023-07-23T00:00:00"/>
    <s v="Okay"/>
    <n v="20"/>
    <x v="0"/>
    <x v="0"/>
    <x v="11"/>
    <s v="Johannesburg"/>
    <s v="Africa→South Africa→Johannesburg"/>
    <s v="Small Business"/>
    <x v="3"/>
    <x v="9"/>
    <x v="4"/>
    <e v="#REF!"/>
    <x v="151"/>
    <n v="1001.96"/>
    <n v="1254.95"/>
    <n v="1254.95"/>
    <s v="Medium"/>
    <n v="4.4999999999999998E-2"/>
    <n v="4.4999999999999998E-2"/>
    <x v="0"/>
    <n v="18"/>
    <n v="21572.590500000002"/>
    <n v="18035.28"/>
    <n v="3537.3105000000032"/>
    <n v="0.16397244920585699"/>
  </r>
  <r>
    <s v="ORD-2023-596758"/>
    <x v="141"/>
    <d v="2023-12-05T00:00:00"/>
    <x v="4"/>
    <x v="3"/>
    <s v="2023"/>
    <x v="4"/>
    <d v="2023-12-05T00:00:00"/>
    <d v="2023-12-14T00:00:00"/>
    <s v="Invalid"/>
    <n v="9"/>
    <x v="0"/>
    <x v="1"/>
    <x v="2"/>
    <s v="Tokyo"/>
    <s v="Asia→Japan→Tokyo"/>
    <s v="Non-Profit"/>
    <x v="2"/>
    <x v="10"/>
    <x v="1"/>
    <e v="#REF!"/>
    <x v="152"/>
    <n v="1097.5899999999999"/>
    <n v="845.55"/>
    <n v="845.55"/>
    <s v="Low"/>
    <n v="0.184"/>
    <n v="0.184"/>
    <x v="0"/>
    <n v="6"/>
    <n v="4139.8127999999997"/>
    <n v="6585.5399999999991"/>
    <n v="-2445.7271999999994"/>
    <n v="-0.59078207594314402"/>
  </r>
  <r>
    <s v="ORD-2024-201376"/>
    <x v="142"/>
    <d v="2024-02-18T00:00:00"/>
    <x v="31"/>
    <x v="2"/>
    <s v="2024"/>
    <x v="0"/>
    <d v="2024-03-04T00:00:00"/>
    <d v="2024-03-04T00:00:00"/>
    <s v="Okay"/>
    <n v="15"/>
    <x v="0"/>
    <x v="0"/>
    <x v="0"/>
    <s v="Kisumu"/>
    <s v="Africa→Kenya→Kisumu"/>
    <s v="Education"/>
    <x v="4"/>
    <x v="11"/>
    <x v="1"/>
    <e v="#REF!"/>
    <x v="153"/>
    <n v="928.68"/>
    <n v="2145.17"/>
    <n v="2145.17"/>
    <s v="High"/>
    <n v="0.13600000000000001"/>
    <n v="0.13600000000000001"/>
    <x v="0"/>
    <n v="16"/>
    <n v="29654.83008"/>
    <n v="14858.88"/>
    <n v="14795.950080000001"/>
    <n v="0.49893896003062177"/>
  </r>
  <r>
    <s v="ORD-2023-842488"/>
    <x v="143"/>
    <d v="2023-10-31T00:00:00"/>
    <x v="32"/>
    <x v="1"/>
    <s v="2023"/>
    <x v="4"/>
    <d v="2023-11-02T00:00:00"/>
    <d v="2023-11-02T00:00:00"/>
    <s v="Okay"/>
    <n v="2"/>
    <x v="1"/>
    <x v="0"/>
    <x v="0"/>
    <s v="Kisumu"/>
    <s v="Africa→Kenya→Kisumu"/>
    <s v="Education"/>
    <x v="0"/>
    <x v="7"/>
    <x v="6"/>
    <e v="#REF!"/>
    <x v="154"/>
    <n v="867.89"/>
    <n v="1349.94"/>
    <n v="1349.94"/>
    <s v="Medium"/>
    <n v="0.184"/>
    <n v="0.184"/>
    <x v="0"/>
    <n v="10"/>
    <n v="11015.510400000003"/>
    <n v="8678.9"/>
    <n v="2336.6104000000032"/>
    <n v="0.21212003031652557"/>
  </r>
  <r>
    <s v="ORD-2024-136321"/>
    <x v="144"/>
    <d v="2024-08-07T00:00:00"/>
    <x v="21"/>
    <x v="11"/>
    <s v="2024"/>
    <x v="9"/>
    <d v="2024-08-17T00:00:00"/>
    <d v="2024-08-17T00:00:00"/>
    <s v="Okay"/>
    <n v="10"/>
    <x v="0"/>
    <x v="1"/>
    <x v="2"/>
    <s v="Osaka"/>
    <s v="Asia→Japan→Osaka"/>
    <s v="Consumer"/>
    <x v="1"/>
    <x v="11"/>
    <x v="2"/>
    <e v="#REF!"/>
    <x v="155"/>
    <n v="436.58"/>
    <n v="527.48"/>
    <n v="527.48"/>
    <s v="Low"/>
    <n v="0.111"/>
    <n v="0.111"/>
    <x v="0"/>
    <n v="19"/>
    <n v="8909.6646800000017"/>
    <n v="8295.02"/>
    <n v="614.64468000000124"/>
    <n v="6.8986286473802644E-2"/>
  </r>
  <r>
    <s v="ORD-2024-764468"/>
    <x v="145"/>
    <d v="2024-02-01T00:00:00"/>
    <x v="31"/>
    <x v="2"/>
    <s v="2024"/>
    <x v="0"/>
    <d v="2024-02-21T00:00:00"/>
    <d v="2024-02-21T00:00:00"/>
    <s v="Okay"/>
    <n v="20"/>
    <x v="0"/>
    <x v="3"/>
    <x v="7"/>
    <s v="Paris"/>
    <s v="Europe→France→Paris"/>
    <s v="Small Business"/>
    <x v="2"/>
    <x v="8"/>
    <x v="2"/>
    <e v="#REF!"/>
    <x v="156"/>
    <n v="656.2"/>
    <n v="1467.17"/>
    <n v="1467.17"/>
    <s v="Medium"/>
    <n v="1.7999999999999999E-2"/>
    <n v="1.7999999999999999E-2"/>
    <x v="0"/>
    <n v="5"/>
    <n v="7203.8047000000006"/>
    <n v="3281"/>
    <n v="3922.8047000000006"/>
    <n v="0.54454623124360946"/>
  </r>
  <r>
    <s v="ORD-2024-553449"/>
    <x v="38"/>
    <d v="2024-08-27T00:00:00"/>
    <x v="21"/>
    <x v="11"/>
    <s v="2024"/>
    <x v="9"/>
    <d v="2024-09-18T00:00:00"/>
    <d v="2024-09-18T00:00:00"/>
    <s v="Okay"/>
    <n v="22"/>
    <x v="0"/>
    <x v="1"/>
    <x v="4"/>
    <s v="Delhi"/>
    <s v="Asia→India→Delhi"/>
    <s v="Consumer"/>
    <x v="4"/>
    <x v="5"/>
    <x v="0"/>
    <e v="#REF!"/>
    <x v="157"/>
    <n v="896.75"/>
    <n v="1651.14"/>
    <n v="1651.14"/>
    <s v="Medium"/>
    <n v="2.5000000000000001E-2"/>
    <n v="2.5000000000000001E-2"/>
    <x v="0"/>
    <n v="15"/>
    <n v="24147.922500000001"/>
    <n v="13451.25"/>
    <n v="10696.672500000001"/>
    <n v="0.44296450346815552"/>
  </r>
  <r>
    <s v="ORD-2025-766923"/>
    <x v="146"/>
    <d v="2025-02-15T00:00:00"/>
    <x v="26"/>
    <x v="2"/>
    <s v="2025"/>
    <x v="3"/>
    <d v="2025-02-15T00:00:00"/>
    <d v="2025-02-15T00:00:00"/>
    <s v="Okay"/>
    <n v="0"/>
    <x v="1"/>
    <x v="3"/>
    <x v="6"/>
    <s v="Frankfurt"/>
    <s v="Europe→Germany→Frankfurt"/>
    <s v="Small Business"/>
    <x v="2"/>
    <x v="4"/>
    <x v="6"/>
    <e v="#REF!"/>
    <x v="158"/>
    <n v="815.83"/>
    <n v="1982.18"/>
    <n v="1982.18"/>
    <s v="High"/>
    <n v="0.127"/>
    <n v="0.127"/>
    <x v="0"/>
    <n v="6"/>
    <n v="10382.65884"/>
    <n v="4894.9800000000005"/>
    <n v="5487.6788399999996"/>
    <n v="0.52854272923408507"/>
  </r>
  <r>
    <s v="ORD-2025-418232"/>
    <x v="90"/>
    <d v="2025-08-01T00:00:00"/>
    <x v="28"/>
    <x v="11"/>
    <s v="2025"/>
    <x v="7"/>
    <d v="2025-08-21T00:00:00"/>
    <d v="2025-08-21T00:00:00"/>
    <s v="Okay"/>
    <n v="20"/>
    <x v="0"/>
    <x v="1"/>
    <x v="9"/>
    <s v="Shanghai"/>
    <s v="Asia→China→Shanghai"/>
    <s v="Corporate"/>
    <x v="4"/>
    <x v="2"/>
    <x v="3"/>
    <e v="#REF!"/>
    <x v="159"/>
    <n v="1220.4100000000001"/>
    <n v="2552.2199999999998"/>
    <n v="2552.2199999999998"/>
    <s v="High"/>
    <n v="0.18099999999999999"/>
    <n v="0.18099999999999999"/>
    <x v="0"/>
    <n v="14"/>
    <n v="29263.754519999995"/>
    <n v="17085.740000000002"/>
    <n v="12178.014519999993"/>
    <n v="0.41614668793360271"/>
  </r>
  <r>
    <s v="ORD-2023-848013"/>
    <x v="147"/>
    <d v="2023-02-20T00:00:00"/>
    <x v="2"/>
    <x v="2"/>
    <s v="2023"/>
    <x v="2"/>
    <d v="2023-03-04T00:00:00"/>
    <d v="2023-03-04T00:00:00"/>
    <s v="Okay"/>
    <n v="12"/>
    <x v="0"/>
    <x v="1"/>
    <x v="4"/>
    <s v="Delhi"/>
    <s v="Asia→India→Delhi"/>
    <s v="Consumer"/>
    <x v="3"/>
    <x v="12"/>
    <x v="5"/>
    <e v="#REF!"/>
    <x v="160"/>
    <n v="299.75"/>
    <n v="523.01"/>
    <n v="523.01"/>
    <s v="Low"/>
    <n v="0.157"/>
    <n v="0.157"/>
    <x v="0"/>
    <n v="50"/>
    <n v="22044.871499999997"/>
    <n v="14987.5"/>
    <n v="7057.3714999999975"/>
    <n v="0.32013665854210122"/>
  </r>
  <r>
    <s v="ORD-2024-357368"/>
    <x v="148"/>
    <d v="2024-10-30T00:00:00"/>
    <x v="1"/>
    <x v="1"/>
    <s v="2024"/>
    <x v="1"/>
    <d v="2024-11-24T00:00:00"/>
    <d v="2024-11-24T00:00:00"/>
    <s v="Okay"/>
    <n v="25"/>
    <x v="0"/>
    <x v="1"/>
    <x v="9"/>
    <s v="Shenzhen"/>
    <s v="Asia→China→Shenzhen"/>
    <s v="Small Business"/>
    <x v="1"/>
    <x v="6"/>
    <x v="0"/>
    <e v="#REF!"/>
    <x v="161"/>
    <n v="811.05"/>
    <n v="1217.71"/>
    <n v="1217.71"/>
    <s v="Medium"/>
    <n v="7.1999999999999995E-2"/>
    <n v="7.1999999999999995E-2"/>
    <x v="0"/>
    <n v="5"/>
    <n v="5650.1744000000008"/>
    <n v="4055.25"/>
    <n v="1594.9244000000008"/>
    <n v="0.28227879125288602"/>
  </r>
  <r>
    <s v="ORD-2024-219735"/>
    <x v="149"/>
    <d v="2024-04-03T00:00:00"/>
    <x v="20"/>
    <x v="7"/>
    <s v="2024"/>
    <x v="5"/>
    <d v="2024-04-07T00:00:00"/>
    <d v="2024-04-07T00:00:00"/>
    <s v="Okay"/>
    <n v="4"/>
    <x v="1"/>
    <x v="2"/>
    <x v="5"/>
    <s v="Brasília"/>
    <s v="Americas→Brazil→Brasília"/>
    <s v="Non-Profit"/>
    <x v="4"/>
    <x v="13"/>
    <x v="3"/>
    <e v="#REF!"/>
    <x v="162"/>
    <n v="1023.27"/>
    <n v="1343.64"/>
    <n v="1343.64"/>
    <s v="Medium"/>
    <n v="0.13300000000000001"/>
    <n v="0.13300000000000001"/>
    <x v="0"/>
    <n v="7"/>
    <n v="8154.5511600000009"/>
    <n v="7162.8899999999994"/>
    <n v="991.66116000000147"/>
    <n v="0.12160830688810116"/>
  </r>
  <r>
    <s v="ORD-2023-240507"/>
    <x v="150"/>
    <d v="2023-03-25T00:00:00"/>
    <x v="22"/>
    <x v="0"/>
    <s v="2023"/>
    <x v="2"/>
    <d v="2023-03-26T00:00:00"/>
    <d v="2023-03-26T00:00:00"/>
    <s v="Okay"/>
    <n v="1"/>
    <x v="1"/>
    <x v="1"/>
    <x v="2"/>
    <s v="Osaka"/>
    <s v="Asia→Japan→Osaka"/>
    <s v="Small Business"/>
    <x v="3"/>
    <x v="2"/>
    <x v="5"/>
    <e v="#REF!"/>
    <x v="163"/>
    <n v="135.12"/>
    <n v="301.7"/>
    <n v="301.7"/>
    <s v="Low"/>
    <n v="0.14000000000000001"/>
    <n v="0.14000000000000001"/>
    <x v="0"/>
    <n v="47"/>
    <n v="12194.714"/>
    <n v="6350.64"/>
    <n v="5844.0739999999996"/>
    <n v="0.47923009920527859"/>
  </r>
  <r>
    <s v="ORD-2024-134084"/>
    <x v="151"/>
    <d v="2024-06-04T00:00:00"/>
    <x v="17"/>
    <x v="9"/>
    <s v="2024"/>
    <x v="5"/>
    <d v="2024-06-16T00:00:00"/>
    <d v="2024-06-16T00:00:00"/>
    <s v="Okay"/>
    <n v="12"/>
    <x v="0"/>
    <x v="1"/>
    <x v="9"/>
    <s v="Shanghai"/>
    <s v="Asia→China→Shanghai"/>
    <s v="Corporate"/>
    <x v="0"/>
    <x v="1"/>
    <x v="1"/>
    <e v="#REF!"/>
    <x v="164"/>
    <n v="918.42"/>
    <n v="1511.71"/>
    <n v="1511.71"/>
    <s v="Medium"/>
    <n v="0.02"/>
    <n v="0.02"/>
    <x v="0"/>
    <n v="8"/>
    <n v="11851.806399999999"/>
    <n v="7347.36"/>
    <n v="4504.4463999999998"/>
    <n v="0.38006412254590999"/>
  </r>
  <r>
    <s v="ORD-2023-884625"/>
    <x v="152"/>
    <d v="2023-02-19T00:00:00"/>
    <x v="2"/>
    <x v="2"/>
    <s v="2023"/>
    <x v="2"/>
    <d v="2023-03-12T00:00:00"/>
    <d v="2023-03-12T00:00:00"/>
    <s v="Okay"/>
    <n v="21"/>
    <x v="0"/>
    <x v="3"/>
    <x v="6"/>
    <s v="Berlin"/>
    <s v="Europe→Germany→Berlin"/>
    <s v="Small Business"/>
    <x v="4"/>
    <x v="4"/>
    <x v="5"/>
    <e v="#REF!"/>
    <x v="165"/>
    <n v="1234.81"/>
    <n v="2055.2399999999998"/>
    <n v="2055.2399999999998"/>
    <s v="High"/>
    <n v="5.2999999999999999E-2"/>
    <n v="5.2999999999999999E-2"/>
    <x v="0"/>
    <n v="44"/>
    <n v="85637.740319999997"/>
    <n v="54331.64"/>
    <n v="31306.100319999998"/>
    <n v="0.36556429680441616"/>
  </r>
  <r>
    <s v="ORD-2023-157993"/>
    <x v="153"/>
    <d v="2023-04-18T00:00:00"/>
    <x v="12"/>
    <x v="7"/>
    <s v="2023"/>
    <x v="8"/>
    <d v="2023-05-18T00:00:00"/>
    <d v="2023-05-18T00:00:00"/>
    <s v="Okay"/>
    <n v="30"/>
    <x v="0"/>
    <x v="1"/>
    <x v="9"/>
    <s v="Shenzhen"/>
    <s v="Asia→China→Shenzhen"/>
    <s v="Non-Profit"/>
    <x v="0"/>
    <x v="10"/>
    <x v="4"/>
    <e v="#REF!"/>
    <x v="166"/>
    <n v="329.03"/>
    <n v="391.15"/>
    <n v="391.15"/>
    <s v="Low"/>
    <n v="0.19700000000000001"/>
    <n v="0.19700000000000001"/>
    <x v="0"/>
    <n v="46"/>
    <n v="14448.298699999998"/>
    <n v="15135.38"/>
    <n v="-687.08130000000165"/>
    <n v="-4.7554477815440081E-2"/>
  </r>
  <r>
    <s v="ORD-2024-329104"/>
    <x v="154"/>
    <d v="2024-05-23T00:00:00"/>
    <x v="7"/>
    <x v="5"/>
    <s v="2024"/>
    <x v="5"/>
    <d v="2024-06-14T00:00:00"/>
    <d v="2024-06-14T00:00:00"/>
    <s v="Okay"/>
    <n v="22"/>
    <x v="0"/>
    <x v="3"/>
    <x v="7"/>
    <s v="Marseille"/>
    <s v="Europe→France→Marseille"/>
    <s v="Small Business"/>
    <x v="1"/>
    <x v="13"/>
    <x v="5"/>
    <e v="#REF!"/>
    <x v="167"/>
    <n v="1481.74"/>
    <n v="1848.97"/>
    <n v="1848.97"/>
    <s v="Medium"/>
    <n v="0.254"/>
    <n v="0.254"/>
    <x v="0"/>
    <n v="9"/>
    <n v="12413.98458"/>
    <n v="13335.66"/>
    <n v="-921.67541999999958"/>
    <n v="-7.4244930309072407E-2"/>
  </r>
  <r>
    <s v="ORD-2023-304451"/>
    <x v="155"/>
    <d v="2023-10-07T00:00:00"/>
    <x v="32"/>
    <x v="1"/>
    <s v="2023"/>
    <x v="4"/>
    <d v="2023-10-23T00:00:00"/>
    <d v="2023-10-23T00:00:00"/>
    <s v="Okay"/>
    <n v="16"/>
    <x v="0"/>
    <x v="1"/>
    <x v="4"/>
    <s v="Hyderabad"/>
    <s v="Asia→India→Hyderabad"/>
    <s v="Consumer"/>
    <x v="0"/>
    <x v="3"/>
    <x v="5"/>
    <e v="#REF!"/>
    <x v="168"/>
    <n v="906.81"/>
    <n v="1395.56"/>
    <n v="1395.56"/>
    <s v="Medium"/>
    <n v="0.185"/>
    <n v="0.185"/>
    <x v="0"/>
    <n v="6"/>
    <n v="6824.2884000000004"/>
    <n v="5440.86"/>
    <n v="1383.4284000000007"/>
    <n v="0.20272126834498974"/>
  </r>
  <r>
    <s v="ORD-2024-942981"/>
    <x v="156"/>
    <d v="2024-10-09T00:00:00"/>
    <x v="1"/>
    <x v="1"/>
    <s v="2024"/>
    <x v="1"/>
    <d v="2024-11-08T00:00:00"/>
    <d v="2024-11-08T00:00:00"/>
    <s v="Okay"/>
    <n v="30"/>
    <x v="0"/>
    <x v="3"/>
    <x v="8"/>
    <s v="Manchester"/>
    <s v="Europe→United Kingdom→Manchester"/>
    <s v="Small Business"/>
    <x v="3"/>
    <x v="1"/>
    <x v="0"/>
    <e v="#REF!"/>
    <x v="169"/>
    <n v="343.85"/>
    <n v="538.04"/>
    <n v="538.04"/>
    <s v="Low"/>
    <n v="0.13900000000000001"/>
    <n v="0.13900000000000001"/>
    <x v="0"/>
    <n v="5"/>
    <n v="2316.2621999999997"/>
    <n v="1719.25"/>
    <n v="597.01219999999967"/>
    <n v="0.25774810813732563"/>
  </r>
  <r>
    <s v="ORD-2024-605629"/>
    <x v="157"/>
    <d v="2024-07-15T00:00:00"/>
    <x v="14"/>
    <x v="8"/>
    <s v="2024"/>
    <x v="9"/>
    <d v="2024-07-15T00:00:00"/>
    <d v="2024-07-15T00:00:00"/>
    <s v="Okay"/>
    <n v="0"/>
    <x v="1"/>
    <x v="1"/>
    <x v="2"/>
    <s v="Tokyo"/>
    <s v="Asia→Japan→Tokyo"/>
    <s v="Small Business"/>
    <x v="2"/>
    <x v="3"/>
    <x v="6"/>
    <e v="#REF!"/>
    <x v="170"/>
    <n v="801.77"/>
    <n v="1218.92"/>
    <n v="1218.92"/>
    <s v="Medium"/>
    <n v="0.254"/>
    <n v="0.254"/>
    <x v="0"/>
    <n v="16"/>
    <n v="14549.029120000001"/>
    <n v="12828.32"/>
    <n v="1720.7091200000013"/>
    <n v="0.11826968698788344"/>
  </r>
  <r>
    <s v="ORD-2023-450877"/>
    <x v="158"/>
    <d v="2023-09-21T00:00:00"/>
    <x v="27"/>
    <x v="6"/>
    <s v="2023"/>
    <x v="10"/>
    <d v="2023-10-10T00:00:00"/>
    <d v="2023-10-10T00:00:00"/>
    <s v="Okay"/>
    <n v="19"/>
    <x v="0"/>
    <x v="1"/>
    <x v="2"/>
    <s v="Tokyo"/>
    <s v="Asia→Japan→Tokyo"/>
    <s v="Education"/>
    <x v="1"/>
    <x v="14"/>
    <x v="0"/>
    <e v="#REF!"/>
    <x v="171"/>
    <n v="845.63"/>
    <n v="2062.12"/>
    <n v="2062.12"/>
    <s v="High"/>
    <n v="0.13400000000000001"/>
    <n v="0.13400000000000001"/>
    <x v="0"/>
    <n v="5"/>
    <n v="8928.9795999999988"/>
    <n v="4228.1499999999996"/>
    <n v="4700.8295999999991"/>
    <n v="0.52646884757133949"/>
  </r>
  <r>
    <s v="ORD-2023-286994"/>
    <x v="159"/>
    <d v="2023-02-24T00:00:00"/>
    <x v="2"/>
    <x v="2"/>
    <s v="2023"/>
    <x v="2"/>
    <d v="2023-03-09T00:00:00"/>
    <d v="2023-03-09T00:00:00"/>
    <s v="Okay"/>
    <n v="13"/>
    <x v="0"/>
    <x v="2"/>
    <x v="10"/>
    <s v="New York"/>
    <s v="Americas→USA→New York"/>
    <s v="Enterprise"/>
    <x v="1"/>
    <x v="12"/>
    <x v="0"/>
    <e v="#REF!"/>
    <x v="172"/>
    <n v="6.85"/>
    <n v="10.18"/>
    <n v="10.18"/>
    <s v="Low"/>
    <n v="4.7E-2"/>
    <n v="4.7E-2"/>
    <x v="0"/>
    <n v="10"/>
    <n v="97.0154"/>
    <n v="68.5"/>
    <n v="28.5154"/>
    <n v="0.2939265312517394"/>
  </r>
  <r>
    <s v="ORD-2025-700847"/>
    <x v="9"/>
    <d v="2025-05-19T00:00:00"/>
    <x v="8"/>
    <x v="5"/>
    <s v="2025"/>
    <x v="6"/>
    <d v="2025-05-19T00:00:00"/>
    <d v="2025-05-28T00:00:00"/>
    <s v="Invalid"/>
    <n v="9"/>
    <x v="0"/>
    <x v="0"/>
    <x v="11"/>
    <s v="Johannesburg"/>
    <s v="Africa→South Africa→Johannesburg"/>
    <s v="Non-Profit"/>
    <x v="3"/>
    <x v="7"/>
    <x v="4"/>
    <e v="#REF!"/>
    <x v="173"/>
    <n v="1263.8399999999999"/>
    <n v="2281.7199999999998"/>
    <n v="2281.7199999999998"/>
    <s v="High"/>
    <n v="7.8E-2"/>
    <n v="7.8E-2"/>
    <x v="0"/>
    <n v="15"/>
    <n v="31556.187599999997"/>
    <n v="18957.599999999999"/>
    <n v="12598.587599999999"/>
    <n v="0.39924301882398494"/>
  </r>
  <r>
    <s v="ORD-2024-970848"/>
    <x v="154"/>
    <d v="2024-05-23T00:00:00"/>
    <x v="7"/>
    <x v="5"/>
    <s v="2024"/>
    <x v="5"/>
    <d v="2024-06-03T00:00:00"/>
    <d v="2024-06-03T00:00:00"/>
    <s v="Okay"/>
    <n v="11"/>
    <x v="0"/>
    <x v="0"/>
    <x v="11"/>
    <s v="Johannesburg"/>
    <s v="Africa→South Africa→Johannesburg"/>
    <s v="Small Business"/>
    <x v="3"/>
    <x v="9"/>
    <x v="1"/>
    <e v="#REF!"/>
    <x v="174"/>
    <n v="180.89"/>
    <n v="249.57"/>
    <n v="249.57"/>
    <s v="Low"/>
    <n v="2.1999999999999999E-2"/>
    <n v="2.1999999999999999E-2"/>
    <x v="0"/>
    <n v="8"/>
    <n v="1952.6356799999999"/>
    <n v="1447.12"/>
    <n v="505.51567999999997"/>
    <n v="0.25888888806948362"/>
  </r>
  <r>
    <s v="ORD-2025-845715"/>
    <x v="160"/>
    <d v="2025-04-14T00:00:00"/>
    <x v="19"/>
    <x v="7"/>
    <s v="2025"/>
    <x v="6"/>
    <d v="2025-05-04T00:00:00"/>
    <d v="2025-05-04T00:00:00"/>
    <s v="Okay"/>
    <n v="20"/>
    <x v="0"/>
    <x v="3"/>
    <x v="8"/>
    <s v="Birmingham"/>
    <s v="Europe→United Kingdom→Birmingham"/>
    <s v="Enterprise"/>
    <x v="2"/>
    <x v="11"/>
    <x v="5"/>
    <e v="#REF!"/>
    <x v="175"/>
    <n v="1413.87"/>
    <n v="3275"/>
    <n v="3275"/>
    <s v="High"/>
    <n v="0.255"/>
    <n v="0.255"/>
    <x v="0"/>
    <n v="38"/>
    <n v="92715.25"/>
    <n v="53727.06"/>
    <n v="38988.19"/>
    <n v="0.42051539525590453"/>
  </r>
  <r>
    <s v="ORD-2023-664749"/>
    <x v="161"/>
    <d v="2023-08-27T00:00:00"/>
    <x v="25"/>
    <x v="11"/>
    <s v="2023"/>
    <x v="10"/>
    <d v="2023-09-11T00:00:00"/>
    <d v="2023-09-11T00:00:00"/>
    <s v="Okay"/>
    <n v="15"/>
    <x v="0"/>
    <x v="3"/>
    <x v="8"/>
    <s v="London"/>
    <s v="Europe→United Kingdom→London"/>
    <s v="Consumer"/>
    <x v="2"/>
    <x v="13"/>
    <x v="1"/>
    <e v="#REF!"/>
    <x v="176"/>
    <n v="943.79"/>
    <n v="1913.76"/>
    <n v="1913.76"/>
    <s v="High"/>
    <n v="9.0999999999999998E-2"/>
    <n v="9.0999999999999998E-2"/>
    <x v="0"/>
    <n v="9"/>
    <n v="15656.47056"/>
    <n v="8494.11"/>
    <n v="7162.3605599999992"/>
    <n v="0.45746967891338081"/>
  </r>
  <r>
    <s v="ORD-2024-960952"/>
    <x v="162"/>
    <d v="2024-02-03T00:00:00"/>
    <x v="31"/>
    <x v="2"/>
    <s v="2024"/>
    <x v="0"/>
    <d v="2024-02-21T00:00:00"/>
    <d v="2024-02-21T00:00:00"/>
    <s v="Okay"/>
    <n v="18"/>
    <x v="0"/>
    <x v="3"/>
    <x v="6"/>
    <s v="Frankfurt"/>
    <s v="Europe→Germany→Frankfurt"/>
    <s v="Corporate"/>
    <x v="0"/>
    <x v="10"/>
    <x v="0"/>
    <e v="#REF!"/>
    <x v="177"/>
    <n v="39.229999999999997"/>
    <n v="30.09"/>
    <n v="30.09"/>
    <s v="Low"/>
    <n v="0.17699999999999999"/>
    <n v="0.17699999999999999"/>
    <x v="0"/>
    <n v="13"/>
    <n v="321.93290999999999"/>
    <n v="509.98999999999995"/>
    <n v="-188.05708999999996"/>
    <n v="-0.58414993981199359"/>
  </r>
  <r>
    <s v="ORD-2023-987700"/>
    <x v="163"/>
    <d v="2023-04-05T00:00:00"/>
    <x v="12"/>
    <x v="7"/>
    <s v="2023"/>
    <x v="8"/>
    <d v="2023-04-16T00:00:00"/>
    <d v="2023-04-16T00:00:00"/>
    <s v="Okay"/>
    <n v="11"/>
    <x v="0"/>
    <x v="2"/>
    <x v="3"/>
    <s v="Vancouver"/>
    <s v="Americas→Canada→Vancouver"/>
    <s v="Non-Profit"/>
    <x v="1"/>
    <x v="7"/>
    <x v="5"/>
    <e v="#REF!"/>
    <x v="178"/>
    <n v="213.1"/>
    <n v="501.31"/>
    <n v="501.31"/>
    <s v="Low"/>
    <n v="5.6000000000000001E-2"/>
    <n v="5.6000000000000001E-2"/>
    <x v="0"/>
    <n v="15"/>
    <n v="7098.5495999999994"/>
    <n v="3196.5"/>
    <n v="3902.0495999999994"/>
    <n v="0.54969674368409005"/>
  </r>
  <r>
    <s v="ORD-2025-652467"/>
    <x v="164"/>
    <d v="2025-08-21T00:00:00"/>
    <x v="28"/>
    <x v="11"/>
    <s v="2025"/>
    <x v="7"/>
    <d v="2025-09-12T00:00:00"/>
    <d v="2025-09-12T00:00:00"/>
    <s v="Okay"/>
    <n v="22"/>
    <x v="0"/>
    <x v="1"/>
    <x v="9"/>
    <s v="Shenzhen"/>
    <s v="Asia→China→Shenzhen"/>
    <s v="Education"/>
    <x v="0"/>
    <x v="5"/>
    <x v="1"/>
    <e v="#REF!"/>
    <x v="179"/>
    <n v="352.66"/>
    <n v="411.18"/>
    <n v="411.18"/>
    <s v="Low"/>
    <n v="0.17299999999999999"/>
    <n v="0.17299999999999999"/>
    <x v="0"/>
    <n v="13"/>
    <n v="4420.5961799999995"/>
    <n v="4584.58"/>
    <n v="-163.98382000000038"/>
    <n v="-3.7095408248758066E-2"/>
  </r>
  <r>
    <s v="ORD-2025-667201"/>
    <x v="165"/>
    <d v="2025-09-15T00:00:00"/>
    <x v="11"/>
    <x v="6"/>
    <s v="2025"/>
    <x v="7"/>
    <d v="2025-09-18T00:00:00"/>
    <d v="2025-09-18T00:00:00"/>
    <s v="Okay"/>
    <n v="3"/>
    <x v="1"/>
    <x v="2"/>
    <x v="5"/>
    <s v="Rio de Janeiro"/>
    <s v="Americas→Brazil→Rio de Janeiro"/>
    <s v="Non-Profit"/>
    <x v="4"/>
    <x v="4"/>
    <x v="6"/>
    <e v="#REF!"/>
    <x v="180"/>
    <n v="5.5"/>
    <n v="5.92"/>
    <n v="5.92"/>
    <s v="Low"/>
    <n v="0.21199999999999999"/>
    <n v="0.21199999999999999"/>
    <x v="0"/>
    <n v="4"/>
    <n v="18.659839999999999"/>
    <n v="22"/>
    <n v="-3.3401600000000009"/>
    <n v="-0.17900260666758133"/>
  </r>
  <r>
    <s v="ORD-2024-237478"/>
    <x v="166"/>
    <d v="2024-10-03T00:00:00"/>
    <x v="1"/>
    <x v="1"/>
    <s v="2024"/>
    <x v="1"/>
    <d v="2024-10-11T00:00:00"/>
    <d v="2024-10-11T00:00:00"/>
    <s v="Okay"/>
    <n v="8"/>
    <x v="0"/>
    <x v="1"/>
    <x v="9"/>
    <s v="Beijing"/>
    <s v="Asia→China→Beijing"/>
    <s v="Enterprise"/>
    <x v="4"/>
    <x v="5"/>
    <x v="3"/>
    <e v="#REF!"/>
    <x v="181"/>
    <n v="1132.6099999999999"/>
    <n v="2206.63"/>
    <n v="2206.63"/>
    <s v="High"/>
    <n v="6.3E-2"/>
    <n v="6.3E-2"/>
    <x v="0"/>
    <n v="20"/>
    <n v="41352.246200000009"/>
    <n v="22652.199999999997"/>
    <n v="18700.046200000012"/>
    <n v="0.45221355351671338"/>
  </r>
  <r>
    <s v="ORD-2025-898843"/>
    <x v="167"/>
    <d v="2025-02-02T00:00:00"/>
    <x v="26"/>
    <x v="2"/>
    <s v="2025"/>
    <x v="3"/>
    <d v="2025-03-04T00:00:00"/>
    <d v="2025-03-04T00:00:00"/>
    <s v="Okay"/>
    <n v="30"/>
    <x v="0"/>
    <x v="1"/>
    <x v="2"/>
    <s v="Osaka"/>
    <s v="Asia→Japan→Osaka"/>
    <s v="Education"/>
    <x v="3"/>
    <x v="4"/>
    <x v="6"/>
    <e v="#REF!"/>
    <x v="182"/>
    <n v="766.59"/>
    <n v="1912.8"/>
    <n v="1912.8"/>
    <s v="High"/>
    <n v="0.19600000000000001"/>
    <n v="0.19600000000000001"/>
    <x v="0"/>
    <n v="5"/>
    <n v="7689.4560000000001"/>
    <n v="3832.9500000000003"/>
    <n v="3856.5059999999999"/>
    <n v="0.50153170783472845"/>
  </r>
  <r>
    <s v="ORD-2023-334213"/>
    <x v="66"/>
    <d v="2023-08-19T00:00:00"/>
    <x v="25"/>
    <x v="11"/>
    <s v="2023"/>
    <x v="10"/>
    <d v="2023-08-23T00:00:00"/>
    <d v="2023-08-23T00:00:00"/>
    <s v="Okay"/>
    <n v="4"/>
    <x v="1"/>
    <x v="0"/>
    <x v="1"/>
    <s v="Abuja"/>
    <s v="Africa→Nigeria→Abuja"/>
    <s v="Small Business"/>
    <x v="1"/>
    <x v="1"/>
    <x v="5"/>
    <e v="#REF!"/>
    <x v="183"/>
    <n v="790.63"/>
    <n v="1382.31"/>
    <n v="1382.31"/>
    <s v="Medium"/>
    <n v="0.10100000000000001"/>
    <n v="0.10100000000000001"/>
    <x v="0"/>
    <n v="7"/>
    <n v="8698.8768300000011"/>
    <n v="5534.41"/>
    <n v="3164.4668300000012"/>
    <n v="0.36377878338116448"/>
  </r>
  <r>
    <s v="ORD-2024-640340"/>
    <x v="168"/>
    <d v="2024-10-22T00:00:00"/>
    <x v="1"/>
    <x v="1"/>
    <s v="2024"/>
    <x v="1"/>
    <d v="2024-10-29T00:00:00"/>
    <d v="2024-10-29T00:00:00"/>
    <s v="Okay"/>
    <n v="7"/>
    <x v="1"/>
    <x v="0"/>
    <x v="1"/>
    <s v="Port Harcourt"/>
    <s v="Africa→Nigeria→Port Harcourt"/>
    <s v="Enterprise"/>
    <x v="3"/>
    <x v="12"/>
    <x v="5"/>
    <e v="#REF!"/>
    <x v="184"/>
    <n v="1023.06"/>
    <n v="1355.61"/>
    <n v="1355.61"/>
    <s v="Medium"/>
    <n v="0.153"/>
    <n v="0.153"/>
    <x v="0"/>
    <n v="23"/>
    <n v="26408.63841"/>
    <n v="23530.379999999997"/>
    <n v="2878.2584100000022"/>
    <n v="0.10898927711888809"/>
  </r>
  <r>
    <s v="ORD-2023-399631"/>
    <x v="169"/>
    <d v="2023-06-22T00:00:00"/>
    <x v="23"/>
    <x v="9"/>
    <s v="2023"/>
    <x v="8"/>
    <d v="2023-07-21T00:00:00"/>
    <d v="2023-07-21T00:00:00"/>
    <s v="Okay"/>
    <n v="29"/>
    <x v="0"/>
    <x v="3"/>
    <x v="7"/>
    <s v="Lyon"/>
    <s v="Europe→France→Lyon"/>
    <s v="Corporate"/>
    <x v="0"/>
    <x v="1"/>
    <x v="6"/>
    <e v="#REF!"/>
    <x v="185"/>
    <n v="734.34"/>
    <n v="887.9"/>
    <n v="887.9"/>
    <s v="Low"/>
    <n v="2.5000000000000001E-2"/>
    <n v="2.5000000000000001E-2"/>
    <x v="0"/>
    <n v="12"/>
    <n v="10388.429999999998"/>
    <n v="8812.08"/>
    <n v="1576.3499999999985"/>
    <n v="0.15174092716608753"/>
  </r>
  <r>
    <s v="ORD-2025-542939"/>
    <x v="170"/>
    <d v="2025-01-13T00:00:00"/>
    <x v="10"/>
    <x v="4"/>
    <s v="2025"/>
    <x v="3"/>
    <d v="2025-02-08T00:00:00"/>
    <d v="2025-02-08T00:00:00"/>
    <s v="Okay"/>
    <n v="26"/>
    <x v="0"/>
    <x v="3"/>
    <x v="7"/>
    <s v="Paris"/>
    <s v="Europe→France→Paris"/>
    <s v="Non-Profit"/>
    <x v="5"/>
    <x v="6"/>
    <x v="5"/>
    <e v="#REF!"/>
    <x v="186"/>
    <n v="594.74"/>
    <n v="1020.69"/>
    <n v="1020.69"/>
    <s v="Low"/>
    <n v="0.21099999999999999"/>
    <n v="0.21099999999999999"/>
    <x v="0"/>
    <n v="6"/>
    <n v="4831.9464600000001"/>
    <n v="3568.44"/>
    <n v="1263.5064600000001"/>
    <n v="0.26149016146176424"/>
  </r>
  <r>
    <s v="ORD-2023-521818"/>
    <x v="171"/>
    <d v="2023-01-29T00:00:00"/>
    <x v="5"/>
    <x v="4"/>
    <s v="2023"/>
    <x v="2"/>
    <d v="2023-02-28T00:00:00"/>
    <d v="2023-02-28T00:00:00"/>
    <s v="Okay"/>
    <n v="30"/>
    <x v="0"/>
    <x v="1"/>
    <x v="4"/>
    <s v="Bengaluru"/>
    <s v="Asia→India→Bengaluru"/>
    <s v="Non-Profit"/>
    <x v="0"/>
    <x v="5"/>
    <x v="6"/>
    <e v="#REF!"/>
    <x v="187"/>
    <n v="1262.0999999999999"/>
    <n v="1395.53"/>
    <n v="1395.53"/>
    <s v="Medium"/>
    <n v="0.23300000000000001"/>
    <n v="0.23300000000000001"/>
    <x v="0"/>
    <n v="25"/>
    <n v="26759.28775"/>
    <n v="31552.499999999996"/>
    <n v="-4793.2122499999969"/>
    <n v="-0.17912331205452198"/>
  </r>
  <r>
    <s v="ORD-2023-825836"/>
    <x v="172"/>
    <d v="2023-07-19T00:00:00"/>
    <x v="24"/>
    <x v="8"/>
    <s v="2023"/>
    <x v="10"/>
    <d v="2023-07-31T00:00:00"/>
    <d v="2023-07-31T00:00:00"/>
    <s v="Okay"/>
    <n v="12"/>
    <x v="0"/>
    <x v="2"/>
    <x v="5"/>
    <s v="Rio de Janeiro"/>
    <s v="Americas→Brazil→Rio de Janeiro"/>
    <s v="Corporate"/>
    <x v="0"/>
    <x v="0"/>
    <x v="5"/>
    <e v="#REF!"/>
    <x v="188"/>
    <n v="1334.64"/>
    <n v="2273.42"/>
    <n v="2273.42"/>
    <s v="High"/>
    <n v="0.11799999999999999"/>
    <n v="0.11799999999999999"/>
    <x v="0"/>
    <n v="14"/>
    <n v="28072.190160000002"/>
    <n v="18684.960000000003"/>
    <n v="9387.2301599999992"/>
    <n v="0.33439607335575267"/>
  </r>
  <r>
    <s v="ORD-2024-503082"/>
    <x v="173"/>
    <d v="2024-05-19T00:00:00"/>
    <x v="7"/>
    <x v="5"/>
    <s v="2024"/>
    <x v="5"/>
    <d v="2024-06-08T00:00:00"/>
    <d v="2024-06-08T00:00:00"/>
    <s v="Okay"/>
    <n v="20"/>
    <x v="0"/>
    <x v="2"/>
    <x v="5"/>
    <s v="Brasília"/>
    <s v="Americas→Brazil→Brasília"/>
    <s v="Small Business"/>
    <x v="0"/>
    <x v="6"/>
    <x v="5"/>
    <e v="#REF!"/>
    <x v="189"/>
    <n v="1075.9000000000001"/>
    <n v="1242.1500000000001"/>
    <n v="1242.1500000000001"/>
    <s v="Medium"/>
    <n v="1.2E-2"/>
    <n v="1.2E-2"/>
    <x v="0"/>
    <n v="7"/>
    <n v="8590.7094000000016"/>
    <n v="7531.3000000000011"/>
    <n v="1059.4094000000005"/>
    <n v="0.12332036280961853"/>
  </r>
  <r>
    <s v="ORD-2024-760799"/>
    <x v="162"/>
    <d v="2024-02-03T00:00:00"/>
    <x v="31"/>
    <x v="2"/>
    <s v="2024"/>
    <x v="0"/>
    <d v="2024-02-19T00:00:00"/>
    <d v="2024-02-19T00:00:00"/>
    <s v="Okay"/>
    <n v="16"/>
    <x v="0"/>
    <x v="1"/>
    <x v="9"/>
    <s v="Shenzhen"/>
    <s v="Asia→China→Shenzhen"/>
    <s v="Small Business"/>
    <x v="1"/>
    <x v="10"/>
    <x v="4"/>
    <e v="#REF!"/>
    <x v="190"/>
    <n v="993.75"/>
    <n v="1310.29"/>
    <n v="1310.29"/>
    <s v="Medium"/>
    <n v="0.215"/>
    <n v="0.215"/>
    <x v="0"/>
    <n v="19"/>
    <n v="19542.975350000001"/>
    <n v="18881.25"/>
    <n v="661.72535000000062"/>
    <n v="3.3860010471742245E-2"/>
  </r>
  <r>
    <s v="ORD-2023-197661"/>
    <x v="174"/>
    <d v="2023-08-08T00:00:00"/>
    <x v="25"/>
    <x v="11"/>
    <s v="2023"/>
    <x v="10"/>
    <d v="2023-08-22T00:00:00"/>
    <d v="2023-08-22T00:00:00"/>
    <s v="Okay"/>
    <n v="14"/>
    <x v="0"/>
    <x v="3"/>
    <x v="8"/>
    <s v="Birmingham"/>
    <s v="Europe→United Kingdom→Birmingham"/>
    <s v="Non-Profit"/>
    <x v="4"/>
    <x v="13"/>
    <x v="5"/>
    <e v="#REF!"/>
    <x v="191"/>
    <n v="446.69"/>
    <n v="967.25"/>
    <n v="967.25"/>
    <s v="Low"/>
    <n v="9.4E-2"/>
    <n v="9.4E-2"/>
    <x v="0"/>
    <n v="10"/>
    <n v="8763.2849999999999"/>
    <n v="4466.8999999999996"/>
    <n v="4296.3850000000002"/>
    <n v="0.49027105702941309"/>
  </r>
  <r>
    <s v="ORD-2024-212990"/>
    <x v="175"/>
    <d v="2024-08-12T00:00:00"/>
    <x v="21"/>
    <x v="11"/>
    <s v="2024"/>
    <x v="9"/>
    <d v="2024-09-03T00:00:00"/>
    <d v="2024-09-03T00:00:00"/>
    <s v="Okay"/>
    <n v="22"/>
    <x v="0"/>
    <x v="2"/>
    <x v="10"/>
    <s v="Austin"/>
    <s v="Americas→USA→Austin"/>
    <s v="Consumer"/>
    <x v="3"/>
    <x v="2"/>
    <x v="4"/>
    <e v="#REF!"/>
    <x v="192"/>
    <n v="797.8"/>
    <n v="886.22"/>
    <n v="886.22"/>
    <s v="Low"/>
    <n v="0.23599999999999999"/>
    <n v="0.23599999999999999"/>
    <x v="0"/>
    <n v="36"/>
    <n v="24374.594880000001"/>
    <n v="28720.799999999999"/>
    <n v="-4346.2051199999987"/>
    <n v="-0.17830881462428633"/>
  </r>
  <r>
    <s v="ORD-2023-925146"/>
    <x v="176"/>
    <d v="2023-10-15T00:00:00"/>
    <x v="32"/>
    <x v="1"/>
    <s v="2023"/>
    <x v="4"/>
    <d v="2023-11-13T00:00:00"/>
    <d v="2023-11-13T00:00:00"/>
    <s v="Okay"/>
    <n v="29"/>
    <x v="0"/>
    <x v="1"/>
    <x v="9"/>
    <s v="Shenzhen"/>
    <s v="Asia→China→Shenzhen"/>
    <s v="Non-Profit"/>
    <x v="3"/>
    <x v="1"/>
    <x v="1"/>
    <e v="#REF!"/>
    <x v="193"/>
    <n v="986.44"/>
    <n v="790.61"/>
    <n v="790.61"/>
    <s v="Low"/>
    <n v="7.1999999999999995E-2"/>
    <n v="7.1999999999999995E-2"/>
    <x v="0"/>
    <n v="6"/>
    <n v="4402.1164799999997"/>
    <n v="5918.64"/>
    <n v="-1516.5235200000006"/>
    <n v="-0.34449872621271499"/>
  </r>
  <r>
    <s v="ORD-2023-177794"/>
    <x v="177"/>
    <d v="2023-05-04T00:00:00"/>
    <x v="15"/>
    <x v="5"/>
    <s v="2023"/>
    <x v="8"/>
    <d v="2023-05-26T00:00:00"/>
    <d v="2023-05-26T00:00:00"/>
    <s v="Okay"/>
    <n v="22"/>
    <x v="0"/>
    <x v="2"/>
    <x v="10"/>
    <s v="San Francisco"/>
    <s v="Americas→USA→San Francisco"/>
    <s v="Enterprise"/>
    <x v="1"/>
    <x v="1"/>
    <x v="2"/>
    <e v="#REF!"/>
    <x v="194"/>
    <n v="249.71"/>
    <n v="361.33"/>
    <n v="361.33"/>
    <s v="Low"/>
    <n v="9.4E-2"/>
    <n v="9.4E-2"/>
    <x v="0"/>
    <n v="12"/>
    <n v="3928.3797600000003"/>
    <n v="2996.52"/>
    <n v="931.85976000000028"/>
    <n v="0.23721223937881206"/>
  </r>
  <r>
    <s v="ORD-2024-444710"/>
    <x v="178"/>
    <d v="2024-09-22T00:00:00"/>
    <x v="29"/>
    <x v="6"/>
    <s v="2024"/>
    <x v="9"/>
    <d v="2024-10-01T00:00:00"/>
    <d v="2024-10-01T00:00:00"/>
    <s v="Okay"/>
    <n v="9"/>
    <x v="0"/>
    <x v="2"/>
    <x v="5"/>
    <s v="São Paulo"/>
    <s v="Americas→Brazil→São Paulo"/>
    <s v="Non-Profit"/>
    <x v="1"/>
    <x v="11"/>
    <x v="5"/>
    <e v="#REF!"/>
    <x v="195"/>
    <n v="1378.8"/>
    <n v="1952.04"/>
    <n v="1952.04"/>
    <s v="High"/>
    <n v="0.159"/>
    <n v="0.159"/>
    <x v="0"/>
    <n v="19"/>
    <n v="31191.64716"/>
    <n v="26197.200000000001"/>
    <n v="4994.4471599999997"/>
    <n v="0.16012130216723058"/>
  </r>
  <r>
    <s v="ORD-2024-668926"/>
    <x v="1"/>
    <d v="2024-10-23T00:00:00"/>
    <x v="1"/>
    <x v="1"/>
    <s v="2024"/>
    <x v="1"/>
    <d v="2024-11-14T00:00:00"/>
    <d v="2024-11-14T00:00:00"/>
    <s v="Okay"/>
    <n v="22"/>
    <x v="0"/>
    <x v="1"/>
    <x v="2"/>
    <s v="Osaka"/>
    <s v="Asia→Japan→Osaka"/>
    <s v="Non-Profit"/>
    <x v="4"/>
    <x v="5"/>
    <x v="3"/>
    <e v="#REF!"/>
    <x v="196"/>
    <n v="1406.4"/>
    <n v="1564.76"/>
    <n v="1564.76"/>
    <s v="Medium"/>
    <n v="0.185"/>
    <n v="0.185"/>
    <x v="0"/>
    <n v="17"/>
    <n v="21679.749799999998"/>
    <n v="23908.800000000003"/>
    <n v="-2229.0502000000051"/>
    <n v="-0.10281715520536151"/>
  </r>
  <r>
    <s v="ORD-2024-968374"/>
    <x v="179"/>
    <d v="2024-02-11T00:00:00"/>
    <x v="31"/>
    <x v="2"/>
    <s v="2024"/>
    <x v="0"/>
    <d v="2024-03-03T00:00:00"/>
    <d v="2024-03-03T00:00:00"/>
    <s v="Okay"/>
    <n v="21"/>
    <x v="0"/>
    <x v="0"/>
    <x v="0"/>
    <s v="Kisumu"/>
    <s v="Africa→Kenya→Kisumu"/>
    <s v="Enterprise"/>
    <x v="1"/>
    <x v="5"/>
    <x v="3"/>
    <e v="#REF!"/>
    <x v="197"/>
    <n v="516.86"/>
    <n v="852.54"/>
    <n v="852.54"/>
    <s v="Low"/>
    <n v="5.0999999999999997E-2"/>
    <n v="5.0999999999999997E-2"/>
    <x v="0"/>
    <n v="14"/>
    <n v="11326.846439999999"/>
    <n v="7236.04"/>
    <n v="4090.8064399999994"/>
    <n v="0.36116022775355994"/>
  </r>
  <r>
    <s v="ORD-2023-575584"/>
    <x v="180"/>
    <d v="2023-01-30T00:00:00"/>
    <x v="5"/>
    <x v="4"/>
    <s v="2023"/>
    <x v="2"/>
    <d v="2023-02-21T00:00:00"/>
    <d v="2023-02-21T00:00:00"/>
    <s v="Okay"/>
    <n v="22"/>
    <x v="0"/>
    <x v="3"/>
    <x v="6"/>
    <s v="Munich"/>
    <s v="Europe→Germany→Munich"/>
    <s v="Small Business"/>
    <x v="2"/>
    <x v="3"/>
    <x v="2"/>
    <e v="#REF!"/>
    <x v="198"/>
    <n v="1142.8800000000001"/>
    <n v="1465.29"/>
    <n v="1465.29"/>
    <s v="Medium"/>
    <n v="0.186"/>
    <n v="0.186"/>
    <x v="0"/>
    <n v="7"/>
    <n v="8349.2224200000001"/>
    <n v="8000.1600000000008"/>
    <n v="349.06241999999929"/>
    <n v="4.1807775915017401E-2"/>
  </r>
  <r>
    <s v="ORD-2023-701153"/>
    <x v="27"/>
    <d v="2023-04-14T00:00:00"/>
    <x v="12"/>
    <x v="7"/>
    <s v="2023"/>
    <x v="8"/>
    <d v="2023-05-13T00:00:00"/>
    <d v="2023-05-13T00:00:00"/>
    <s v="Okay"/>
    <n v="29"/>
    <x v="0"/>
    <x v="3"/>
    <x v="6"/>
    <s v="Frankfurt"/>
    <s v="Europe→Germany→Frankfurt"/>
    <s v="Consumer"/>
    <x v="4"/>
    <x v="1"/>
    <x v="1"/>
    <e v="#REF!"/>
    <x v="199"/>
    <n v="1320.33"/>
    <n v="2645.23"/>
    <n v="2645.23"/>
    <s v="High"/>
    <n v="0.155"/>
    <n v="0.155"/>
    <x v="0"/>
    <n v="25"/>
    <n v="55880.483749999999"/>
    <n v="33008.25"/>
    <n v="22872.233749999999"/>
    <n v="0.40930629470436536"/>
  </r>
  <r>
    <s v="ORD-2023-382017"/>
    <x v="181"/>
    <d v="2023-01-13T00:00:00"/>
    <x v="5"/>
    <x v="4"/>
    <s v="2023"/>
    <x v="2"/>
    <d v="2023-01-19T00:00:00"/>
    <d v="2023-01-19T00:00:00"/>
    <s v="Okay"/>
    <n v="6"/>
    <x v="1"/>
    <x v="2"/>
    <x v="10"/>
    <s v="Chicago"/>
    <s v="Americas→USA→Chicago"/>
    <s v="Corporate"/>
    <x v="4"/>
    <x v="10"/>
    <x v="3"/>
    <e v="#REF!"/>
    <x v="200"/>
    <n v="833.57"/>
    <n v="881.57"/>
    <n v="881.57"/>
    <s v="Low"/>
    <n v="5.7000000000000002E-2"/>
    <n v="5.7000000000000002E-2"/>
    <x v="0"/>
    <n v="18"/>
    <n v="14963.769179999999"/>
    <n v="15004.26"/>
    <n v="-40.490820000000895"/>
    <n v="-2.7059238560107821E-3"/>
  </r>
  <r>
    <s v="ORD-2024-999607"/>
    <x v="182"/>
    <d v="2024-01-12T00:00:00"/>
    <x v="9"/>
    <x v="4"/>
    <s v="2024"/>
    <x v="0"/>
    <d v="2024-01-29T00:00:00"/>
    <d v="2024-01-29T00:00:00"/>
    <s v="Okay"/>
    <n v="17"/>
    <x v="0"/>
    <x v="2"/>
    <x v="10"/>
    <s v="Chicago"/>
    <s v="Americas→USA→Chicago"/>
    <s v="Education"/>
    <x v="3"/>
    <x v="8"/>
    <x v="1"/>
    <e v="#REF!"/>
    <x v="201"/>
    <n v="493.76"/>
    <n v="625.04"/>
    <n v="625.04"/>
    <s v="Low"/>
    <n v="0.25800000000000001"/>
    <n v="0.25800000000000001"/>
    <x v="0"/>
    <n v="10"/>
    <n v="4637.7968000000001"/>
    <n v="4937.6000000000004"/>
    <n v="-299.80320000000029"/>
    <n v="-6.464345311549663E-2"/>
  </r>
  <r>
    <s v="ORD-2023-133848"/>
    <x v="183"/>
    <d v="2023-08-15T00:00:00"/>
    <x v="25"/>
    <x v="11"/>
    <s v="2023"/>
    <x v="10"/>
    <d v="2023-09-07T00:00:00"/>
    <d v="2023-09-07T00:00:00"/>
    <s v="Okay"/>
    <n v="23"/>
    <x v="0"/>
    <x v="2"/>
    <x v="10"/>
    <s v="New York"/>
    <s v="Americas→USA→New York"/>
    <s v="Enterprise"/>
    <x v="1"/>
    <x v="11"/>
    <x v="3"/>
    <e v="#REF!"/>
    <x v="202"/>
    <n v="590.33000000000004"/>
    <n v="973.04"/>
    <n v="973.04"/>
    <s v="Low"/>
    <n v="0"/>
    <n v="0"/>
    <x v="0"/>
    <n v="26"/>
    <n v="25299.040000000001"/>
    <n v="15348.580000000002"/>
    <n v="9950.4599999999991"/>
    <n v="0.39331373838691108"/>
  </r>
  <r>
    <s v="ORD-2023-586275"/>
    <x v="184"/>
    <d v="2023-01-20T00:00:00"/>
    <x v="5"/>
    <x v="4"/>
    <s v="2023"/>
    <x v="2"/>
    <d v="2023-02-03T00:00:00"/>
    <d v="2023-02-03T00:00:00"/>
    <s v="Okay"/>
    <n v="14"/>
    <x v="0"/>
    <x v="0"/>
    <x v="0"/>
    <s v="Kisumu"/>
    <s v="Africa→Kenya→Kisumu"/>
    <s v="Corporate"/>
    <x v="0"/>
    <x v="12"/>
    <x v="2"/>
    <e v="#REF!"/>
    <x v="203"/>
    <n v="884.36"/>
    <n v="1545.34"/>
    <n v="1545.34"/>
    <s v="Medium"/>
    <n v="0.24299999999999999"/>
    <n v="0.24299999999999999"/>
    <x v="0"/>
    <n v="41"/>
    <n v="47962.717579999997"/>
    <n v="36258.76"/>
    <n v="11703.957579999995"/>
    <n v="0.24402198562827965"/>
  </r>
  <r>
    <s v="ORD-2025-964661"/>
    <x v="185"/>
    <d v="2025-02-04T00:00:00"/>
    <x v="26"/>
    <x v="2"/>
    <s v="2025"/>
    <x v="3"/>
    <d v="2025-02-25T00:00:00"/>
    <d v="2025-02-25T00:00:00"/>
    <s v="Okay"/>
    <n v="21"/>
    <x v="0"/>
    <x v="3"/>
    <x v="8"/>
    <s v="Birmingham"/>
    <s v="Europe→United Kingdom→Birmingham"/>
    <s v="Corporate"/>
    <x v="2"/>
    <x v="14"/>
    <x v="5"/>
    <e v="#REF!"/>
    <x v="204"/>
    <n v="1016.32"/>
    <n v="2253.42"/>
    <n v="2253.42"/>
    <s v="High"/>
    <n v="5.5E-2"/>
    <n v="5.5E-2"/>
    <x v="0"/>
    <n v="12"/>
    <n v="25553.782800000001"/>
    <n v="12195.84"/>
    <n v="13357.942800000001"/>
    <n v="0.52273837124419797"/>
  </r>
  <r>
    <s v="ORD-2023-390998"/>
    <x v="43"/>
    <d v="2023-04-19T00:00:00"/>
    <x v="12"/>
    <x v="7"/>
    <s v="2023"/>
    <x v="8"/>
    <d v="2023-04-28T00:00:00"/>
    <d v="2023-04-28T00:00:00"/>
    <s v="Okay"/>
    <n v="9"/>
    <x v="0"/>
    <x v="3"/>
    <x v="6"/>
    <s v="Berlin"/>
    <s v="Europe→Germany→Berlin"/>
    <s v="Education"/>
    <x v="1"/>
    <x v="6"/>
    <x v="5"/>
    <e v="#REF!"/>
    <x v="205"/>
    <n v="1178.42"/>
    <n v="2446.56"/>
    <n v="2446.56"/>
    <s v="High"/>
    <n v="2.9000000000000001E-2"/>
    <n v="2.9000000000000001E-2"/>
    <x v="0"/>
    <n v="11"/>
    <n v="26131.70736"/>
    <n v="12962.62"/>
    <n v="13169.08736"/>
    <n v="0.5039505141618883"/>
  </r>
  <r>
    <s v="ORD-2023-920483"/>
    <x v="186"/>
    <d v="2023-07-02T00:00:00"/>
    <x v="24"/>
    <x v="8"/>
    <s v="2023"/>
    <x v="10"/>
    <d v="2023-08-01T00:00:00"/>
    <d v="2023-08-01T00:00:00"/>
    <s v="Okay"/>
    <n v="30"/>
    <x v="0"/>
    <x v="3"/>
    <x v="8"/>
    <s v="Birmingham"/>
    <s v="Europe→United Kingdom→Birmingham"/>
    <s v="Small Business"/>
    <x v="0"/>
    <x v="5"/>
    <x v="0"/>
    <e v="#REF!"/>
    <x v="206"/>
    <n v="137.46"/>
    <n v="188.3"/>
    <n v="188.3"/>
    <s v="Low"/>
    <n v="3.7999999999999999E-2"/>
    <n v="3.7999999999999999E-2"/>
    <x v="0"/>
    <n v="37"/>
    <n v="6702.3501999999999"/>
    <n v="5086.0200000000004"/>
    <n v="1616.3301999999994"/>
    <n v="0.24115872071262398"/>
  </r>
  <r>
    <s v="ORD-2025-146850"/>
    <x v="51"/>
    <d v="2025-01-21T00:00:00"/>
    <x v="10"/>
    <x v="4"/>
    <s v="2025"/>
    <x v="3"/>
    <d v="2025-02-14T00:00:00"/>
    <d v="2025-02-14T00:00:00"/>
    <s v="Okay"/>
    <n v="24"/>
    <x v="0"/>
    <x v="0"/>
    <x v="0"/>
    <s v="Nairobi"/>
    <s v="Africa→Kenya→Nairobi"/>
    <s v="Small Business"/>
    <x v="0"/>
    <x v="1"/>
    <x v="6"/>
    <e v="#REF!"/>
    <x v="207"/>
    <n v="1030.44"/>
    <n v="2562.84"/>
    <n v="2562.84"/>
    <s v="High"/>
    <n v="0.14799999999999999"/>
    <n v="0.14799999999999999"/>
    <x v="0"/>
    <n v="13"/>
    <n v="28386.015839999996"/>
    <n v="13395.720000000001"/>
    <n v="14990.295839999995"/>
    <n v="0.52808734852027039"/>
  </r>
  <r>
    <s v="ORD-2024-687100"/>
    <x v="187"/>
    <d v="2024-09-10T00:00:00"/>
    <x v="29"/>
    <x v="6"/>
    <s v="2024"/>
    <x v="9"/>
    <d v="2024-10-07T00:00:00"/>
    <d v="2024-10-07T00:00:00"/>
    <s v="Okay"/>
    <n v="27"/>
    <x v="0"/>
    <x v="0"/>
    <x v="0"/>
    <s v="Kisumu"/>
    <s v="Africa→Kenya→Kisumu"/>
    <s v="Consumer"/>
    <x v="0"/>
    <x v="4"/>
    <x v="1"/>
    <e v="#REF!"/>
    <x v="208"/>
    <n v="1248.3900000000001"/>
    <n v="1805.11"/>
    <n v="1805.11"/>
    <s v="Medium"/>
    <n v="0.20300000000000001"/>
    <n v="0.20300000000000001"/>
    <x v="0"/>
    <n v="11"/>
    <n v="15825.399369999997"/>
    <n v="13732.29"/>
    <n v="2093.1093699999965"/>
    <n v="0.13226265707820786"/>
  </r>
  <r>
    <s v="ORD-2025-629393"/>
    <x v="188"/>
    <d v="2025-07-21T00:00:00"/>
    <x v="13"/>
    <x v="8"/>
    <s v="2025"/>
    <x v="7"/>
    <d v="2025-08-07T00:00:00"/>
    <d v="2025-08-07T00:00:00"/>
    <s v="Okay"/>
    <n v="17"/>
    <x v="0"/>
    <x v="0"/>
    <x v="1"/>
    <s v="Lagos"/>
    <s v="Africa→Nigeria→Lagos"/>
    <s v="Enterprise"/>
    <x v="4"/>
    <x v="12"/>
    <x v="6"/>
    <e v="#REF!"/>
    <x v="209"/>
    <n v="1204.95"/>
    <n v="2065.73"/>
    <n v="2065.73"/>
    <s v="High"/>
    <n v="0.13600000000000001"/>
    <n v="0.13600000000000001"/>
    <x v="0"/>
    <n v="10"/>
    <n v="17847.907199999998"/>
    <n v="12049.5"/>
    <n v="5798.4071999999978"/>
    <n v="0.32487882949100039"/>
  </r>
  <r>
    <s v="ORD-2024-686712"/>
    <x v="189"/>
    <d v="2024-10-02T00:00:00"/>
    <x v="1"/>
    <x v="1"/>
    <s v="2024"/>
    <x v="1"/>
    <d v="2024-10-23T00:00:00"/>
    <d v="2024-10-23T00:00:00"/>
    <s v="Okay"/>
    <n v="21"/>
    <x v="0"/>
    <x v="0"/>
    <x v="11"/>
    <s v="Durban"/>
    <s v="Africa→South Africa→Durban"/>
    <s v="Corporate"/>
    <x v="2"/>
    <x v="8"/>
    <x v="0"/>
    <e v="#REF!"/>
    <x v="210"/>
    <n v="1095.6099999999999"/>
    <n v="2366.5100000000002"/>
    <n v="2366.5100000000002"/>
    <s v="High"/>
    <n v="0.152"/>
    <n v="0.152"/>
    <x v="0"/>
    <n v="9"/>
    <n v="18061.204320000004"/>
    <n v="9860.49"/>
    <n v="8200.7143200000046"/>
    <n v="0.4540513564158607"/>
  </r>
  <r>
    <s v="ORD-2025-586799"/>
    <x v="190"/>
    <d v="2025-07-14T00:00:00"/>
    <x v="13"/>
    <x v="8"/>
    <s v="2025"/>
    <x v="7"/>
    <d v="2025-08-04T00:00:00"/>
    <d v="2025-08-04T00:00:00"/>
    <s v="Okay"/>
    <n v="21"/>
    <x v="0"/>
    <x v="2"/>
    <x v="3"/>
    <s v="Montreal"/>
    <s v="Americas→Canada→Montreal"/>
    <s v="Consumer"/>
    <x v="1"/>
    <x v="10"/>
    <x v="5"/>
    <e v="#REF!"/>
    <x v="211"/>
    <n v="90.3"/>
    <n v="131.76"/>
    <n v="131.76"/>
    <s v="Low"/>
    <n v="0.10199999999999999"/>
    <n v="0.10199999999999999"/>
    <x v="0"/>
    <n v="15"/>
    <n v="1774.8072"/>
    <n v="1354.5"/>
    <n v="420.30719999999997"/>
    <n v="0.23681851189244668"/>
  </r>
  <r>
    <s v="ORD-2024-988736"/>
    <x v="191"/>
    <d v="2024-09-09T00:00:00"/>
    <x v="29"/>
    <x v="6"/>
    <s v="2024"/>
    <x v="9"/>
    <d v="2024-10-01T00:00:00"/>
    <d v="2024-10-01T00:00:00"/>
    <s v="Okay"/>
    <n v="22"/>
    <x v="0"/>
    <x v="1"/>
    <x v="9"/>
    <s v="Shenzhen"/>
    <s v="Asia→China→Shenzhen"/>
    <s v="Consumer"/>
    <x v="4"/>
    <x v="4"/>
    <x v="1"/>
    <e v="#REF!"/>
    <x v="212"/>
    <n v="1166.18"/>
    <n v="1335.02"/>
    <n v="1335.02"/>
    <s v="Medium"/>
    <n v="0.128"/>
    <n v="0.128"/>
    <x v="0"/>
    <n v="6"/>
    <n v="6984.8246399999998"/>
    <n v="6997.08"/>
    <n v="-12.25536000000011"/>
    <n v="-1.7545694604582242E-3"/>
  </r>
  <r>
    <s v="ORD-2025-564184"/>
    <x v="192"/>
    <d v="2025-01-29T00:00:00"/>
    <x v="10"/>
    <x v="4"/>
    <s v="2025"/>
    <x v="3"/>
    <d v="2025-02-06T00:00:00"/>
    <d v="2025-02-06T00:00:00"/>
    <s v="Okay"/>
    <n v="8"/>
    <x v="0"/>
    <x v="0"/>
    <x v="0"/>
    <s v="Kisumu"/>
    <s v="Africa→Kenya→Kisumu"/>
    <s v="Education"/>
    <x v="0"/>
    <x v="5"/>
    <x v="3"/>
    <e v="#REF!"/>
    <x v="213"/>
    <n v="1445.27"/>
    <n v="2691.45"/>
    <n v="2691.45"/>
    <s v="High"/>
    <n v="0"/>
    <n v="0"/>
    <x v="0"/>
    <n v="9"/>
    <n v="24223.05"/>
    <n v="13007.43"/>
    <n v="11215.619999999999"/>
    <n v="0.46301436028906351"/>
  </r>
  <r>
    <s v="ORD-2023-653343"/>
    <x v="193"/>
    <d v="2023-11-10T00:00:00"/>
    <x v="30"/>
    <x v="10"/>
    <s v="2023"/>
    <x v="4"/>
    <d v="2023-11-28T00:00:00"/>
    <d v="2023-11-28T00:00:00"/>
    <s v="Okay"/>
    <n v="18"/>
    <x v="0"/>
    <x v="2"/>
    <x v="5"/>
    <s v="Brasília"/>
    <s v="Americas→Brazil→Brasília"/>
    <s v="Education"/>
    <x v="2"/>
    <x v="4"/>
    <x v="6"/>
    <e v="#REF!"/>
    <x v="214"/>
    <n v="388.51"/>
    <n v="776.46"/>
    <n v="776.46"/>
    <s v="Low"/>
    <n v="0.157"/>
    <n v="0.157"/>
    <x v="0"/>
    <n v="12"/>
    <n v="7854.6693599999999"/>
    <n v="4662.12"/>
    <n v="3192.54936"/>
    <n v="0.40645241876864946"/>
  </r>
  <r>
    <s v="ORD-2024-197852"/>
    <x v="194"/>
    <d v="2024-02-29T00:00:00"/>
    <x v="31"/>
    <x v="2"/>
    <s v="2024"/>
    <x v="0"/>
    <d v="2024-03-30T00:00:00"/>
    <d v="2024-03-30T00:00:00"/>
    <s v="Okay"/>
    <n v="30"/>
    <x v="0"/>
    <x v="1"/>
    <x v="2"/>
    <s v="Nagoya"/>
    <s v="Asia→Japan→Nagoya"/>
    <s v="Small Business"/>
    <x v="4"/>
    <x v="2"/>
    <x v="2"/>
    <e v="#REF!"/>
    <x v="215"/>
    <n v="231.11"/>
    <n v="318.17"/>
    <n v="318.17"/>
    <s v="Low"/>
    <n v="0.20100000000000001"/>
    <n v="0.20100000000000001"/>
    <x v="0"/>
    <n v="60"/>
    <n v="15253.069799999999"/>
    <n v="13866.6"/>
    <n v="1386.4697999999989"/>
    <n v="9.0897754889969692E-2"/>
  </r>
  <r>
    <s v="ORD-2023-431328"/>
    <x v="195"/>
    <d v="2023-12-20T00:00:00"/>
    <x v="4"/>
    <x v="3"/>
    <s v="2023"/>
    <x v="4"/>
    <d v="2024-01-14T00:00:00"/>
    <d v="2024-01-14T00:00:00"/>
    <s v="Okay"/>
    <n v="25"/>
    <x v="0"/>
    <x v="1"/>
    <x v="4"/>
    <s v="Mumbai"/>
    <s v="Asia→India→Mumbai"/>
    <s v="Non-Profit"/>
    <x v="2"/>
    <x v="4"/>
    <x v="5"/>
    <e v="#REF!"/>
    <x v="216"/>
    <n v="1085.6099999999999"/>
    <n v="1246.4100000000001"/>
    <n v="1246.4100000000001"/>
    <s v="Medium"/>
    <n v="0.113"/>
    <n v="0.113"/>
    <x v="0"/>
    <n v="7"/>
    <n v="7738.9596900000006"/>
    <n v="7599.2699999999995"/>
    <n v="139.68969000000106"/>
    <n v="1.8050189637310417E-2"/>
  </r>
  <r>
    <s v="ORD-2023-613317"/>
    <x v="119"/>
    <d v="2023-01-21T00:00:00"/>
    <x v="5"/>
    <x v="4"/>
    <s v="2023"/>
    <x v="2"/>
    <d v="2023-01-21T00:00:00"/>
    <d v="2023-01-29T00:00:00"/>
    <s v="Invalid"/>
    <n v="8"/>
    <x v="0"/>
    <x v="3"/>
    <x v="6"/>
    <s v="Munich"/>
    <s v="Europe→Germany→Munich"/>
    <s v="Corporate"/>
    <x v="4"/>
    <x v="9"/>
    <x v="5"/>
    <e v="#REF!"/>
    <x v="217"/>
    <n v="150.86000000000001"/>
    <n v="346.96"/>
    <n v="346.96"/>
    <s v="Low"/>
    <n v="0.19600000000000001"/>
    <n v="0.19600000000000001"/>
    <x v="0"/>
    <n v="8"/>
    <n v="2231.6467200000002"/>
    <n v="1206.8800000000001"/>
    <n v="1024.7667200000001"/>
    <n v="0.45919755614365343"/>
  </r>
  <r>
    <s v="ORD-2024-720756"/>
    <x v="196"/>
    <d v="2024-10-11T00:00:00"/>
    <x v="1"/>
    <x v="1"/>
    <s v="2024"/>
    <x v="1"/>
    <d v="2024-11-09T00:00:00"/>
    <d v="2024-11-09T00:00:00"/>
    <s v="Okay"/>
    <n v="29"/>
    <x v="0"/>
    <x v="1"/>
    <x v="9"/>
    <s v="Shanghai"/>
    <s v="Asia→China→Shanghai"/>
    <s v="Non-Profit"/>
    <x v="1"/>
    <x v="9"/>
    <x v="1"/>
    <e v="#REF!"/>
    <x v="218"/>
    <n v="391.64"/>
    <n v="504.76"/>
    <n v="504.76"/>
    <s v="Low"/>
    <n v="4.0000000000000001E-3"/>
    <n v="4.0000000000000001E-3"/>
    <x v="0"/>
    <n v="13"/>
    <n v="6535.6324800000002"/>
    <n v="5091.32"/>
    <n v="1444.3124800000005"/>
    <n v="0.22099046793402319"/>
  </r>
  <r>
    <s v="ORD-2024-777623"/>
    <x v="197"/>
    <d v="2024-09-19T00:00:00"/>
    <x v="29"/>
    <x v="6"/>
    <s v="2024"/>
    <x v="9"/>
    <d v="2024-10-14T00:00:00"/>
    <d v="2024-10-14T00:00:00"/>
    <s v="Okay"/>
    <n v="25"/>
    <x v="0"/>
    <x v="2"/>
    <x v="5"/>
    <s v="Rio de Janeiro"/>
    <s v="Americas→Brazil→Rio de Janeiro"/>
    <s v="Small Business"/>
    <x v="0"/>
    <x v="11"/>
    <x v="1"/>
    <e v="#REF!"/>
    <x v="219"/>
    <n v="386.96"/>
    <n v="937.46"/>
    <n v="937.46"/>
    <s v="Low"/>
    <n v="0.26600000000000001"/>
    <n v="0.26600000000000001"/>
    <x v="0"/>
    <n v="41"/>
    <n v="28211.92124"/>
    <n v="15865.359999999999"/>
    <n v="12346.561240000001"/>
    <n v="0.43763631462626335"/>
  </r>
  <r>
    <s v="ORD-2025-762212"/>
    <x v="198"/>
    <d v="2025-08-25T00:00:00"/>
    <x v="28"/>
    <x v="11"/>
    <s v="2025"/>
    <x v="7"/>
    <d v="2025-09-24T00:00:00"/>
    <d v="2025-09-24T00:00:00"/>
    <s v="Okay"/>
    <n v="30"/>
    <x v="0"/>
    <x v="0"/>
    <x v="0"/>
    <s v="Nairobi"/>
    <s v="Africa→Kenya→Nairobi"/>
    <s v="Consumer"/>
    <x v="4"/>
    <x v="5"/>
    <x v="0"/>
    <e v="#REF!"/>
    <x v="220"/>
    <n v="589.14"/>
    <n v="1300.58"/>
    <n v="1300.58"/>
    <s v="Medium"/>
    <n v="5.5E-2"/>
    <n v="5.5E-2"/>
    <x v="0"/>
    <n v="11"/>
    <n v="13519.529099999998"/>
    <n v="6480.54"/>
    <n v="7038.989099999998"/>
    <n v="0.52065342275863724"/>
  </r>
  <r>
    <s v="ORD-2023-271918"/>
    <x v="199"/>
    <d v="2023-09-25T00:00:00"/>
    <x v="27"/>
    <x v="6"/>
    <s v="2023"/>
    <x v="10"/>
    <d v="2023-10-02T00:00:00"/>
    <d v="2023-10-02T00:00:00"/>
    <s v="Okay"/>
    <n v="7"/>
    <x v="1"/>
    <x v="2"/>
    <x v="10"/>
    <s v="New York"/>
    <s v="Americas→USA→New York"/>
    <s v="Education"/>
    <x v="2"/>
    <x v="2"/>
    <x v="6"/>
    <e v="#REF!"/>
    <x v="221"/>
    <n v="145.58000000000001"/>
    <n v="228.15"/>
    <n v="228.15"/>
    <s v="Low"/>
    <n v="0.20399999999999999"/>
    <n v="0.20399999999999999"/>
    <x v="0"/>
    <n v="5"/>
    <n v="908.03700000000003"/>
    <n v="727.90000000000009"/>
    <n v="180.13699999999994"/>
    <n v="0.19838068272548359"/>
  </r>
  <r>
    <s v="ORD-2023-713375"/>
    <x v="200"/>
    <d v="2023-08-26T00:00:00"/>
    <x v="25"/>
    <x v="11"/>
    <s v="2023"/>
    <x v="10"/>
    <d v="2023-09-10T00:00:00"/>
    <d v="2023-09-10T00:00:00"/>
    <s v="Okay"/>
    <n v="15"/>
    <x v="0"/>
    <x v="0"/>
    <x v="11"/>
    <s v="Cape Town"/>
    <s v="Africa→South Africa→Cape Town"/>
    <s v="Non-Profit"/>
    <x v="4"/>
    <x v="13"/>
    <x v="0"/>
    <e v="#REF!"/>
    <x v="222"/>
    <n v="241.14"/>
    <n v="496.52"/>
    <n v="496.52"/>
    <s v="Low"/>
    <n v="9.2999999999999999E-2"/>
    <n v="9.2999999999999999E-2"/>
    <x v="0"/>
    <n v="10"/>
    <n v="4503.4363999999996"/>
    <n v="2411.3999999999996"/>
    <n v="2092.0364"/>
    <n v="0.46454223268257994"/>
  </r>
  <r>
    <s v="ORD-2025-678688"/>
    <x v="201"/>
    <d v="2025-07-16T00:00:00"/>
    <x v="13"/>
    <x v="8"/>
    <s v="2025"/>
    <x v="7"/>
    <d v="2025-07-17T00:00:00"/>
    <d v="2025-07-17T00:00:00"/>
    <s v="Okay"/>
    <n v="1"/>
    <x v="1"/>
    <x v="0"/>
    <x v="11"/>
    <s v="Durban"/>
    <s v="Africa→South Africa→Durban"/>
    <s v="Small Business"/>
    <x v="3"/>
    <x v="5"/>
    <x v="2"/>
    <e v="#REF!"/>
    <x v="223"/>
    <n v="1198.9000000000001"/>
    <n v="2941.2"/>
    <n v="2941.2"/>
    <s v="High"/>
    <n v="5.0999999999999997E-2"/>
    <n v="5.0999999999999997E-2"/>
    <x v="0"/>
    <n v="24"/>
    <n v="66988.771199999988"/>
    <n v="28773.600000000002"/>
    <n v="38215.171199999982"/>
    <n v="0.57047129713583977"/>
  </r>
  <r>
    <s v="ORD-2023-501220"/>
    <x v="43"/>
    <d v="2023-04-19T00:00:00"/>
    <x v="12"/>
    <x v="7"/>
    <s v="2023"/>
    <x v="8"/>
    <d v="2023-05-07T00:00:00"/>
    <d v="2023-05-07T00:00:00"/>
    <s v="Okay"/>
    <n v="18"/>
    <x v="0"/>
    <x v="3"/>
    <x v="8"/>
    <s v="Birmingham"/>
    <s v="Europe→United Kingdom→Birmingham"/>
    <s v="Enterprise"/>
    <x v="0"/>
    <x v="13"/>
    <x v="4"/>
    <e v="#REF!"/>
    <x v="224"/>
    <n v="1089.1500000000001"/>
    <n v="1088.2"/>
    <n v="1088.2"/>
    <s v="Low"/>
    <n v="5.0999999999999997E-2"/>
    <n v="5.0999999999999997E-2"/>
    <x v="0"/>
    <n v="15"/>
    <n v="15490.527"/>
    <n v="16337.250000000002"/>
    <n v="-846.72300000000178"/>
    <n v="-5.4660696824582002E-2"/>
  </r>
  <r>
    <s v="ORD-2023-195665"/>
    <x v="202"/>
    <d v="2023-12-19T00:00:00"/>
    <x v="4"/>
    <x v="3"/>
    <s v="2023"/>
    <x v="4"/>
    <d v="2023-12-20T00:00:00"/>
    <d v="2023-12-20T00:00:00"/>
    <s v="Okay"/>
    <n v="1"/>
    <x v="1"/>
    <x v="2"/>
    <x v="5"/>
    <s v="Rio de Janeiro"/>
    <s v="Americas→Brazil→Rio de Janeiro"/>
    <s v="Consumer"/>
    <x v="3"/>
    <x v="1"/>
    <x v="3"/>
    <e v="#REF!"/>
    <x v="225"/>
    <n v="1080.43"/>
    <n v="2529.15"/>
    <n v="2529.15"/>
    <s v="High"/>
    <n v="0.14699999999999999"/>
    <n v="0.14699999999999999"/>
    <x v="0"/>
    <n v="10"/>
    <n v="21573.6495"/>
    <n v="10804.300000000001"/>
    <n v="10769.349499999998"/>
    <n v="0.49918997247081437"/>
  </r>
  <r>
    <s v="ORD-2023-290237"/>
    <x v="203"/>
    <d v="2023-07-30T00:00:00"/>
    <x v="24"/>
    <x v="8"/>
    <s v="2023"/>
    <x v="10"/>
    <d v="2023-08-07T00:00:00"/>
    <d v="2023-08-07T00:00:00"/>
    <s v="Okay"/>
    <n v="8"/>
    <x v="0"/>
    <x v="1"/>
    <x v="2"/>
    <s v="Nagoya"/>
    <s v="Asia→Japan→Nagoya"/>
    <s v="Education"/>
    <x v="2"/>
    <x v="8"/>
    <x v="2"/>
    <e v="#REF!"/>
    <x v="226"/>
    <n v="1352.44"/>
    <n v="2698.01"/>
    <n v="2698.01"/>
    <s v="High"/>
    <n v="0.13100000000000001"/>
    <n v="0.13100000000000001"/>
    <x v="0"/>
    <n v="13"/>
    <n v="30479.418970000002"/>
    <n v="17581.72"/>
    <n v="12897.698970000001"/>
    <n v="0.42316091992090887"/>
  </r>
  <r>
    <s v="ORD-2023-302041"/>
    <x v="204"/>
    <d v="2023-10-04T00:00:00"/>
    <x v="32"/>
    <x v="1"/>
    <s v="2023"/>
    <x v="4"/>
    <d v="2023-10-29T00:00:00"/>
    <d v="2023-10-29T00:00:00"/>
    <s v="Okay"/>
    <n v="25"/>
    <x v="0"/>
    <x v="2"/>
    <x v="10"/>
    <s v="San Francisco"/>
    <s v="Americas→USA→San Francisco"/>
    <s v="Small Business"/>
    <x v="3"/>
    <x v="7"/>
    <x v="6"/>
    <e v="#REF!"/>
    <x v="227"/>
    <n v="1239.8399999999999"/>
    <n v="1482.75"/>
    <n v="1482.75"/>
    <s v="Medium"/>
    <n v="6.7000000000000004E-2"/>
    <n v="6.7000000000000004E-2"/>
    <x v="0"/>
    <n v="4"/>
    <n v="5533.6230000000005"/>
    <n v="4959.3599999999997"/>
    <n v="574.26300000000083"/>
    <n v="0.10377703721413634"/>
  </r>
  <r>
    <s v="ORD-2025-289139"/>
    <x v="205"/>
    <d v="2025-08-10T00:00:00"/>
    <x v="28"/>
    <x v="11"/>
    <s v="2025"/>
    <x v="7"/>
    <d v="2025-08-30T00:00:00"/>
    <d v="2025-08-30T00:00:00"/>
    <s v="Okay"/>
    <n v="20"/>
    <x v="0"/>
    <x v="2"/>
    <x v="10"/>
    <s v="San Francisco"/>
    <s v="Americas→USA→San Francisco"/>
    <s v="Corporate"/>
    <x v="2"/>
    <x v="11"/>
    <x v="1"/>
    <e v="#REF!"/>
    <x v="228"/>
    <n v="933.29"/>
    <n v="1456.81"/>
    <n v="1456.81"/>
    <s v="Medium"/>
    <n v="0.123"/>
    <n v="0.123"/>
    <x v="0"/>
    <n v="13"/>
    <n v="16609.090809999998"/>
    <n v="12132.77"/>
    <n v="4476.3208099999974"/>
    <n v="0.26951028573489977"/>
  </r>
  <r>
    <s v="ORD-2023-949710"/>
    <x v="206"/>
    <d v="2023-03-07T00:00:00"/>
    <x v="22"/>
    <x v="0"/>
    <s v="2023"/>
    <x v="2"/>
    <d v="2023-04-01T00:00:00"/>
    <d v="2023-04-01T00:00:00"/>
    <s v="Okay"/>
    <n v="25"/>
    <x v="0"/>
    <x v="0"/>
    <x v="0"/>
    <s v="Nairobi"/>
    <s v="Africa→Kenya→Nairobi"/>
    <s v="Consumer"/>
    <x v="2"/>
    <x v="14"/>
    <x v="1"/>
    <e v="#REF!"/>
    <x v="229"/>
    <n v="1024.0999999999999"/>
    <n v="918.19"/>
    <n v="918.19"/>
    <s v="Low"/>
    <n v="0.189"/>
    <n v="0.189"/>
    <x v="0"/>
    <n v="10"/>
    <n v="7446.5209000000004"/>
    <n v="10241"/>
    <n v="-2794.4790999999996"/>
    <n v="-0.37527311579827827"/>
  </r>
  <r>
    <s v="ORD-2023-603650"/>
    <x v="207"/>
    <d v="2023-05-23T00:00:00"/>
    <x v="15"/>
    <x v="5"/>
    <s v="2023"/>
    <x v="8"/>
    <d v="2023-06-10T00:00:00"/>
    <d v="2023-06-10T00:00:00"/>
    <s v="Okay"/>
    <n v="18"/>
    <x v="0"/>
    <x v="1"/>
    <x v="9"/>
    <s v="Shanghai"/>
    <s v="Asia→China→Shanghai"/>
    <s v="Corporate"/>
    <x v="3"/>
    <x v="6"/>
    <x v="0"/>
    <e v="#REF!"/>
    <x v="230"/>
    <n v="54.62"/>
    <n v="48.94"/>
    <n v="48.94"/>
    <s v="Low"/>
    <n v="0.14799999999999999"/>
    <n v="0.14799999999999999"/>
    <x v="0"/>
    <n v="16"/>
    <n v="667.15008"/>
    <n v="873.92"/>
    <n v="-206.76991999999996"/>
    <n v="-0.3099301434543783"/>
  </r>
  <r>
    <s v="ORD-2025-757957"/>
    <x v="208"/>
    <d v="2025-04-24T00:00:00"/>
    <x v="19"/>
    <x v="7"/>
    <s v="2025"/>
    <x v="6"/>
    <d v="2025-05-06T00:00:00"/>
    <d v="2025-05-06T00:00:00"/>
    <s v="Okay"/>
    <n v="12"/>
    <x v="0"/>
    <x v="2"/>
    <x v="5"/>
    <s v="Brasília"/>
    <s v="Americas→Brazil→Brasília"/>
    <s v="Consumer"/>
    <x v="1"/>
    <x v="0"/>
    <x v="3"/>
    <e v="#REF!"/>
    <x v="231"/>
    <n v="394.13"/>
    <n v="932.29"/>
    <n v="932.29"/>
    <s v="Low"/>
    <n v="0.109"/>
    <n v="0.109"/>
    <x v="0"/>
    <n v="7"/>
    <n v="5814.6927299999998"/>
    <n v="2758.91"/>
    <n v="3055.7827299999999"/>
    <n v="0.5255278089303268"/>
  </r>
  <r>
    <s v="ORD-2024-423853"/>
    <x v="209"/>
    <d v="2024-09-03T00:00:00"/>
    <x v="29"/>
    <x v="6"/>
    <s v="2024"/>
    <x v="9"/>
    <d v="2024-09-08T00:00:00"/>
    <d v="2024-09-08T00:00:00"/>
    <s v="Okay"/>
    <n v="5"/>
    <x v="1"/>
    <x v="0"/>
    <x v="1"/>
    <s v="Lagos"/>
    <s v="Africa→Nigeria→Lagos"/>
    <s v="Small Business"/>
    <x v="4"/>
    <x v="11"/>
    <x v="1"/>
    <e v="#REF!"/>
    <x v="232"/>
    <n v="197.63"/>
    <n v="325.79000000000002"/>
    <n v="325.79000000000002"/>
    <s v="Low"/>
    <n v="0.11600000000000001"/>
    <n v="0.11600000000000001"/>
    <x v="0"/>
    <n v="10"/>
    <n v="2879.9836"/>
    <n v="1976.3"/>
    <n v="903.68360000000007"/>
    <n v="0.31378081458519419"/>
  </r>
  <r>
    <s v="ORD-2024-569164"/>
    <x v="210"/>
    <d v="2024-09-05T00:00:00"/>
    <x v="29"/>
    <x v="6"/>
    <s v="2024"/>
    <x v="9"/>
    <d v="2024-09-25T00:00:00"/>
    <d v="2024-09-25T00:00:00"/>
    <s v="Okay"/>
    <n v="20"/>
    <x v="0"/>
    <x v="1"/>
    <x v="2"/>
    <s v="Osaka"/>
    <s v="Asia→Japan→Osaka"/>
    <s v="Enterprise"/>
    <x v="3"/>
    <x v="14"/>
    <x v="5"/>
    <e v="#REF!"/>
    <x v="233"/>
    <n v="195.54"/>
    <n v="405.97"/>
    <n v="405.97"/>
    <s v="Low"/>
    <n v="0.187"/>
    <n v="0.187"/>
    <x v="0"/>
    <n v="16"/>
    <n v="5280.8577599999999"/>
    <n v="3128.64"/>
    <n v="2152.21776"/>
    <n v="0.40755079152141377"/>
  </r>
  <r>
    <s v="ORD-2023-946143"/>
    <x v="211"/>
    <d v="2023-03-14T00:00:00"/>
    <x v="22"/>
    <x v="0"/>
    <s v="2023"/>
    <x v="2"/>
    <d v="2023-03-30T00:00:00"/>
    <d v="2023-03-30T00:00:00"/>
    <s v="Okay"/>
    <n v="16"/>
    <x v="0"/>
    <x v="0"/>
    <x v="11"/>
    <s v="Cape Town"/>
    <s v="Africa→South Africa→Cape Town"/>
    <s v="Consumer"/>
    <x v="3"/>
    <x v="11"/>
    <x v="0"/>
    <e v="#REF!"/>
    <x v="234"/>
    <n v="1309.77"/>
    <n v="1589.07"/>
    <n v="1589.07"/>
    <s v="Medium"/>
    <n v="0.10199999999999999"/>
    <n v="0.10199999999999999"/>
    <x v="0"/>
    <n v="10"/>
    <n v="14269.848599999999"/>
    <n v="13097.7"/>
    <n v="1172.1485999999986"/>
    <n v="8.2141628328137886E-2"/>
  </r>
  <r>
    <s v="ORD-2024-281211"/>
    <x v="39"/>
    <d v="2024-01-11T00:00:00"/>
    <x v="9"/>
    <x v="4"/>
    <s v="2024"/>
    <x v="0"/>
    <d v="2024-02-02T00:00:00"/>
    <d v="2024-02-02T00:00:00"/>
    <s v="Okay"/>
    <n v="22"/>
    <x v="0"/>
    <x v="1"/>
    <x v="2"/>
    <s v="Nagoya"/>
    <s v="Asia→Japan→Nagoya"/>
    <s v="Small Business"/>
    <x v="1"/>
    <x v="15"/>
    <x v="1"/>
    <e v="#REF!"/>
    <x v="235"/>
    <n v="1237.68"/>
    <n v="1432.8"/>
    <n v="1432.8"/>
    <s v="Medium"/>
    <n v="6.8000000000000005E-2"/>
    <n v="6.8000000000000005E-2"/>
    <x v="0"/>
    <n v="13"/>
    <n v="17359.804799999998"/>
    <n v="16089.84"/>
    <n v="1269.9647999999979"/>
    <n v="7.315547695559331E-2"/>
  </r>
  <r>
    <s v="ORD-2024-805860"/>
    <x v="212"/>
    <d v="2024-09-13T00:00:00"/>
    <x v="29"/>
    <x v="6"/>
    <s v="2024"/>
    <x v="9"/>
    <d v="2024-10-02T00:00:00"/>
    <d v="2024-10-02T00:00:00"/>
    <s v="Okay"/>
    <n v="19"/>
    <x v="0"/>
    <x v="0"/>
    <x v="0"/>
    <s v="Mombasa"/>
    <s v="Africa→Kenya→Mombasa"/>
    <s v="Small Business"/>
    <x v="0"/>
    <x v="12"/>
    <x v="3"/>
    <e v="#REF!"/>
    <x v="236"/>
    <n v="1338.99"/>
    <n v="1765.76"/>
    <n v="1765.76"/>
    <s v="Medium"/>
    <n v="0.126"/>
    <n v="0.126"/>
    <x v="0"/>
    <n v="24"/>
    <n v="37038.581760000001"/>
    <n v="32135.760000000002"/>
    <n v="4902.8217599999989"/>
    <n v="0.1323706666677725"/>
  </r>
  <r>
    <s v="ORD-2025-132174"/>
    <x v="213"/>
    <d v="2025-07-17T00:00:00"/>
    <x v="13"/>
    <x v="8"/>
    <s v="2025"/>
    <x v="7"/>
    <d v="2025-07-23T00:00:00"/>
    <d v="2025-07-23T00:00:00"/>
    <s v="Okay"/>
    <n v="6"/>
    <x v="1"/>
    <x v="2"/>
    <x v="3"/>
    <s v="Vancouver"/>
    <s v="Americas→Canada→Vancouver"/>
    <s v="Consumer"/>
    <x v="1"/>
    <x v="10"/>
    <x v="0"/>
    <e v="#REF!"/>
    <x v="237"/>
    <n v="1364.89"/>
    <n v="2757.54"/>
    <n v="2757.54"/>
    <s v="High"/>
    <n v="0.17199999999999999"/>
    <n v="0.17199999999999999"/>
    <x v="0"/>
    <n v="61"/>
    <n v="139277.83032000001"/>
    <n v="83258.290000000008"/>
    <n v="56019.54032"/>
    <n v="0.4022143379983118"/>
  </r>
  <r>
    <s v="ORD-2023-964434"/>
    <x v="214"/>
    <d v="2023-11-28T00:00:00"/>
    <x v="30"/>
    <x v="10"/>
    <s v="2023"/>
    <x v="4"/>
    <d v="2023-12-07T00:00:00"/>
    <d v="2023-12-07T00:00:00"/>
    <s v="Okay"/>
    <n v="9"/>
    <x v="0"/>
    <x v="1"/>
    <x v="4"/>
    <s v="Delhi"/>
    <s v="Asia→India→Delhi"/>
    <s v="Enterprise"/>
    <x v="2"/>
    <x v="4"/>
    <x v="3"/>
    <e v="#REF!"/>
    <x v="238"/>
    <n v="699.33"/>
    <n v="873.75"/>
    <n v="873.75"/>
    <s v="Low"/>
    <n v="0.23499999999999999"/>
    <n v="0.23499999999999999"/>
    <x v="0"/>
    <n v="10"/>
    <n v="6684.1875"/>
    <n v="6993.3"/>
    <n v="-309.11250000000018"/>
    <n v="-4.6245336475076469E-2"/>
  </r>
  <r>
    <s v="ORD-2024-897622"/>
    <x v="215"/>
    <d v="2024-03-30T00:00:00"/>
    <x v="0"/>
    <x v="0"/>
    <s v="2024"/>
    <x v="0"/>
    <d v="2024-04-24T00:00:00"/>
    <d v="2024-04-24T00:00:00"/>
    <s v="Okay"/>
    <n v="25"/>
    <x v="0"/>
    <x v="2"/>
    <x v="10"/>
    <s v="Austin"/>
    <s v="Americas→USA→Austin"/>
    <s v="Non-Profit"/>
    <x v="1"/>
    <x v="3"/>
    <x v="4"/>
    <e v="#REF!"/>
    <x v="239"/>
    <n v="160.82"/>
    <n v="258.52"/>
    <n v="258.52"/>
    <s v="Low"/>
    <n v="0.13"/>
    <n v="0.13"/>
    <x v="0"/>
    <n v="17"/>
    <n v="3823.5108"/>
    <n v="2733.94"/>
    <n v="1089.5708"/>
    <n v="0.28496605789631874"/>
  </r>
  <r>
    <s v="ORD-2023-517216"/>
    <x v="216"/>
    <d v="2023-09-19T00:00:00"/>
    <x v="27"/>
    <x v="6"/>
    <s v="2023"/>
    <x v="10"/>
    <d v="2023-10-08T00:00:00"/>
    <d v="2023-10-08T00:00:00"/>
    <s v="Okay"/>
    <n v="19"/>
    <x v="0"/>
    <x v="1"/>
    <x v="4"/>
    <s v="Bengaluru"/>
    <s v="Asia→India→Bengaluru"/>
    <s v="Education"/>
    <x v="4"/>
    <x v="1"/>
    <x v="1"/>
    <e v="#REF!"/>
    <x v="240"/>
    <n v="385.32"/>
    <n v="606.76"/>
    <n v="606.76"/>
    <s v="Low"/>
    <n v="8.5999999999999993E-2"/>
    <n v="8.5999999999999993E-2"/>
    <x v="0"/>
    <n v="8"/>
    <n v="4436.6291200000005"/>
    <n v="3082.56"/>
    <n v="1354.0691200000006"/>
    <n v="0.30520223425842735"/>
  </r>
  <r>
    <s v="ORD-2025-509940"/>
    <x v="217"/>
    <d v="2025-05-16T00:00:00"/>
    <x v="8"/>
    <x v="5"/>
    <s v="2025"/>
    <x v="6"/>
    <d v="2025-05-27T00:00:00"/>
    <d v="2025-05-27T00:00:00"/>
    <s v="Okay"/>
    <n v="11"/>
    <x v="0"/>
    <x v="1"/>
    <x v="9"/>
    <s v="Beijing"/>
    <s v="Asia→China→Beijing"/>
    <s v="Enterprise"/>
    <x v="1"/>
    <x v="9"/>
    <x v="3"/>
    <e v="#REF!"/>
    <x v="241"/>
    <n v="918.12"/>
    <n v="1337.69"/>
    <n v="1337.69"/>
    <s v="Medium"/>
    <n v="9.5000000000000001E-2"/>
    <n v="9.5000000000000001E-2"/>
    <x v="0"/>
    <n v="8"/>
    <n v="9684.8756000000012"/>
    <n v="7344.96"/>
    <n v="2339.9156000000012"/>
    <n v="0.24160512707050164"/>
  </r>
  <r>
    <s v="ORD-2025-646342"/>
    <x v="218"/>
    <d v="2025-08-02T00:00:00"/>
    <x v="28"/>
    <x v="11"/>
    <s v="2025"/>
    <x v="7"/>
    <d v="2025-08-08T00:00:00"/>
    <d v="2025-08-08T00:00:00"/>
    <s v="Okay"/>
    <n v="6"/>
    <x v="1"/>
    <x v="1"/>
    <x v="2"/>
    <s v="Osaka"/>
    <s v="Asia→Japan→Osaka"/>
    <s v="Consumer"/>
    <x v="4"/>
    <x v="13"/>
    <x v="4"/>
    <e v="#REF!"/>
    <x v="242"/>
    <n v="1225.94"/>
    <n v="1793.08"/>
    <n v="1793.08"/>
    <s v="Medium"/>
    <n v="0.13600000000000001"/>
    <n v="0.13600000000000001"/>
    <x v="0"/>
    <n v="22"/>
    <n v="34082.864639999993"/>
    <n v="26970.68"/>
    <n v="7112.1846399999922"/>
    <n v="0.20867332353434462"/>
  </r>
  <r>
    <s v="ORD-2024-866535"/>
    <x v="219"/>
    <d v="2024-12-04T00:00:00"/>
    <x v="6"/>
    <x v="3"/>
    <s v="2024"/>
    <x v="1"/>
    <d v="2024-12-12T00:00:00"/>
    <d v="2024-12-12T00:00:00"/>
    <s v="Okay"/>
    <n v="8"/>
    <x v="0"/>
    <x v="3"/>
    <x v="6"/>
    <s v="Frankfurt"/>
    <s v="Europe→Germany→Frankfurt"/>
    <s v="Enterprise"/>
    <x v="2"/>
    <x v="5"/>
    <x v="1"/>
    <e v="#REF!"/>
    <x v="243"/>
    <n v="72.06"/>
    <n v="122.74"/>
    <n v="122.74"/>
    <s v="Low"/>
    <n v="0.23799999999999999"/>
    <n v="0.23799999999999999"/>
    <x v="0"/>
    <n v="8"/>
    <n v="748.22303999999997"/>
    <n v="576.48"/>
    <n v="171.74303999999995"/>
    <n v="0.22953455162246802"/>
  </r>
  <r>
    <s v="ORD-2023-747341"/>
    <x v="43"/>
    <d v="2023-04-19T00:00:00"/>
    <x v="12"/>
    <x v="7"/>
    <s v="2023"/>
    <x v="8"/>
    <d v="2023-04-28T00:00:00"/>
    <d v="2023-04-28T00:00:00"/>
    <s v="Okay"/>
    <n v="9"/>
    <x v="0"/>
    <x v="2"/>
    <x v="5"/>
    <s v="Rio de Janeiro"/>
    <s v="Americas→Brazil→Rio de Janeiro"/>
    <s v="Corporate"/>
    <x v="3"/>
    <x v="12"/>
    <x v="3"/>
    <e v="#REF!"/>
    <x v="244"/>
    <n v="1013.54"/>
    <n v="927.93"/>
    <n v="927.93"/>
    <s v="Low"/>
    <n v="0.17499999999999999"/>
    <n v="0.17499999999999999"/>
    <x v="0"/>
    <n v="16"/>
    <n v="12248.675999999999"/>
    <n v="16216.64"/>
    <n v="-3967.9639999999999"/>
    <n v="-0.32395044166406234"/>
  </r>
  <r>
    <s v="ORD-2024-853298"/>
    <x v="220"/>
    <d v="2024-03-06T00:00:00"/>
    <x v="0"/>
    <x v="0"/>
    <s v="2024"/>
    <x v="0"/>
    <d v="2024-03-26T00:00:00"/>
    <d v="2024-03-26T00:00:00"/>
    <s v="Okay"/>
    <n v="20"/>
    <x v="0"/>
    <x v="0"/>
    <x v="1"/>
    <s v="Port Harcourt"/>
    <s v="Africa→Nigeria→Port Harcourt"/>
    <s v="Consumer"/>
    <x v="2"/>
    <x v="2"/>
    <x v="3"/>
    <e v="#REF!"/>
    <x v="245"/>
    <n v="65.64"/>
    <n v="151.88"/>
    <n v="151.88"/>
    <s v="Low"/>
    <n v="0.16700000000000001"/>
    <n v="0.16700000000000001"/>
    <x v="0"/>
    <n v="23"/>
    <n v="2909.8689199999999"/>
    <n v="1509.72"/>
    <n v="1400.1489199999999"/>
    <n v="0.48117250587356353"/>
  </r>
  <r>
    <s v="ORD-2024-544865"/>
    <x v="221"/>
    <d v="2024-02-16T00:00:00"/>
    <x v="31"/>
    <x v="2"/>
    <s v="2024"/>
    <x v="0"/>
    <d v="2024-03-04T00:00:00"/>
    <d v="2024-03-04T00:00:00"/>
    <s v="Okay"/>
    <n v="17"/>
    <x v="0"/>
    <x v="2"/>
    <x v="3"/>
    <s v="Montreal"/>
    <s v="Americas→Canada→Montreal"/>
    <s v="Non-Profit"/>
    <x v="0"/>
    <x v="14"/>
    <x v="4"/>
    <e v="#REF!"/>
    <x v="246"/>
    <n v="1350.98"/>
    <n v="2210.4"/>
    <n v="2210.4"/>
    <s v="High"/>
    <n v="0.26300000000000001"/>
    <n v="0.26300000000000001"/>
    <x v="0"/>
    <n v="6"/>
    <n v="9774.3888000000006"/>
    <n v="8105.88"/>
    <n v="1668.5088000000005"/>
    <n v="0.17070211080615091"/>
  </r>
  <r>
    <s v="ORD-2025-946490"/>
    <x v="222"/>
    <d v="2025-04-22T00:00:00"/>
    <x v="19"/>
    <x v="7"/>
    <s v="2025"/>
    <x v="6"/>
    <d v="2025-05-02T00:00:00"/>
    <d v="2025-05-02T00:00:00"/>
    <s v="Okay"/>
    <n v="10"/>
    <x v="0"/>
    <x v="3"/>
    <x v="6"/>
    <s v="Berlin"/>
    <s v="Europe→Germany→Berlin"/>
    <s v="Corporate"/>
    <x v="2"/>
    <x v="0"/>
    <x v="5"/>
    <e v="#REF!"/>
    <x v="247"/>
    <n v="20.149999999999999"/>
    <n v="39.74"/>
    <n v="39.74"/>
    <s v="Low"/>
    <n v="0.151"/>
    <n v="0.151"/>
    <x v="0"/>
    <n v="18"/>
    <n v="607.30668000000003"/>
    <n v="362.7"/>
    <n v="244.60668000000004"/>
    <n v="0.4027729120318585"/>
  </r>
  <r>
    <s v="ORD-2024-320972"/>
    <x v="223"/>
    <d v="2024-11-08T00:00:00"/>
    <x v="18"/>
    <x v="10"/>
    <s v="2024"/>
    <x v="1"/>
    <d v="2024-11-08T00:00:00"/>
    <d v="2024-11-08T00:00:00"/>
    <s v="Okay"/>
    <n v="0"/>
    <x v="1"/>
    <x v="0"/>
    <x v="0"/>
    <s v="Nakuru"/>
    <s v="Africa→Kenya→Nakuru"/>
    <s v="Enterprise"/>
    <x v="2"/>
    <x v="12"/>
    <x v="2"/>
    <e v="#REF!"/>
    <x v="248"/>
    <n v="803.28"/>
    <n v="1009"/>
    <n v="1009"/>
    <s v="Low"/>
    <n v="0.11"/>
    <n v="0.11"/>
    <x v="0"/>
    <n v="4"/>
    <n v="3592.04"/>
    <n v="3213.12"/>
    <n v="378.92000000000007"/>
    <n v="0.10548880302001093"/>
  </r>
  <r>
    <s v="ORD-2025-248586"/>
    <x v="224"/>
    <d v="2025-09-12T00:00:00"/>
    <x v="11"/>
    <x v="6"/>
    <s v="2025"/>
    <x v="7"/>
    <d v="2025-09-30T00:00:00"/>
    <d v="2025-09-30T00:00:00"/>
    <s v="Okay"/>
    <n v="18"/>
    <x v="0"/>
    <x v="1"/>
    <x v="2"/>
    <s v="Nagoya"/>
    <s v="Asia→Japan→Nagoya"/>
    <s v="Non-Profit"/>
    <x v="2"/>
    <x v="9"/>
    <x v="5"/>
    <e v="#REF!"/>
    <x v="249"/>
    <n v="1212.99"/>
    <n v="1653.64"/>
    <n v="1653.64"/>
    <s v="Medium"/>
    <n v="0.107"/>
    <n v="0.107"/>
    <x v="0"/>
    <n v="8"/>
    <n v="11813.604160000001"/>
    <n v="9703.92"/>
    <n v="2109.6841600000007"/>
    <n v="0.17858090819931455"/>
  </r>
  <r>
    <s v="ORD-2024-664046"/>
    <x v="225"/>
    <d v="2024-09-02T00:00:00"/>
    <x v="29"/>
    <x v="6"/>
    <s v="2024"/>
    <x v="9"/>
    <d v="2024-09-08T00:00:00"/>
    <d v="2024-09-08T00:00:00"/>
    <s v="Okay"/>
    <n v="6"/>
    <x v="1"/>
    <x v="2"/>
    <x v="10"/>
    <s v="Austin"/>
    <s v="Americas→USA→Austin"/>
    <s v="Consumer"/>
    <x v="4"/>
    <x v="10"/>
    <x v="0"/>
    <e v="#REF!"/>
    <x v="250"/>
    <n v="462.94"/>
    <n v="1015.7"/>
    <n v="1015.7"/>
    <s v="Low"/>
    <n v="0.14299999999999999"/>
    <n v="0.14299999999999999"/>
    <x v="0"/>
    <n v="14"/>
    <n v="12186.368600000002"/>
    <n v="6481.16"/>
    <n v="5705.2086000000018"/>
    <n v="0.46816314090483041"/>
  </r>
  <r>
    <s v="ORD-2023-276806"/>
    <x v="226"/>
    <d v="2023-03-04T00:00:00"/>
    <x v="22"/>
    <x v="0"/>
    <s v="2023"/>
    <x v="2"/>
    <d v="2023-03-24T00:00:00"/>
    <d v="2023-03-24T00:00:00"/>
    <s v="Okay"/>
    <n v="20"/>
    <x v="0"/>
    <x v="2"/>
    <x v="3"/>
    <s v="Montreal"/>
    <s v="Americas→Canada→Montreal"/>
    <s v="Consumer"/>
    <x v="3"/>
    <x v="2"/>
    <x v="4"/>
    <e v="#REF!"/>
    <x v="251"/>
    <n v="481.71"/>
    <n v="912.45"/>
    <n v="912.45"/>
    <s v="Low"/>
    <n v="0.20300000000000001"/>
    <n v="0.20300000000000001"/>
    <x v="0"/>
    <n v="24"/>
    <n v="17453.3436"/>
    <n v="11561.039999999999"/>
    <n v="5892.3036000000011"/>
    <n v="0.33760313983619739"/>
  </r>
  <r>
    <s v="ORD-2024-220234"/>
    <x v="227"/>
    <d v="2024-03-15T00:00:00"/>
    <x v="0"/>
    <x v="0"/>
    <s v="2024"/>
    <x v="0"/>
    <d v="2024-04-09T00:00:00"/>
    <d v="2024-04-09T00:00:00"/>
    <s v="Okay"/>
    <n v="25"/>
    <x v="0"/>
    <x v="2"/>
    <x v="3"/>
    <s v="Vancouver"/>
    <s v="Americas→Canada→Vancouver"/>
    <s v="Consumer"/>
    <x v="1"/>
    <x v="9"/>
    <x v="5"/>
    <e v="#REF!"/>
    <x v="252"/>
    <n v="648.64"/>
    <n v="815.19"/>
    <n v="815.19"/>
    <s v="Low"/>
    <n v="0.22500000000000001"/>
    <n v="0.22500000000000001"/>
    <x v="0"/>
    <n v="28"/>
    <n v="17689.623"/>
    <n v="18161.919999999998"/>
    <n v="-472.29699999999866"/>
    <n v="-2.6699099240272032E-2"/>
  </r>
  <r>
    <s v="ORD-2024-301260"/>
    <x v="228"/>
    <d v="2024-07-29T00:00:00"/>
    <x v="14"/>
    <x v="8"/>
    <s v="2024"/>
    <x v="9"/>
    <d v="2024-07-31T00:00:00"/>
    <d v="2024-07-31T00:00:00"/>
    <s v="Okay"/>
    <n v="2"/>
    <x v="1"/>
    <x v="2"/>
    <x v="10"/>
    <s v="New York"/>
    <s v="Americas→USA→New York"/>
    <s v="Education"/>
    <x v="2"/>
    <x v="2"/>
    <x v="1"/>
    <e v="#REF!"/>
    <x v="253"/>
    <n v="798.97"/>
    <n v="1814.06"/>
    <n v="1814.06"/>
    <s v="Medium"/>
    <n v="0.122"/>
    <n v="0.122"/>
    <x v="0"/>
    <n v="16"/>
    <n v="25483.91488"/>
    <n v="12783.52"/>
    <n v="12700.39488"/>
    <n v="0.49836906691159061"/>
  </r>
  <r>
    <s v="ORD-2024-350100"/>
    <x v="229"/>
    <d v="2024-10-27T00:00:00"/>
    <x v="1"/>
    <x v="1"/>
    <s v="2024"/>
    <x v="1"/>
    <d v="2024-11-20T00:00:00"/>
    <d v="2024-11-20T00:00:00"/>
    <s v="Okay"/>
    <n v="24"/>
    <x v="0"/>
    <x v="1"/>
    <x v="2"/>
    <s v="Nagoya"/>
    <s v="Asia→Japan→Nagoya"/>
    <s v="Non-Profit"/>
    <x v="1"/>
    <x v="10"/>
    <x v="5"/>
    <e v="#REF!"/>
    <x v="254"/>
    <n v="317.25"/>
    <n v="758.92"/>
    <n v="758.92"/>
    <s v="Low"/>
    <n v="5.2999999999999999E-2"/>
    <n v="5.2999999999999999E-2"/>
    <x v="0"/>
    <n v="9"/>
    <n v="6468.2751599999992"/>
    <n v="2855.25"/>
    <n v="3613.0251599999992"/>
    <n v="0.5585762928489888"/>
  </r>
  <r>
    <s v="ORD-2024-855600"/>
    <x v="230"/>
    <d v="2024-04-29T00:00:00"/>
    <x v="20"/>
    <x v="7"/>
    <s v="2024"/>
    <x v="5"/>
    <d v="2024-05-19T00:00:00"/>
    <d v="2024-05-19T00:00:00"/>
    <s v="Okay"/>
    <n v="20"/>
    <x v="0"/>
    <x v="3"/>
    <x v="6"/>
    <s v="Frankfurt"/>
    <s v="Europe→Germany→Frankfurt"/>
    <s v="Enterprise"/>
    <x v="2"/>
    <x v="0"/>
    <x v="4"/>
    <e v="#REF!"/>
    <x v="255"/>
    <n v="668.97"/>
    <n v="1667.44"/>
    <n v="1667.44"/>
    <s v="Medium"/>
    <n v="3.4000000000000002E-2"/>
    <n v="3.4000000000000002E-2"/>
    <x v="0"/>
    <n v="15"/>
    <n v="24161.205600000001"/>
    <n v="10034.550000000001"/>
    <n v="14126.6556"/>
    <n v="0.58468339013679016"/>
  </r>
  <r>
    <s v="ORD-2023-474313"/>
    <x v="231"/>
    <d v="2023-10-05T00:00:00"/>
    <x v="32"/>
    <x v="1"/>
    <s v="2023"/>
    <x v="4"/>
    <d v="2023-10-06T00:00:00"/>
    <d v="2023-10-06T00:00:00"/>
    <s v="Okay"/>
    <n v="1"/>
    <x v="1"/>
    <x v="1"/>
    <x v="4"/>
    <s v="Bengaluru"/>
    <s v="Asia→India→Bengaluru"/>
    <s v="Non-Profit"/>
    <x v="1"/>
    <x v="2"/>
    <x v="0"/>
    <e v="#REF!"/>
    <x v="256"/>
    <n v="1470.26"/>
    <n v="2562.5500000000002"/>
    <n v="2562.5500000000002"/>
    <s v="High"/>
    <n v="0.17299999999999999"/>
    <n v="0.17299999999999999"/>
    <x v="0"/>
    <n v="9"/>
    <n v="19073.059649999999"/>
    <n v="13232.34"/>
    <n v="5840.7196499999991"/>
    <n v="0.30622877279157462"/>
  </r>
  <r>
    <s v="ORD-2023-256951"/>
    <x v="43"/>
    <d v="2023-04-19T00:00:00"/>
    <x v="12"/>
    <x v="7"/>
    <s v="2023"/>
    <x v="8"/>
    <d v="2023-05-07T00:00:00"/>
    <d v="2023-05-07T00:00:00"/>
    <s v="Okay"/>
    <n v="18"/>
    <x v="0"/>
    <x v="3"/>
    <x v="8"/>
    <s v="London"/>
    <s v="Europe→United Kingdom→London"/>
    <s v="Non-Profit"/>
    <x v="4"/>
    <x v="10"/>
    <x v="2"/>
    <e v="#REF!"/>
    <x v="257"/>
    <n v="516.96"/>
    <n v="745.38"/>
    <n v="745.38"/>
    <s v="Low"/>
    <n v="0.19700000000000001"/>
    <n v="0.19700000000000001"/>
    <x v="0"/>
    <n v="4"/>
    <n v="2394.1605599999998"/>
    <n v="2067.84"/>
    <n v="326.32055999999966"/>
    <n v="0.13629852794835101"/>
  </r>
  <r>
    <s v="ORD-2025-184754"/>
    <x v="232"/>
    <d v="2025-06-27T00:00:00"/>
    <x v="16"/>
    <x v="9"/>
    <s v="2025"/>
    <x v="6"/>
    <d v="2025-07-05T00:00:00"/>
    <d v="2025-07-05T00:00:00"/>
    <s v="Okay"/>
    <n v="8"/>
    <x v="0"/>
    <x v="3"/>
    <x v="6"/>
    <s v="Munich"/>
    <s v="Europe→Germany→Munich"/>
    <s v="Small Business"/>
    <x v="4"/>
    <x v="3"/>
    <x v="5"/>
    <e v="#REF!"/>
    <x v="258"/>
    <n v="314.93"/>
    <n v="687.95"/>
    <n v="687.95"/>
    <s v="Low"/>
    <n v="0.20499999999999999"/>
    <n v="0.20499999999999999"/>
    <x v="0"/>
    <n v="8"/>
    <n v="4375.3620000000001"/>
    <n v="2519.44"/>
    <n v="1855.922"/>
    <n v="0.424175645352316"/>
  </r>
  <r>
    <s v="ORD-2023-888140"/>
    <x v="233"/>
    <d v="2023-10-11T00:00:00"/>
    <x v="32"/>
    <x v="1"/>
    <s v="2023"/>
    <x v="4"/>
    <d v="2023-10-13T00:00:00"/>
    <d v="2023-10-13T00:00:00"/>
    <s v="Okay"/>
    <n v="2"/>
    <x v="1"/>
    <x v="2"/>
    <x v="5"/>
    <s v="Brasília"/>
    <s v="Americas→Brazil→Brasília"/>
    <s v="Consumer"/>
    <x v="3"/>
    <x v="15"/>
    <x v="6"/>
    <e v="#REF!"/>
    <x v="259"/>
    <n v="715.94"/>
    <n v="550.07000000000005"/>
    <n v="550.07000000000005"/>
    <s v="Low"/>
    <n v="0.14000000000000001"/>
    <n v="0.14000000000000001"/>
    <x v="0"/>
    <n v="16"/>
    <n v="7568.9632000000001"/>
    <n v="11455.04"/>
    <n v="-3886.0768000000007"/>
    <n v="-0.51342260456491595"/>
  </r>
  <r>
    <s v="ORD-2023-638181"/>
    <x v="72"/>
    <d v="2023-05-20T00:00:00"/>
    <x v="15"/>
    <x v="5"/>
    <s v="2023"/>
    <x v="8"/>
    <d v="2023-06-07T00:00:00"/>
    <d v="2023-06-07T00:00:00"/>
    <s v="Okay"/>
    <n v="18"/>
    <x v="0"/>
    <x v="0"/>
    <x v="1"/>
    <s v="Port Harcourt"/>
    <s v="Africa→Nigeria→Port Harcourt"/>
    <s v="Enterprise"/>
    <x v="3"/>
    <x v="6"/>
    <x v="0"/>
    <e v="#REF!"/>
    <x v="260"/>
    <n v="1120.06"/>
    <n v="2068.21"/>
    <n v="2068.21"/>
    <s v="High"/>
    <n v="7.8E-2"/>
    <n v="7.8E-2"/>
    <x v="0"/>
    <n v="12"/>
    <n v="22882.675440000003"/>
    <n v="13440.72"/>
    <n v="9441.9554400000034"/>
    <n v="0.41262462795303284"/>
  </r>
  <r>
    <s v="ORD-2023-521280"/>
    <x v="234"/>
    <d v="2023-05-27T00:00:00"/>
    <x v="15"/>
    <x v="5"/>
    <s v="2023"/>
    <x v="8"/>
    <d v="2023-06-19T00:00:00"/>
    <d v="2023-06-19T00:00:00"/>
    <s v="Okay"/>
    <n v="23"/>
    <x v="0"/>
    <x v="3"/>
    <x v="6"/>
    <s v="Berlin"/>
    <s v="Europe→Germany→Berlin"/>
    <s v="Education"/>
    <x v="0"/>
    <x v="7"/>
    <x v="6"/>
    <e v="#REF!"/>
    <x v="261"/>
    <n v="1471.58"/>
    <n v="2576.65"/>
    <n v="2576.65"/>
    <s v="High"/>
    <n v="4.0000000000000001E-3"/>
    <n v="4.0000000000000001E-3"/>
    <x v="0"/>
    <n v="7"/>
    <n v="17964.4038"/>
    <n v="10301.06"/>
    <n v="7663.3438000000006"/>
    <n v="0.4265849223451546"/>
  </r>
  <r>
    <s v="ORD-2023-630430"/>
    <x v="235"/>
    <d v="2023-08-04T00:00:00"/>
    <x v="25"/>
    <x v="11"/>
    <s v="2023"/>
    <x v="10"/>
    <d v="2023-08-24T00:00:00"/>
    <d v="2023-08-24T00:00:00"/>
    <s v="Okay"/>
    <n v="20"/>
    <x v="0"/>
    <x v="2"/>
    <x v="5"/>
    <s v="Brasília"/>
    <s v="Americas→Brazil→Brasília"/>
    <s v="Non-Profit"/>
    <x v="4"/>
    <x v="15"/>
    <x v="2"/>
    <e v="#REF!"/>
    <x v="262"/>
    <n v="582.88"/>
    <n v="1044.1400000000001"/>
    <n v="1044.1400000000001"/>
    <s v="Low"/>
    <n v="0.216"/>
    <n v="0.216"/>
    <x v="0"/>
    <n v="10"/>
    <n v="8186.057600000001"/>
    <n v="5828.8"/>
    <n v="2357.2576000000008"/>
    <n v="0.28796005539956138"/>
  </r>
  <r>
    <s v="ORD-2025-908258"/>
    <x v="236"/>
    <d v="2025-06-21T00:00:00"/>
    <x v="16"/>
    <x v="9"/>
    <s v="2025"/>
    <x v="6"/>
    <d v="2025-06-27T00:00:00"/>
    <d v="2025-06-27T00:00:00"/>
    <s v="Okay"/>
    <n v="6"/>
    <x v="1"/>
    <x v="0"/>
    <x v="11"/>
    <s v="Durban"/>
    <s v="Africa→South Africa→Durban"/>
    <s v="Enterprise"/>
    <x v="3"/>
    <x v="13"/>
    <x v="3"/>
    <e v="#REF!"/>
    <x v="263"/>
    <n v="93.91"/>
    <n v="99.04"/>
    <n v="99.04"/>
    <s v="Low"/>
    <n v="5.7000000000000002E-2"/>
    <n v="5.7000000000000002E-2"/>
    <x v="0"/>
    <n v="6"/>
    <n v="560.36831999999993"/>
    <n v="563.46"/>
    <n v="-3.0916800000001103"/>
    <n v="-5.5172283829323376E-3"/>
  </r>
  <r>
    <s v="ORD-2025-440093"/>
    <x v="139"/>
    <d v="2025-04-16T00:00:00"/>
    <x v="19"/>
    <x v="7"/>
    <s v="2025"/>
    <x v="6"/>
    <d v="2025-04-26T00:00:00"/>
    <d v="2025-04-26T00:00:00"/>
    <s v="Okay"/>
    <n v="10"/>
    <x v="0"/>
    <x v="0"/>
    <x v="1"/>
    <s v="Port Harcourt"/>
    <s v="Africa→Nigeria→Port Harcourt"/>
    <s v="Enterprise"/>
    <x v="2"/>
    <x v="9"/>
    <x v="4"/>
    <e v="#REF!"/>
    <x v="264"/>
    <n v="1457.44"/>
    <n v="1996.81"/>
    <n v="1996.81"/>
    <s v="High"/>
    <n v="0.126"/>
    <n v="0.126"/>
    <x v="0"/>
    <n v="23"/>
    <n v="40139.874619999995"/>
    <n v="33521.120000000003"/>
    <n v="6618.7546199999924"/>
    <n v="0.16489225944672353"/>
  </r>
  <r>
    <s v="ORD-2025-898022"/>
    <x v="237"/>
    <d v="2025-09-02T00:00:00"/>
    <x v="11"/>
    <x v="6"/>
    <s v="2025"/>
    <x v="7"/>
    <d v="2025-09-11T00:00:00"/>
    <d v="2025-09-11T00:00:00"/>
    <s v="Okay"/>
    <n v="9"/>
    <x v="0"/>
    <x v="2"/>
    <x v="3"/>
    <s v="Toronto"/>
    <s v="Americas→Canada→Toronto"/>
    <s v="Corporate"/>
    <x v="3"/>
    <x v="12"/>
    <x v="1"/>
    <e v="#REF!"/>
    <x v="265"/>
    <n v="1207.6300000000001"/>
    <n v="921.68"/>
    <n v="921.68"/>
    <s v="Low"/>
    <n v="0.19600000000000001"/>
    <n v="0.19600000000000001"/>
    <x v="0"/>
    <n v="17"/>
    <n v="12597.52224"/>
    <n v="20529.710000000003"/>
    <n v="-7932.1877600000025"/>
    <n v="-0.62966253274897988"/>
  </r>
  <r>
    <s v="ORD-2024-500511"/>
    <x v="238"/>
    <d v="2024-10-08T00:00:00"/>
    <x v="1"/>
    <x v="1"/>
    <s v="2024"/>
    <x v="1"/>
    <d v="2024-10-08T00:00:00"/>
    <d v="2024-10-08T00:00:00"/>
    <s v="Okay"/>
    <n v="0"/>
    <x v="1"/>
    <x v="3"/>
    <x v="8"/>
    <s v="London"/>
    <s v="Europe→United Kingdom→London"/>
    <s v="Corporate"/>
    <x v="1"/>
    <x v="6"/>
    <x v="5"/>
    <e v="#REF!"/>
    <x v="266"/>
    <n v="1108.1099999999999"/>
    <n v="2503.79"/>
    <n v="2503.79"/>
    <s v="High"/>
    <n v="0.184"/>
    <n v="0.184"/>
    <x v="0"/>
    <n v="19"/>
    <n v="38818.760160000005"/>
    <n v="21054.089999999997"/>
    <n v="17764.670160000009"/>
    <n v="0.45763105485025896"/>
  </r>
  <r>
    <s v="ORD-2023-632893"/>
    <x v="239"/>
    <d v="2023-05-05T00:00:00"/>
    <x v="15"/>
    <x v="5"/>
    <s v="2023"/>
    <x v="8"/>
    <d v="2023-05-05T00:00:00"/>
    <d v="2023-05-14T00:00:00"/>
    <s v="Invalid"/>
    <n v="9"/>
    <x v="0"/>
    <x v="0"/>
    <x v="1"/>
    <s v="Port Harcourt"/>
    <s v="Africa→Nigeria→Port Harcourt"/>
    <s v="Non-Profit"/>
    <x v="2"/>
    <x v="8"/>
    <x v="0"/>
    <e v="#REF!"/>
    <x v="267"/>
    <n v="1269.6500000000001"/>
    <n v="2462.77"/>
    <n v="2462.77"/>
    <s v="High"/>
    <n v="0.107"/>
    <n v="0.107"/>
    <x v="0"/>
    <n v="8"/>
    <n v="17594.028880000002"/>
    <n v="10157.200000000001"/>
    <n v="7436.8288800000009"/>
    <n v="0.42269050089225502"/>
  </r>
  <r>
    <s v="ORD-2023-967239"/>
    <x v="240"/>
    <d v="2023-12-24T00:00:00"/>
    <x v="4"/>
    <x v="3"/>
    <s v="2023"/>
    <x v="4"/>
    <d v="2024-01-01T00:00:00"/>
    <d v="2024-01-01T00:00:00"/>
    <s v="Okay"/>
    <n v="8"/>
    <x v="0"/>
    <x v="2"/>
    <x v="5"/>
    <s v="São Paulo"/>
    <s v="Americas→Brazil→São Paulo"/>
    <s v="Education"/>
    <x v="4"/>
    <x v="0"/>
    <x v="3"/>
    <e v="#REF!"/>
    <x v="268"/>
    <n v="526.49"/>
    <n v="496.2"/>
    <n v="496.2"/>
    <s v="Low"/>
    <n v="0"/>
    <n v="0"/>
    <x v="0"/>
    <n v="14"/>
    <n v="6946.8"/>
    <n v="7370.8600000000006"/>
    <n v="-424.0600000000004"/>
    <n v="-6.1043933897621985E-2"/>
  </r>
  <r>
    <s v="ORD-2024-885858"/>
    <x v="241"/>
    <d v="2024-01-10T00:00:00"/>
    <x v="9"/>
    <x v="4"/>
    <s v="2024"/>
    <x v="0"/>
    <d v="2024-01-23T00:00:00"/>
    <d v="2024-01-23T00:00:00"/>
    <s v="Okay"/>
    <n v="13"/>
    <x v="0"/>
    <x v="3"/>
    <x v="7"/>
    <s v="Marseille"/>
    <s v="Europe→France→Marseille"/>
    <s v="Corporate"/>
    <x v="4"/>
    <x v="8"/>
    <x v="1"/>
    <e v="#REF!"/>
    <x v="269"/>
    <n v="720"/>
    <n v="907.59"/>
    <n v="907.59"/>
    <s v="Low"/>
    <n v="0.154"/>
    <n v="0.154"/>
    <x v="0"/>
    <n v="10"/>
    <n v="7678.2113999999992"/>
    <n v="7200"/>
    <n v="478.21139999999923"/>
    <n v="6.2281614179052078E-2"/>
  </r>
  <r>
    <s v="ORD-2023-253245"/>
    <x v="242"/>
    <d v="2023-08-03T00:00:00"/>
    <x v="25"/>
    <x v="11"/>
    <s v="2023"/>
    <x v="10"/>
    <d v="2023-08-14T00:00:00"/>
    <d v="2023-08-14T00:00:00"/>
    <s v="Okay"/>
    <n v="11"/>
    <x v="0"/>
    <x v="2"/>
    <x v="5"/>
    <s v="Brasília"/>
    <s v="Americas→Brazil→Brasília"/>
    <s v="Corporate"/>
    <x v="4"/>
    <x v="1"/>
    <x v="6"/>
    <e v="#REF!"/>
    <x v="270"/>
    <n v="232.73"/>
    <n v="334.19"/>
    <n v="334.19"/>
    <s v="Low"/>
    <n v="0.13400000000000001"/>
    <n v="0.13400000000000001"/>
    <x v="0"/>
    <n v="25"/>
    <n v="7235.2134999999998"/>
    <n v="5818.25"/>
    <n v="1416.9634999999998"/>
    <n v="0.1958426658729559"/>
  </r>
  <r>
    <s v="ORD-2025-484073"/>
    <x v="243"/>
    <d v="2025-02-19T00:00:00"/>
    <x v="26"/>
    <x v="2"/>
    <s v="2025"/>
    <x v="3"/>
    <d v="2025-03-09T00:00:00"/>
    <d v="2025-03-09T00:00:00"/>
    <s v="Okay"/>
    <n v="18"/>
    <x v="0"/>
    <x v="1"/>
    <x v="4"/>
    <s v="Delhi"/>
    <s v="Asia→India→Delhi"/>
    <s v="Small Business"/>
    <x v="4"/>
    <x v="7"/>
    <x v="5"/>
    <e v="#REF!"/>
    <x v="271"/>
    <n v="325.87"/>
    <n v="538.79"/>
    <n v="538.79"/>
    <s v="Low"/>
    <n v="0.17399999999999999"/>
    <n v="0.17399999999999999"/>
    <x v="0"/>
    <n v="16"/>
    <n v="7120.6486400000003"/>
    <n v="5213.92"/>
    <n v="1906.7286400000003"/>
    <n v="0.26777457172778013"/>
  </r>
  <r>
    <s v="ORD-2024-745822"/>
    <x v="244"/>
    <d v="2024-03-31T00:00:00"/>
    <x v="0"/>
    <x v="0"/>
    <s v="2024"/>
    <x v="0"/>
    <d v="2024-04-17T00:00:00"/>
    <d v="2024-04-17T00:00:00"/>
    <s v="Okay"/>
    <n v="17"/>
    <x v="0"/>
    <x v="3"/>
    <x v="6"/>
    <s v="Frankfurt"/>
    <s v="Europe→Germany→Frankfurt"/>
    <s v="Education"/>
    <x v="4"/>
    <x v="10"/>
    <x v="5"/>
    <e v="#REF!"/>
    <x v="272"/>
    <n v="1025.51"/>
    <n v="1436.54"/>
    <n v="1436.54"/>
    <s v="Medium"/>
    <n v="0.13900000000000001"/>
    <n v="0.13900000000000001"/>
    <x v="0"/>
    <n v="28"/>
    <n v="34632.106319999999"/>
    <n v="28714.28"/>
    <n v="5917.8263200000001"/>
    <n v="0.17087688127656453"/>
  </r>
  <r>
    <s v="ORD-2023-369160"/>
    <x v="245"/>
    <d v="2023-07-24T00:00:00"/>
    <x v="24"/>
    <x v="8"/>
    <s v="2023"/>
    <x v="10"/>
    <d v="2023-08-13T00:00:00"/>
    <d v="2023-08-13T00:00:00"/>
    <s v="Okay"/>
    <n v="20"/>
    <x v="0"/>
    <x v="2"/>
    <x v="3"/>
    <s v="Montreal"/>
    <s v="Americas→Canada→Montreal"/>
    <s v="Education"/>
    <x v="4"/>
    <x v="0"/>
    <x v="5"/>
    <e v="#REF!"/>
    <x v="273"/>
    <n v="1082.3800000000001"/>
    <n v="1766.55"/>
    <n v="1766.55"/>
    <s v="Medium"/>
    <n v="0.16400000000000001"/>
    <n v="0.16400000000000001"/>
    <x v="0"/>
    <n v="20"/>
    <n v="29536.716"/>
    <n v="21647.600000000002"/>
    <n v="7889.1159999999982"/>
    <n v="0.26709523157550752"/>
  </r>
  <r>
    <s v="ORD-2024-834983"/>
    <x v="246"/>
    <d v="2024-03-16T00:00:00"/>
    <x v="0"/>
    <x v="0"/>
    <s v="2024"/>
    <x v="0"/>
    <d v="2024-04-13T00:00:00"/>
    <d v="2024-04-13T00:00:00"/>
    <s v="Okay"/>
    <n v="28"/>
    <x v="0"/>
    <x v="3"/>
    <x v="7"/>
    <s v="Paris"/>
    <s v="Europe→France→Paris"/>
    <s v="Small Business"/>
    <x v="1"/>
    <x v="11"/>
    <x v="1"/>
    <e v="#REF!"/>
    <x v="274"/>
    <n v="287.61"/>
    <n v="628.54"/>
    <n v="628.54"/>
    <s v="Low"/>
    <n v="0.13500000000000001"/>
    <n v="0.13500000000000001"/>
    <x v="0"/>
    <n v="21"/>
    <n v="11417.429099999999"/>
    <n v="6039.81"/>
    <n v="5377.619099999999"/>
    <n v="0.47100087531964613"/>
  </r>
  <r>
    <s v="ORD-2024-499009"/>
    <x v="247"/>
    <d v="2024-01-25T00:00:00"/>
    <x v="9"/>
    <x v="4"/>
    <s v="2024"/>
    <x v="0"/>
    <d v="2024-01-27T00:00:00"/>
    <d v="2024-01-27T00:00:00"/>
    <s v="Okay"/>
    <n v="2"/>
    <x v="1"/>
    <x v="2"/>
    <x v="5"/>
    <s v="São Paulo"/>
    <s v="Americas→Brazil→São Paulo"/>
    <s v="Non-Profit"/>
    <x v="2"/>
    <x v="13"/>
    <x v="4"/>
    <e v="#REF!"/>
    <x v="275"/>
    <n v="1410.97"/>
    <n v="1650.75"/>
    <n v="1650.75"/>
    <s v="Medium"/>
    <n v="0.13500000000000001"/>
    <n v="0.13500000000000001"/>
    <x v="0"/>
    <n v="6"/>
    <n v="8567.3924999999999"/>
    <n v="8465.82"/>
    <n v="101.57250000000022"/>
    <n v="1.1855707556295596E-2"/>
  </r>
  <r>
    <s v="ORD-2024-948800"/>
    <x v="248"/>
    <d v="2024-03-27T00:00:00"/>
    <x v="0"/>
    <x v="0"/>
    <s v="2024"/>
    <x v="0"/>
    <d v="2024-04-11T00:00:00"/>
    <d v="2024-04-11T00:00:00"/>
    <s v="Okay"/>
    <n v="15"/>
    <x v="0"/>
    <x v="2"/>
    <x v="10"/>
    <s v="San Francisco"/>
    <s v="Americas→USA→San Francisco"/>
    <s v="Small Business"/>
    <x v="4"/>
    <x v="7"/>
    <x v="2"/>
    <e v="#REF!"/>
    <x v="276"/>
    <n v="1338.35"/>
    <n v="2247.14"/>
    <n v="2247.14"/>
    <s v="High"/>
    <n v="0.115"/>
    <n v="0.115"/>
    <x v="0"/>
    <n v="40"/>
    <n v="79548.755999999994"/>
    <n v="53534"/>
    <n v="26014.755999999994"/>
    <n v="0.32702907384246205"/>
  </r>
  <r>
    <s v="ORD-2025-678328"/>
    <x v="35"/>
    <d v="2025-06-24T00:00:00"/>
    <x v="16"/>
    <x v="9"/>
    <s v="2025"/>
    <x v="6"/>
    <d v="2025-07-14T00:00:00"/>
    <d v="2025-07-14T00:00:00"/>
    <s v="Okay"/>
    <n v="20"/>
    <x v="0"/>
    <x v="3"/>
    <x v="6"/>
    <s v="Berlin"/>
    <s v="Europe→Germany→Berlin"/>
    <s v="Corporate"/>
    <x v="4"/>
    <x v="7"/>
    <x v="6"/>
    <e v="#REF!"/>
    <x v="277"/>
    <n v="385.08"/>
    <n v="893.19"/>
    <n v="893.19"/>
    <s v="Low"/>
    <n v="0.151"/>
    <n v="0.151"/>
    <x v="0"/>
    <n v="8"/>
    <n v="6066.54648"/>
    <n v="3080.64"/>
    <n v="2985.9064800000001"/>
    <n v="0.49219213762621666"/>
  </r>
  <r>
    <s v="ORD-2024-580808"/>
    <x v="249"/>
    <d v="2024-06-16T00:00:00"/>
    <x v="17"/>
    <x v="9"/>
    <s v="2024"/>
    <x v="5"/>
    <d v="2024-07-03T00:00:00"/>
    <d v="2024-07-03T00:00:00"/>
    <s v="Okay"/>
    <n v="17"/>
    <x v="0"/>
    <x v="0"/>
    <x v="11"/>
    <s v="Johannesburg"/>
    <s v="Africa→South Africa→Johannesburg"/>
    <s v="Enterprise"/>
    <x v="2"/>
    <x v="9"/>
    <x v="3"/>
    <e v="#REF!"/>
    <x v="278"/>
    <n v="1173.83"/>
    <n v="2328.9"/>
    <n v="2328.9"/>
    <s v="High"/>
    <n v="0.12"/>
    <n v="0.12"/>
    <x v="0"/>
    <n v="17"/>
    <n v="34840.344000000005"/>
    <n v="19955.11"/>
    <n v="14885.234000000004"/>
    <n v="0.42724130393201637"/>
  </r>
  <r>
    <s v="ORD-2023-211715"/>
    <x v="250"/>
    <d v="2023-10-30T00:00:00"/>
    <x v="32"/>
    <x v="1"/>
    <s v="2023"/>
    <x v="4"/>
    <d v="2023-11-14T00:00:00"/>
    <d v="2023-11-14T00:00:00"/>
    <s v="Okay"/>
    <n v="15"/>
    <x v="0"/>
    <x v="1"/>
    <x v="4"/>
    <s v="Bengaluru"/>
    <s v="Asia→India→Bengaluru"/>
    <s v="Corporate"/>
    <x v="1"/>
    <x v="9"/>
    <x v="4"/>
    <e v="#REF!"/>
    <x v="279"/>
    <n v="953.46"/>
    <n v="2066.75"/>
    <n v="2066.75"/>
    <s v="High"/>
    <n v="0.13800000000000001"/>
    <n v="0.13800000000000001"/>
    <x v="0"/>
    <n v="5"/>
    <n v="8907.6924999999992"/>
    <n v="4767.3"/>
    <n v="4140.392499999999"/>
    <n v="0.46481089238318446"/>
  </r>
  <r>
    <s v="ORD-2023-715175"/>
    <x v="251"/>
    <d v="2023-06-15T00:00:00"/>
    <x v="23"/>
    <x v="9"/>
    <s v="2023"/>
    <x v="8"/>
    <d v="2023-06-23T00:00:00"/>
    <d v="2023-06-23T00:00:00"/>
    <s v="Okay"/>
    <n v="8"/>
    <x v="0"/>
    <x v="2"/>
    <x v="10"/>
    <s v="San Francisco"/>
    <s v="Americas→USA→San Francisco"/>
    <s v="Consumer"/>
    <x v="3"/>
    <x v="7"/>
    <x v="5"/>
    <e v="#REF!"/>
    <x v="280"/>
    <n v="1097.0899999999999"/>
    <n v="2182.31"/>
    <n v="2182.31"/>
    <s v="High"/>
    <n v="0.112"/>
    <n v="0.112"/>
    <x v="0"/>
    <n v="9"/>
    <n v="17441.021520000002"/>
    <n v="9873.81"/>
    <n v="7567.2115200000026"/>
    <n v="0.43387432962699546"/>
  </r>
  <r>
    <s v="ORD-2025-685236"/>
    <x v="252"/>
    <d v="2025-03-14T00:00:00"/>
    <x v="3"/>
    <x v="0"/>
    <s v="2025"/>
    <x v="3"/>
    <d v="2025-03-29T00:00:00"/>
    <d v="2025-03-29T00:00:00"/>
    <s v="Okay"/>
    <n v="15"/>
    <x v="0"/>
    <x v="1"/>
    <x v="2"/>
    <s v="Tokyo"/>
    <s v="Asia→Japan→Tokyo"/>
    <s v="Non-Profit"/>
    <x v="4"/>
    <x v="10"/>
    <x v="2"/>
    <e v="#REF!"/>
    <x v="281"/>
    <n v="1106.96"/>
    <n v="2726.62"/>
    <n v="2726.62"/>
    <s v="High"/>
    <n v="0.317"/>
    <s v="12.14%"/>
    <x v="1"/>
    <n v="7"/>
    <n v="16769.258324000002"/>
    <n v="7748.72"/>
    <n v="9020.538324000001"/>
    <n v="0.53792112624861244"/>
  </r>
  <r>
    <s v="ORD-2023-274037"/>
    <x v="183"/>
    <d v="2023-08-15T00:00:00"/>
    <x v="25"/>
    <x v="11"/>
    <s v="2023"/>
    <x v="10"/>
    <d v="2023-08-25T00:00:00"/>
    <d v="2023-08-25T00:00:00"/>
    <s v="Okay"/>
    <n v="10"/>
    <x v="0"/>
    <x v="0"/>
    <x v="0"/>
    <s v="Nairobi"/>
    <s v="Africa→Kenya→Nairobi"/>
    <s v="Small Business"/>
    <x v="0"/>
    <x v="13"/>
    <x v="3"/>
    <e v="#REF!"/>
    <x v="282"/>
    <n v="91.85"/>
    <n v="111.29"/>
    <n v="111.29"/>
    <s v="Low"/>
    <n v="0"/>
    <n v="0"/>
    <x v="0"/>
    <n v="6"/>
    <n v="667.74"/>
    <n v="551.09999999999991"/>
    <n v="116.6400000000001"/>
    <n v="0.17467876718483258"/>
  </r>
  <r>
    <s v="ORD-2025-983096"/>
    <x v="253"/>
    <d v="2025-05-17T00:00:00"/>
    <x v="8"/>
    <x v="5"/>
    <s v="2025"/>
    <x v="6"/>
    <d v="2025-05-28T00:00:00"/>
    <d v="2025-05-28T00:00:00"/>
    <s v="Okay"/>
    <n v="11"/>
    <x v="0"/>
    <x v="1"/>
    <x v="4"/>
    <s v="Bengaluru"/>
    <s v="Asia→India→Bengaluru"/>
    <s v="Corporate"/>
    <x v="3"/>
    <x v="5"/>
    <x v="4"/>
    <e v="#REF!"/>
    <x v="283"/>
    <n v="623.4"/>
    <n v="1100.0899999999999"/>
    <n v="1100.0899999999999"/>
    <s v="Low"/>
    <n v="0.114"/>
    <n v="0.114"/>
    <x v="0"/>
    <n v="12"/>
    <n v="11696.156879999999"/>
    <n v="7480.7999999999993"/>
    <n v="4215.3568799999994"/>
    <n v="0.36040529579490388"/>
  </r>
  <r>
    <s v="ORD-2024-366010"/>
    <x v="94"/>
    <d v="2024-01-13T00:00:00"/>
    <x v="9"/>
    <x v="4"/>
    <s v="2024"/>
    <x v="0"/>
    <d v="2024-02-05T00:00:00"/>
    <d v="2024-02-05T00:00:00"/>
    <s v="Okay"/>
    <n v="23"/>
    <x v="0"/>
    <x v="3"/>
    <x v="6"/>
    <s v="Frankfurt"/>
    <s v="Europe→Germany→Frankfurt"/>
    <s v="Education"/>
    <x v="4"/>
    <x v="5"/>
    <x v="4"/>
    <e v="#REF!"/>
    <x v="284"/>
    <n v="1017.93"/>
    <n v="1529.14"/>
    <n v="1529.14"/>
    <s v="Medium"/>
    <n v="0.155"/>
    <n v="0.155"/>
    <x v="0"/>
    <n v="12"/>
    <n v="15505.479600000001"/>
    <n v="12215.16"/>
    <n v="3290.3196000000007"/>
    <n v="0.21220366508366503"/>
  </r>
  <r>
    <s v="ORD-2023-610470"/>
    <x v="87"/>
    <d v="2023-06-24T00:00:00"/>
    <x v="23"/>
    <x v="9"/>
    <s v="2023"/>
    <x v="8"/>
    <d v="2023-07-21T00:00:00"/>
    <d v="2023-07-21T00:00:00"/>
    <s v="Okay"/>
    <n v="27"/>
    <x v="0"/>
    <x v="1"/>
    <x v="2"/>
    <s v="Nagoya"/>
    <s v="Asia→Japan→Nagoya"/>
    <s v="Consumer"/>
    <x v="2"/>
    <x v="1"/>
    <x v="3"/>
    <e v="#REF!"/>
    <x v="285"/>
    <n v="554.76"/>
    <n v="728.69"/>
    <n v="728.69"/>
    <s v="Low"/>
    <n v="0.22"/>
    <n v="0.22"/>
    <x v="0"/>
    <n v="7"/>
    <n v="3978.6474000000003"/>
    <n v="3883.3199999999997"/>
    <n v="95.32740000000058"/>
    <n v="2.395975074343119E-2"/>
  </r>
  <r>
    <s v="ORD-2025-541048"/>
    <x v="254"/>
    <d v="2025-04-04T00:00:00"/>
    <x v="19"/>
    <x v="7"/>
    <s v="2025"/>
    <x v="6"/>
    <d v="2025-04-13T00:00:00"/>
    <d v="2025-04-13T00:00:00"/>
    <s v="Okay"/>
    <n v="9"/>
    <x v="0"/>
    <x v="3"/>
    <x v="6"/>
    <s v="Munich"/>
    <s v="Europe→Germany→Munich"/>
    <s v="Consumer"/>
    <x v="2"/>
    <x v="9"/>
    <x v="3"/>
    <e v="#REF!"/>
    <x v="286"/>
    <n v="7.02"/>
    <n v="6.28"/>
    <n v="6.28"/>
    <s v="Low"/>
    <n v="0.13400000000000001"/>
    <n v="0.13400000000000001"/>
    <x v="0"/>
    <n v="14"/>
    <n v="76.138720000000006"/>
    <n v="98.28"/>
    <n v="-22.141279999999995"/>
    <n v="-0.29080184169106066"/>
  </r>
  <r>
    <s v="ORD-2024-862371"/>
    <x v="255"/>
    <d v="2024-09-07T00:00:00"/>
    <x v="29"/>
    <x v="6"/>
    <s v="2024"/>
    <x v="9"/>
    <d v="2024-09-07T00:00:00"/>
    <d v="2024-09-07T00:00:00"/>
    <s v="Okay"/>
    <n v="0"/>
    <x v="1"/>
    <x v="1"/>
    <x v="4"/>
    <s v="Mumbai"/>
    <s v="Asia→India→Mumbai"/>
    <s v="Education"/>
    <x v="3"/>
    <x v="5"/>
    <x v="2"/>
    <e v="#REF!"/>
    <x v="287"/>
    <n v="1066.6500000000001"/>
    <n v="2569.77"/>
    <n v="2569.77"/>
    <s v="High"/>
    <n v="0.13400000000000001"/>
    <n v="0.13400000000000001"/>
    <x v="0"/>
    <n v="9"/>
    <n v="20028.787380000002"/>
    <n v="9599.85"/>
    <n v="10428.937380000001"/>
    <n v="0.52069739331368348"/>
  </r>
  <r>
    <s v="ORD-2024-277241"/>
    <x v="10"/>
    <d v="2024-01-28T00:00:00"/>
    <x v="9"/>
    <x v="4"/>
    <s v="2024"/>
    <x v="0"/>
    <d v="2024-01-30T00:00:00"/>
    <d v="2024-01-30T00:00:00"/>
    <s v="Okay"/>
    <n v="2"/>
    <x v="1"/>
    <x v="0"/>
    <x v="11"/>
    <s v="Cape Town"/>
    <s v="Africa→South Africa→Cape Town"/>
    <s v="Consumer"/>
    <x v="4"/>
    <x v="9"/>
    <x v="6"/>
    <e v="#REF!"/>
    <x v="288"/>
    <n v="798.45"/>
    <n v="1592.02"/>
    <n v="1592.02"/>
    <s v="Medium"/>
    <n v="6.6000000000000003E-2"/>
    <n v="6.6000000000000003E-2"/>
    <x v="0"/>
    <n v="18"/>
    <n v="26765.040239999998"/>
    <n v="14372.1"/>
    <n v="12392.940239999998"/>
    <n v="0.46302714768494585"/>
  </r>
  <r>
    <s v="ORD-2023-369150"/>
    <x v="256"/>
    <d v="2023-07-18T00:00:00"/>
    <x v="24"/>
    <x v="8"/>
    <s v="2023"/>
    <x v="10"/>
    <d v="2023-08-10T00:00:00"/>
    <d v="2023-08-10T00:00:00"/>
    <s v="Okay"/>
    <n v="23"/>
    <x v="0"/>
    <x v="0"/>
    <x v="11"/>
    <s v="Johannesburg"/>
    <s v="Africa→South Africa→Johannesburg"/>
    <s v="Small Business"/>
    <x v="0"/>
    <x v="4"/>
    <x v="0"/>
    <e v="#REF!"/>
    <x v="289"/>
    <n v="1271.56"/>
    <n v="995.47"/>
    <n v="995.47"/>
    <s v="Low"/>
    <n v="0.192"/>
    <n v="0.192"/>
    <x v="0"/>
    <n v="13"/>
    <n v="10456.416880000001"/>
    <n v="16530.28"/>
    <n v="-6073.8631199999982"/>
    <n v="-0.58087423155607754"/>
  </r>
  <r>
    <s v="ORD-2025-922513"/>
    <x v="257"/>
    <d v="2025-08-26T00:00:00"/>
    <x v="28"/>
    <x v="11"/>
    <s v="2025"/>
    <x v="7"/>
    <d v="2025-08-26T00:00:00"/>
    <d v="2025-09-04T00:00:00"/>
    <s v="Invalid"/>
    <n v="9"/>
    <x v="0"/>
    <x v="0"/>
    <x v="1"/>
    <s v="Port Harcourt"/>
    <s v="Africa→Nigeria→Port Harcourt"/>
    <s v="Small Business"/>
    <x v="0"/>
    <x v="8"/>
    <x v="6"/>
    <e v="#REF!"/>
    <x v="290"/>
    <n v="521.05999999999995"/>
    <n v="1240.31"/>
    <n v="1240.31"/>
    <s v="Medium"/>
    <n v="0.14599999999999999"/>
    <n v="0.14599999999999999"/>
    <x v="0"/>
    <n v="18"/>
    <n v="19066.045319999997"/>
    <n v="9379.0799999999981"/>
    <n v="9686.9653199999993"/>
    <n v="0.50807417885650974"/>
  </r>
  <r>
    <s v="ORD-2025-752845"/>
    <x v="258"/>
    <d v="2025-03-30T00:00:00"/>
    <x v="3"/>
    <x v="0"/>
    <s v="2025"/>
    <x v="3"/>
    <d v="2025-04-07T00:00:00"/>
    <d v="2025-04-07T00:00:00"/>
    <s v="Okay"/>
    <n v="8"/>
    <x v="0"/>
    <x v="2"/>
    <x v="5"/>
    <s v="São Paulo"/>
    <s v="Americas→Brazil→São Paulo"/>
    <s v="Non-Profit"/>
    <x v="4"/>
    <x v="4"/>
    <x v="1"/>
    <e v="#REF!"/>
    <x v="291"/>
    <n v="71.62"/>
    <n v="118.37"/>
    <n v="118.37"/>
    <s v="Low"/>
    <n v="0.156"/>
    <n v="0.156"/>
    <x v="0"/>
    <n v="11"/>
    <n v="1098.9470800000001"/>
    <n v="787.82"/>
    <n v="311.12708000000009"/>
    <n v="0.28311379652603474"/>
  </r>
  <r>
    <s v="ORD-2023-667815"/>
    <x v="259"/>
    <d v="2023-10-21T00:00:00"/>
    <x v="32"/>
    <x v="1"/>
    <s v="2023"/>
    <x v="4"/>
    <d v="2023-11-09T00:00:00"/>
    <d v="2023-11-09T00:00:00"/>
    <s v="Okay"/>
    <n v="19"/>
    <x v="0"/>
    <x v="3"/>
    <x v="8"/>
    <s v="London"/>
    <s v="Europe→United Kingdom→London"/>
    <s v="Non-Profit"/>
    <x v="4"/>
    <x v="8"/>
    <x v="6"/>
    <e v="#REF!"/>
    <x v="292"/>
    <n v="1142.48"/>
    <n v="2105.5300000000002"/>
    <n v="2105.5300000000002"/>
    <s v="High"/>
    <n v="0.20699999999999999"/>
    <n v="0.20699999999999999"/>
    <x v="0"/>
    <n v="14"/>
    <n v="23375.594060000003"/>
    <n v="15994.720000000001"/>
    <n v="7380.8740600000019"/>
    <n v="0.31575129346680658"/>
  </r>
  <r>
    <s v="ORD-2023-375011"/>
    <x v="260"/>
    <d v="2023-08-23T00:00:00"/>
    <x v="25"/>
    <x v="11"/>
    <s v="2023"/>
    <x v="10"/>
    <d v="2023-09-22T00:00:00"/>
    <d v="2023-09-22T00:00:00"/>
    <s v="Okay"/>
    <n v="30"/>
    <x v="0"/>
    <x v="3"/>
    <x v="8"/>
    <s v="London"/>
    <s v="Europe→United Kingdom→London"/>
    <s v="Consumer"/>
    <x v="3"/>
    <x v="7"/>
    <x v="6"/>
    <e v="#REF!"/>
    <x v="293"/>
    <n v="209.81"/>
    <n v="523"/>
    <n v="523"/>
    <s v="Low"/>
    <n v="5.8999999999999997E-2"/>
    <n v="5.8999999999999997E-2"/>
    <x v="0"/>
    <n v="15"/>
    <n v="7382.1450000000004"/>
    <n v="3147.15"/>
    <n v="4234.9950000000008"/>
    <n v="0.57368082041195356"/>
  </r>
  <r>
    <s v="ORD-2025-487025"/>
    <x v="261"/>
    <d v="2025-04-11T00:00:00"/>
    <x v="19"/>
    <x v="7"/>
    <s v="2025"/>
    <x v="6"/>
    <d v="2025-05-04T00:00:00"/>
    <d v="2025-05-04T00:00:00"/>
    <s v="Okay"/>
    <n v="23"/>
    <x v="0"/>
    <x v="1"/>
    <x v="2"/>
    <s v="Osaka"/>
    <s v="Asia→Japan→Osaka"/>
    <s v="Small Business"/>
    <x v="1"/>
    <x v="12"/>
    <x v="0"/>
    <e v="#REF!"/>
    <x v="294"/>
    <n v="786.2"/>
    <n v="1075.3"/>
    <n v="1075.3"/>
    <s v="Low"/>
    <n v="0.08"/>
    <n v="0.08"/>
    <x v="0"/>
    <n v="9"/>
    <n v="8903.4839999999986"/>
    <n v="7075.8"/>
    <n v="1827.6839999999984"/>
    <n v="0.20527739478163815"/>
  </r>
  <r>
    <s v="ORD-2025-398335"/>
    <x v="262"/>
    <d v="2025-06-01T00:00:00"/>
    <x v="16"/>
    <x v="9"/>
    <s v="2025"/>
    <x v="6"/>
    <d v="2025-06-27T00:00:00"/>
    <d v="2025-06-27T00:00:00"/>
    <s v="Okay"/>
    <n v="26"/>
    <x v="0"/>
    <x v="3"/>
    <x v="6"/>
    <s v="Munich"/>
    <s v="Europe→Germany→Munich"/>
    <s v="Consumer"/>
    <x v="3"/>
    <x v="6"/>
    <x v="4"/>
    <e v="#REF!"/>
    <x v="295"/>
    <n v="1362.31"/>
    <n v="3294.57"/>
    <n v="3294.57"/>
    <s v="High"/>
    <n v="0.113"/>
    <n v="0.113"/>
    <x v="0"/>
    <n v="7"/>
    <n v="20455.985130000001"/>
    <n v="9536.17"/>
    <n v="10919.815130000001"/>
    <n v="0.5338200561157721"/>
  </r>
  <r>
    <s v="ORD-2024-792137"/>
    <x v="263"/>
    <d v="2024-03-02T00:00:00"/>
    <x v="0"/>
    <x v="0"/>
    <s v="2024"/>
    <x v="0"/>
    <d v="2024-03-16T00:00:00"/>
    <d v="2024-03-16T00:00:00"/>
    <s v="Okay"/>
    <n v="14"/>
    <x v="0"/>
    <x v="2"/>
    <x v="3"/>
    <s v="Vancouver"/>
    <s v="Americas→Canada→Vancouver"/>
    <s v="Non-Profit"/>
    <x v="4"/>
    <x v="7"/>
    <x v="1"/>
    <e v="#REF!"/>
    <x v="296"/>
    <n v="248.24"/>
    <n v="464.05"/>
    <n v="464.05"/>
    <s v="Low"/>
    <n v="0.16900000000000001"/>
    <n v="0.16900000000000001"/>
    <x v="0"/>
    <n v="11"/>
    <n v="4241.88105"/>
    <n v="2730.6400000000003"/>
    <n v="1511.2410499999996"/>
    <n v="0.3562667203975462"/>
  </r>
  <r>
    <s v="ORD-2023-602648"/>
    <x v="264"/>
    <d v="2023-06-20T00:00:00"/>
    <x v="23"/>
    <x v="9"/>
    <s v="2023"/>
    <x v="8"/>
    <d v="2023-07-08T00:00:00"/>
    <d v="2023-07-08T00:00:00"/>
    <s v="Okay"/>
    <n v="18"/>
    <x v="0"/>
    <x v="2"/>
    <x v="10"/>
    <s v="Austin"/>
    <s v="Americas→USA→Austin"/>
    <s v="Non-Profit"/>
    <x v="4"/>
    <x v="9"/>
    <x v="5"/>
    <e v="#REF!"/>
    <x v="297"/>
    <n v="337"/>
    <n v="511.03"/>
    <n v="511.03"/>
    <s v="Low"/>
    <n v="0.108"/>
    <n v="0.108"/>
    <x v="0"/>
    <n v="7"/>
    <n v="3190.8713200000002"/>
    <n v="2359"/>
    <n v="831.8713200000002"/>
    <n v="0.26070349963219458"/>
  </r>
  <r>
    <s v="ORD-2024-207096"/>
    <x v="265"/>
    <d v="2024-03-26T00:00:00"/>
    <x v="0"/>
    <x v="0"/>
    <s v="2024"/>
    <x v="0"/>
    <d v="2024-04-05T00:00:00"/>
    <d v="2024-04-05T00:00:00"/>
    <s v="Okay"/>
    <n v="10"/>
    <x v="0"/>
    <x v="2"/>
    <x v="10"/>
    <s v="Austin"/>
    <s v="Americas→USA→Austin"/>
    <s v="Consumer"/>
    <x v="4"/>
    <x v="1"/>
    <x v="5"/>
    <e v="#REF!"/>
    <x v="298"/>
    <n v="5.66"/>
    <n v="4.22"/>
    <n v="4.22"/>
    <s v="Low"/>
    <n v="0.11899999999999999"/>
    <n v="0.11899999999999999"/>
    <x v="0"/>
    <n v="18"/>
    <n v="66.920760000000001"/>
    <n v="101.88"/>
    <n v="-34.959239999999994"/>
    <n v="-0.52239753403876454"/>
  </r>
  <r>
    <s v="ORD-2025-939953"/>
    <x v="266"/>
    <d v="2025-01-22T00:00:00"/>
    <x v="10"/>
    <x v="4"/>
    <s v="2025"/>
    <x v="3"/>
    <d v="2025-01-22T00:00:00"/>
    <d v="2025-01-22T00:00:00"/>
    <s v="Okay"/>
    <n v="0"/>
    <x v="1"/>
    <x v="3"/>
    <x v="7"/>
    <s v="Lyon"/>
    <s v="Europe→France→Lyon"/>
    <s v="Small Business"/>
    <x v="1"/>
    <x v="5"/>
    <x v="6"/>
    <e v="#REF!"/>
    <x v="299"/>
    <n v="591.72"/>
    <n v="577.24"/>
    <n v="577.24"/>
    <s v="Low"/>
    <n v="0"/>
    <n v="0"/>
    <x v="0"/>
    <n v="22"/>
    <n v="12699.28"/>
    <n v="13017.84"/>
    <n v="-318.55999999999949"/>
    <n v="-2.5084886702238195E-2"/>
  </r>
  <r>
    <s v="ORD-2025-191328"/>
    <x v="267"/>
    <d v="2025-05-10T00:00:00"/>
    <x v="8"/>
    <x v="5"/>
    <s v="2025"/>
    <x v="6"/>
    <d v="2025-05-27T00:00:00"/>
    <d v="2025-05-27T00:00:00"/>
    <s v="Okay"/>
    <n v="17"/>
    <x v="0"/>
    <x v="2"/>
    <x v="3"/>
    <s v="Vancouver"/>
    <s v="Americas→Canada→Vancouver"/>
    <s v="Education"/>
    <x v="4"/>
    <x v="0"/>
    <x v="0"/>
    <e v="#REF!"/>
    <x v="300"/>
    <n v="862.89"/>
    <n v="1426.03"/>
    <n v="1426.03"/>
    <s v="Medium"/>
    <n v="5.6000000000000001E-2"/>
    <n v="5.6000000000000001E-2"/>
    <x v="0"/>
    <n v="19"/>
    <n v="25577.274079999999"/>
    <n v="16394.91"/>
    <n v="9182.3640799999994"/>
    <n v="0.35900479665188778"/>
  </r>
  <r>
    <s v="ORD-2023-166668"/>
    <x v="231"/>
    <d v="2023-10-05T00:00:00"/>
    <x v="32"/>
    <x v="1"/>
    <s v="2023"/>
    <x v="4"/>
    <d v="2023-10-31T00:00:00"/>
    <d v="2023-10-31T00:00:00"/>
    <s v="Okay"/>
    <n v="26"/>
    <x v="0"/>
    <x v="1"/>
    <x v="9"/>
    <s v="Shanghai"/>
    <s v="Asia→China→Shanghai"/>
    <s v="Consumer"/>
    <x v="5"/>
    <x v="1"/>
    <x v="1"/>
    <e v="#REF!"/>
    <x v="301"/>
    <n v="649.91"/>
    <n v="1360.12"/>
    <n v="1360.12"/>
    <s v="Medium"/>
    <n v="0.19400000000000001"/>
    <n v="0.19400000000000001"/>
    <x v="0"/>
    <n v="9"/>
    <n v="9866.3104799999983"/>
    <n v="5849.19"/>
    <n v="4017.1204799999987"/>
    <n v="0.40715528749506769"/>
  </r>
  <r>
    <s v="ORD-2023-594700"/>
    <x v="256"/>
    <d v="2023-07-18T00:00:00"/>
    <x v="24"/>
    <x v="8"/>
    <s v="2023"/>
    <x v="10"/>
    <d v="2023-07-22T00:00:00"/>
    <d v="2023-07-22T00:00:00"/>
    <s v="Okay"/>
    <n v="4"/>
    <x v="1"/>
    <x v="2"/>
    <x v="5"/>
    <s v="São Paulo"/>
    <s v="Americas→Brazil→São Paulo"/>
    <s v="Consumer"/>
    <x v="4"/>
    <x v="9"/>
    <x v="2"/>
    <e v="#REF!"/>
    <x v="302"/>
    <n v="1269.55"/>
    <n v="2071.1"/>
    <n v="2071.1"/>
    <s v="High"/>
    <n v="0.129"/>
    <n v="0.129"/>
    <x v="0"/>
    <n v="22"/>
    <n v="39686.4182"/>
    <n v="27930.1"/>
    <n v="11756.318200000002"/>
    <n v="0.29623026549672354"/>
  </r>
  <r>
    <s v="ORD-2025-278048"/>
    <x v="268"/>
    <d v="2025-06-22T00:00:00"/>
    <x v="16"/>
    <x v="9"/>
    <s v="2025"/>
    <x v="6"/>
    <d v="2025-07-08T00:00:00"/>
    <d v="2025-07-08T00:00:00"/>
    <s v="Okay"/>
    <n v="16"/>
    <x v="0"/>
    <x v="3"/>
    <x v="8"/>
    <s v="London"/>
    <s v="Europe→United Kingdom→London"/>
    <s v="Education"/>
    <x v="4"/>
    <x v="8"/>
    <x v="3"/>
    <e v="#REF!"/>
    <x v="303"/>
    <n v="892.73"/>
    <n v="979.84"/>
    <n v="979.84"/>
    <s v="Low"/>
    <n v="0.17399999999999999"/>
    <n v="0.17399999999999999"/>
    <x v="0"/>
    <n v="10"/>
    <n v="8093.4784"/>
    <n v="8927.2999999999993"/>
    <n v="-833.82159999999931"/>
    <n v="-0.10302388649112838"/>
  </r>
  <r>
    <s v="ORD-2024-878493"/>
    <x v="269"/>
    <d v="2024-06-19T00:00:00"/>
    <x v="17"/>
    <x v="9"/>
    <s v="2024"/>
    <x v="5"/>
    <d v="2024-06-20T00:00:00"/>
    <d v="2024-06-20T00:00:00"/>
    <s v="Okay"/>
    <n v="1"/>
    <x v="1"/>
    <x v="0"/>
    <x v="0"/>
    <s v="Kisumu"/>
    <s v="Africa→Kenya→Kisumu"/>
    <s v="Small Business"/>
    <x v="4"/>
    <x v="1"/>
    <x v="4"/>
    <e v="#REF!"/>
    <x v="304"/>
    <n v="231.63"/>
    <n v="537.39"/>
    <n v="537.39"/>
    <s v="Low"/>
    <n v="0.08"/>
    <n v="0.08"/>
    <x v="0"/>
    <n v="12"/>
    <n v="5932.7856000000002"/>
    <n v="2779.56"/>
    <n v="3153.2256000000002"/>
    <n v="0.53149158129024587"/>
  </r>
  <r>
    <s v="ORD-2025-138578"/>
    <x v="69"/>
    <d v="2025-04-09T00:00:00"/>
    <x v="19"/>
    <x v="7"/>
    <s v="2025"/>
    <x v="6"/>
    <d v="2025-04-12T00:00:00"/>
    <d v="2025-04-12T00:00:00"/>
    <s v="Okay"/>
    <n v="3"/>
    <x v="1"/>
    <x v="3"/>
    <x v="7"/>
    <s v="Lyon"/>
    <s v="Europe→France→Lyon"/>
    <s v="Small Business"/>
    <x v="3"/>
    <x v="10"/>
    <x v="5"/>
    <e v="#REF!"/>
    <x v="305"/>
    <n v="86.68"/>
    <n v="213.32"/>
    <n v="213.32"/>
    <s v="Low"/>
    <n v="3.7999999999999999E-2"/>
    <n v="3.7999999999999999E-2"/>
    <x v="0"/>
    <n v="8"/>
    <n v="1641.7107199999998"/>
    <n v="693.44"/>
    <n v="948.27071999999976"/>
    <n v="0.57761133459614611"/>
  </r>
  <r>
    <s v="ORD-2025-944081"/>
    <x v="80"/>
    <d v="2025-03-25T00:00:00"/>
    <x v="3"/>
    <x v="0"/>
    <s v="2025"/>
    <x v="3"/>
    <d v="2025-03-26T00:00:00"/>
    <d v="2025-03-26T00:00:00"/>
    <s v="Okay"/>
    <n v="1"/>
    <x v="1"/>
    <x v="0"/>
    <x v="1"/>
    <s v="Lagos"/>
    <s v="Africa→Nigeria→Lagos"/>
    <s v="Education"/>
    <x v="3"/>
    <x v="3"/>
    <x v="6"/>
    <e v="#REF!"/>
    <x v="306"/>
    <n v="1450.43"/>
    <n v="1994.67"/>
    <n v="1994.67"/>
    <s v="High"/>
    <n v="0.1"/>
    <n v="0.1"/>
    <x v="0"/>
    <n v="24"/>
    <n v="43084.872000000003"/>
    <n v="34810.32"/>
    <n v="8274.5520000000033"/>
    <n v="0.19205237513529116"/>
  </r>
  <r>
    <s v="ORD-2025-364852"/>
    <x v="270"/>
    <d v="2025-05-18T00:00:00"/>
    <x v="8"/>
    <x v="5"/>
    <s v="2025"/>
    <x v="6"/>
    <d v="2025-06-09T00:00:00"/>
    <d v="2025-06-09T00:00:00"/>
    <s v="Okay"/>
    <n v="22"/>
    <x v="0"/>
    <x v="2"/>
    <x v="10"/>
    <s v="New York"/>
    <s v="Americas→USA→New York"/>
    <s v="Consumer"/>
    <x v="0"/>
    <x v="10"/>
    <x v="2"/>
    <e v="#REF!"/>
    <x v="307"/>
    <n v="382.96"/>
    <n v="552.84"/>
    <n v="552.84"/>
    <s v="Low"/>
    <n v="0.17599999999999999"/>
    <n v="0.17599999999999999"/>
    <x v="0"/>
    <n v="8"/>
    <n v="3644.3212800000006"/>
    <n v="3063.68"/>
    <n v="580.64128000000073"/>
    <n v="0.15932768693763483"/>
  </r>
  <r>
    <s v="ORD-2025-415018"/>
    <x v="266"/>
    <d v="2025-01-22T00:00:00"/>
    <x v="10"/>
    <x v="4"/>
    <s v="2025"/>
    <x v="3"/>
    <d v="2025-02-04T00:00:00"/>
    <d v="2025-02-04T00:00:00"/>
    <s v="Okay"/>
    <n v="13"/>
    <x v="0"/>
    <x v="1"/>
    <x v="2"/>
    <s v="Tokyo"/>
    <s v="Asia→Japan→Tokyo"/>
    <s v="Small Business"/>
    <x v="3"/>
    <x v="4"/>
    <x v="1"/>
    <e v="#REF!"/>
    <x v="308"/>
    <n v="122.29"/>
    <n v="224.95"/>
    <n v="224.95"/>
    <s v="Low"/>
    <n v="0.153"/>
    <n v="0.153"/>
    <x v="0"/>
    <n v="28"/>
    <n v="5334.9141999999993"/>
    <n v="3424.1200000000003"/>
    <n v="1910.7941999999989"/>
    <n v="0.3581677471026618"/>
  </r>
  <r>
    <s v="ORD-2023-884192"/>
    <x v="271"/>
    <d v="2023-01-10T00:00:00"/>
    <x v="5"/>
    <x v="4"/>
    <s v="2023"/>
    <x v="2"/>
    <d v="2023-01-29T00:00:00"/>
    <d v="2023-01-29T00:00:00"/>
    <s v="Okay"/>
    <n v="19"/>
    <x v="0"/>
    <x v="3"/>
    <x v="7"/>
    <s v="Lyon"/>
    <s v="Europe→France→Lyon"/>
    <s v="Non-Profit"/>
    <x v="4"/>
    <x v="14"/>
    <x v="4"/>
    <e v="#REF!"/>
    <x v="309"/>
    <n v="401.66"/>
    <n v="772.09"/>
    <n v="772.09"/>
    <s v="Low"/>
    <n v="8.8999999999999996E-2"/>
    <n v="8.8999999999999996E-2"/>
    <x v="0"/>
    <n v="14"/>
    <n v="9847.2358600000007"/>
    <n v="5623.2400000000007"/>
    <n v="4223.99586"/>
    <n v="0.42895244107619046"/>
  </r>
  <r>
    <s v="ORD-2024-165942"/>
    <x v="272"/>
    <d v="2024-12-29T00:00:00"/>
    <x v="6"/>
    <x v="3"/>
    <s v="2024"/>
    <x v="1"/>
    <d v="2025-01-12T00:00:00"/>
    <d v="2025-01-12T00:00:00"/>
    <s v="Okay"/>
    <n v="14"/>
    <x v="0"/>
    <x v="3"/>
    <x v="8"/>
    <s v="Manchester"/>
    <s v="Europe→United Kingdom→Manchester"/>
    <s v="Corporate"/>
    <x v="4"/>
    <x v="5"/>
    <x v="5"/>
    <e v="#REF!"/>
    <x v="310"/>
    <n v="1399.72"/>
    <n v="3149.21"/>
    <n v="3149.21"/>
    <s v="High"/>
    <n v="0.185"/>
    <n v="0.185"/>
    <x v="0"/>
    <n v="12"/>
    <n v="30799.273800000003"/>
    <n v="16796.64"/>
    <n v="14002.633800000003"/>
    <n v="0.45464168703873797"/>
  </r>
  <r>
    <s v="ORD-2024-403664"/>
    <x v="154"/>
    <d v="2024-05-23T00:00:00"/>
    <x v="7"/>
    <x v="5"/>
    <s v="2024"/>
    <x v="5"/>
    <d v="2024-06-06T00:00:00"/>
    <d v="2024-06-06T00:00:00"/>
    <s v="Okay"/>
    <n v="14"/>
    <x v="0"/>
    <x v="2"/>
    <x v="5"/>
    <s v="Rio de Janeiro"/>
    <s v="Americas→Brazil→Rio de Janeiro"/>
    <s v="Non-Profit"/>
    <x v="1"/>
    <x v="2"/>
    <x v="2"/>
    <e v="#REF!"/>
    <x v="311"/>
    <n v="51.13"/>
    <n v="57.53"/>
    <n v="57.53"/>
    <s v="Low"/>
    <n v="4.4999999999999998E-2"/>
    <n v="4.4999999999999998E-2"/>
    <x v="0"/>
    <n v="16"/>
    <n v="879.05840000000001"/>
    <n v="818.08"/>
    <n v="60.978399999999965"/>
    <n v="6.9367859973808302E-2"/>
  </r>
  <r>
    <s v="ORD-2023-890605"/>
    <x v="87"/>
    <d v="2023-06-22T00:00:00"/>
    <x v="23"/>
    <x v="9"/>
    <s v="2023"/>
    <x v="8"/>
    <d v="2023-06-22T00:00:00"/>
    <d v="2023-07-01T00:00:00"/>
    <s v="Invalid"/>
    <n v="9"/>
    <x v="0"/>
    <x v="2"/>
    <x v="3"/>
    <s v="Toronto"/>
    <s v="Americas→Canada→Toronto"/>
    <s v="Non-Profit"/>
    <x v="0"/>
    <x v="12"/>
    <x v="6"/>
    <e v="#REF!"/>
    <x v="312"/>
    <n v="471.42"/>
    <n v="824.81"/>
    <n v="824.81"/>
    <s v="Low"/>
    <n v="8.7999999999999995E-2"/>
    <n v="8.7999999999999995E-2"/>
    <x v="0"/>
    <n v="15"/>
    <n v="11283.400799999999"/>
    <n v="7071.3"/>
    <n v="4212.1007999999993"/>
    <n v="0.37330064531608231"/>
  </r>
  <r>
    <s v="ORD-2024-925626"/>
    <x v="273"/>
    <d v="2024-11-04T00:00:00"/>
    <x v="18"/>
    <x v="10"/>
    <s v="2024"/>
    <x v="1"/>
    <d v="2024-11-05T00:00:00"/>
    <d v="2024-11-05T00:00:00"/>
    <s v="Okay"/>
    <n v="1"/>
    <x v="1"/>
    <x v="3"/>
    <x v="8"/>
    <s v="London"/>
    <s v="Europe→United Kingdom→London"/>
    <s v="Corporate"/>
    <x v="0"/>
    <x v="12"/>
    <x v="1"/>
    <e v="#REF!"/>
    <x v="313"/>
    <n v="840.68"/>
    <n v="1493.53"/>
    <n v="1493.53"/>
    <s v="Medium"/>
    <n v="0"/>
    <n v="0"/>
    <x v="0"/>
    <n v="27"/>
    <n v="40325.31"/>
    <n v="22698.359999999997"/>
    <n v="17626.95"/>
    <n v="0.43711877230454027"/>
  </r>
  <r>
    <s v="ORD-2024-427031"/>
    <x v="274"/>
    <d v="2024-06-08T00:00:00"/>
    <x v="17"/>
    <x v="9"/>
    <s v="2024"/>
    <x v="5"/>
    <d v="2024-06-24T00:00:00"/>
    <d v="2024-06-24T00:00:00"/>
    <s v="Okay"/>
    <n v="16"/>
    <x v="0"/>
    <x v="0"/>
    <x v="11"/>
    <s v="Durban"/>
    <s v="Africa→South Africa→Durban"/>
    <s v="Education"/>
    <x v="3"/>
    <x v="10"/>
    <x v="5"/>
    <e v="#REF!"/>
    <x v="314"/>
    <n v="597.85"/>
    <n v="741.92"/>
    <n v="741.92"/>
    <s v="Low"/>
    <n v="3.1E-2"/>
    <n v="3.1E-2"/>
    <x v="0"/>
    <n v="7"/>
    <n v="5032.4433599999993"/>
    <n v="4184.95"/>
    <n v="847.49335999999948"/>
    <n v="0.16840594108544515"/>
  </r>
  <r>
    <s v="ORD-2025-231184"/>
    <x v="262"/>
    <d v="2025-06-01T00:00:00"/>
    <x v="16"/>
    <x v="9"/>
    <s v="2025"/>
    <x v="6"/>
    <d v="2025-06-06T00:00:00"/>
    <d v="2025-06-06T00:00:00"/>
    <s v="Okay"/>
    <n v="5"/>
    <x v="1"/>
    <x v="3"/>
    <x v="7"/>
    <s v="Paris"/>
    <s v="Europe→France→Paris"/>
    <s v="Consumer"/>
    <x v="3"/>
    <x v="3"/>
    <x v="0"/>
    <e v="#REF!"/>
    <x v="315"/>
    <n v="379.45"/>
    <n v="742.23"/>
    <n v="742.23"/>
    <s v="Low"/>
    <n v="0.09"/>
    <n v="0.09"/>
    <x v="0"/>
    <n v="13"/>
    <n v="8780.5809000000008"/>
    <n v="4932.8499999999995"/>
    <n v="3847.7309000000014"/>
    <n v="0.43820915083192286"/>
  </r>
  <r>
    <s v="ORD-2023-363031"/>
    <x v="275"/>
    <d v="2023-05-06T00:00:00"/>
    <x v="15"/>
    <x v="5"/>
    <s v="2023"/>
    <x v="8"/>
    <d v="2023-05-14T00:00:00"/>
    <d v="2023-05-14T00:00:00"/>
    <s v="Okay"/>
    <n v="8"/>
    <x v="0"/>
    <x v="1"/>
    <x v="2"/>
    <s v="Osaka"/>
    <s v="Asia→Japan→Osaka"/>
    <s v="Enterprise"/>
    <x v="2"/>
    <x v="5"/>
    <x v="3"/>
    <e v="#REF!"/>
    <x v="316"/>
    <n v="291.18"/>
    <n v="479.54"/>
    <n v="479.54"/>
    <s v="Low"/>
    <n v="0.14099999999999999"/>
    <n v="0.14099999999999999"/>
    <x v="0"/>
    <n v="22"/>
    <n v="9062.34692"/>
    <n v="6405.96"/>
    <n v="2656.3869199999999"/>
    <n v="0.29312350801066001"/>
  </r>
  <r>
    <s v="ORD-2023-619570"/>
    <x v="276"/>
    <d v="2023-11-14T00:00:00"/>
    <x v="30"/>
    <x v="10"/>
    <s v="2023"/>
    <x v="4"/>
    <d v="2023-11-30T00:00:00"/>
    <d v="2023-11-30T00:00:00"/>
    <s v="Okay"/>
    <n v="16"/>
    <x v="0"/>
    <x v="2"/>
    <x v="5"/>
    <s v="São Paulo"/>
    <s v="Americas→Brazil→São Paulo"/>
    <s v="Enterprise"/>
    <x v="4"/>
    <x v="11"/>
    <x v="2"/>
    <e v="#REF!"/>
    <x v="317"/>
    <n v="1017.92"/>
    <n v="1175.25"/>
    <n v="1175.25"/>
    <s v="Low"/>
    <n v="7.4999999999999997E-2"/>
    <n v="7.4999999999999997E-2"/>
    <x v="0"/>
    <n v="15"/>
    <n v="16306.59375"/>
    <n v="15268.8"/>
    <n v="1037.7937500000007"/>
    <n v="6.3642583234159542E-2"/>
  </r>
  <r>
    <s v="ORD-2025-861401"/>
    <x v="277"/>
    <d v="2025-04-01T00:00:00"/>
    <x v="19"/>
    <x v="7"/>
    <s v="2025"/>
    <x v="6"/>
    <d v="2025-04-27T00:00:00"/>
    <d v="2025-04-27T00:00:00"/>
    <s v="Okay"/>
    <n v="26"/>
    <x v="0"/>
    <x v="2"/>
    <x v="10"/>
    <s v="San Francisco"/>
    <s v="Americas→USA→San Francisco"/>
    <s v="Corporate"/>
    <x v="4"/>
    <x v="2"/>
    <x v="5"/>
    <e v="#REF!"/>
    <x v="318"/>
    <n v="156.55000000000001"/>
    <n v="227.45"/>
    <n v="227.45"/>
    <s v="Low"/>
    <n v="1.4E-2"/>
    <n v="1.4E-2"/>
    <x v="0"/>
    <n v="13"/>
    <n v="2915.4540999999999"/>
    <n v="2035.15"/>
    <n v="880.30409999999983"/>
    <n v="0.3019440779396938"/>
  </r>
  <r>
    <s v="ORD-2023-835010"/>
    <x v="278"/>
    <d v="2023-03-23T00:00:00"/>
    <x v="22"/>
    <x v="0"/>
    <s v="2023"/>
    <x v="2"/>
    <d v="2023-04-15T00:00:00"/>
    <d v="2023-04-15T00:00:00"/>
    <s v="Okay"/>
    <n v="23"/>
    <x v="0"/>
    <x v="0"/>
    <x v="0"/>
    <s v="Mombasa"/>
    <s v="Africa→Kenya→Mombasa"/>
    <s v="Small Business"/>
    <x v="0"/>
    <x v="0"/>
    <x v="6"/>
    <e v="#REF!"/>
    <x v="319"/>
    <n v="875.36"/>
    <n v="1178.6199999999999"/>
    <n v="1178.6199999999999"/>
    <s v="Low"/>
    <n v="0.151"/>
    <n v="0.151"/>
    <x v="0"/>
    <n v="53"/>
    <n v="53034.364139999991"/>
    <n v="46394.080000000002"/>
    <n v="6640.2841399999888"/>
    <n v="0.12520719815685888"/>
  </r>
  <r>
    <s v="ORD-2024-819979"/>
    <x v="91"/>
    <d v="2024-05-28T00:00:00"/>
    <x v="7"/>
    <x v="5"/>
    <s v="2024"/>
    <x v="5"/>
    <d v="2024-06-18T00:00:00"/>
    <d v="2024-06-18T00:00:00"/>
    <s v="Okay"/>
    <n v="21"/>
    <x v="0"/>
    <x v="3"/>
    <x v="6"/>
    <s v="Frankfurt"/>
    <s v="Europe→Germany→Frankfurt"/>
    <s v="Small Business"/>
    <x v="1"/>
    <x v="6"/>
    <x v="3"/>
    <e v="#REF!"/>
    <x v="320"/>
    <n v="986.85"/>
    <n v="2422.1"/>
    <n v="2422.1"/>
    <s v="High"/>
    <n v="7.5999999999999998E-2"/>
    <n v="7.5999999999999998E-2"/>
    <x v="0"/>
    <n v="10"/>
    <n v="22380.204000000002"/>
    <n v="9868.5"/>
    <n v="12511.704000000002"/>
    <n v="0.55905227673527913"/>
  </r>
  <r>
    <s v="ORD-2024-719055"/>
    <x v="279"/>
    <d v="2024-01-01T00:00:00"/>
    <x v="9"/>
    <x v="4"/>
    <s v="2024"/>
    <x v="0"/>
    <d v="2024-01-01T00:00:00"/>
    <d v="2024-01-09T00:00:00"/>
    <s v="Invalid"/>
    <n v="8"/>
    <x v="0"/>
    <x v="2"/>
    <x v="10"/>
    <s v="Chicago"/>
    <s v="Americas→USA→Chicago"/>
    <s v="Education"/>
    <x v="2"/>
    <x v="5"/>
    <x v="2"/>
    <e v="#REF!"/>
    <x v="321"/>
    <n v="404.77"/>
    <n v="433.88"/>
    <n v="433.88"/>
    <s v="Low"/>
    <n v="0.215"/>
    <n v="0.215"/>
    <x v="0"/>
    <n v="22"/>
    <n v="7493.1076000000012"/>
    <n v="8904.9399999999987"/>
    <n v="-1411.8323999999975"/>
    <n v="-0.18841747314558746"/>
  </r>
  <r>
    <s v="ORD-2023-888245"/>
    <x v="2"/>
    <d v="2023-02-27T00:00:00"/>
    <x v="2"/>
    <x v="2"/>
    <s v="2023"/>
    <x v="2"/>
    <d v="2023-02-27T00:00:00"/>
    <d v="2023-03-07T00:00:00"/>
    <s v="Invalid"/>
    <n v="8"/>
    <x v="0"/>
    <x v="3"/>
    <x v="7"/>
    <s v="Marseille"/>
    <s v="Europe→France→Marseille"/>
    <s v="Corporate"/>
    <x v="0"/>
    <x v="11"/>
    <x v="2"/>
    <e v="#REF!"/>
    <x v="322"/>
    <n v="1299.81"/>
    <n v="3149.13"/>
    <n v="3149.13"/>
    <s v="High"/>
    <n v="0.10299999999999999"/>
    <n v="0.10299999999999999"/>
    <x v="0"/>
    <n v="14"/>
    <n v="39546.774539999999"/>
    <n v="18197.34"/>
    <n v="21349.434539999998"/>
    <n v="0.53985273864511729"/>
  </r>
  <r>
    <s v="ORD-2024-206121"/>
    <x v="142"/>
    <d v="2024-02-18T00:00:00"/>
    <x v="31"/>
    <x v="2"/>
    <s v="2024"/>
    <x v="0"/>
    <d v="2024-03-11T00:00:00"/>
    <d v="2024-03-11T00:00:00"/>
    <s v="Okay"/>
    <n v="22"/>
    <x v="0"/>
    <x v="2"/>
    <x v="5"/>
    <s v="São Paulo"/>
    <s v="Americas→Brazil→São Paulo"/>
    <s v="Consumer"/>
    <x v="1"/>
    <x v="8"/>
    <x v="0"/>
    <e v="#REF!"/>
    <x v="323"/>
    <n v="80.48"/>
    <n v="65.650000000000006"/>
    <n v="65.650000000000006"/>
    <s v="Low"/>
    <n v="0.17599999999999999"/>
    <n v="0.17599999999999999"/>
    <x v="0"/>
    <n v="13"/>
    <n v="703.2428000000001"/>
    <n v="1046.24"/>
    <n v="-342.99719999999991"/>
    <n v="-0.48773652570634191"/>
  </r>
  <r>
    <s v="ORD-2024-500890"/>
    <x v="191"/>
    <d v="2024-09-09T00:00:00"/>
    <x v="29"/>
    <x v="6"/>
    <s v="2024"/>
    <x v="9"/>
    <d v="2024-10-08T00:00:00"/>
    <d v="2024-10-08T00:00:00"/>
    <s v="Okay"/>
    <n v="29"/>
    <x v="0"/>
    <x v="2"/>
    <x v="5"/>
    <s v="São Paulo"/>
    <s v="Americas→Brazil→São Paulo"/>
    <s v="Education"/>
    <x v="4"/>
    <x v="1"/>
    <x v="0"/>
    <e v="#REF!"/>
    <x v="324"/>
    <n v="1010.33"/>
    <n v="2492.14"/>
    <n v="2492.14"/>
    <s v="High"/>
    <n v="5.0999999999999997E-2"/>
    <n v="5.0999999999999997E-2"/>
    <x v="0"/>
    <n v="11"/>
    <n v="26015.449459999996"/>
    <n v="11113.630000000001"/>
    <n v="14901.819459999995"/>
    <n v="0.57280653493656752"/>
  </r>
  <r>
    <s v="ORD-2023-144816"/>
    <x v="239"/>
    <d v="2023-05-07T00:00:00"/>
    <x v="15"/>
    <x v="5"/>
    <s v="2023"/>
    <x v="8"/>
    <d v="2023-05-29T00:00:00"/>
    <d v="2023-05-29T00:00:00"/>
    <s v="Okay"/>
    <n v="22"/>
    <x v="0"/>
    <x v="0"/>
    <x v="11"/>
    <s v="Durban"/>
    <s v="Africa→South Africa→Durban"/>
    <s v="Education"/>
    <x v="3"/>
    <x v="11"/>
    <x v="6"/>
    <e v="#REF!"/>
    <x v="325"/>
    <n v="653.86"/>
    <n v="931.84"/>
    <n v="931.84"/>
    <s v="Low"/>
    <n v="0.121"/>
    <n v="0.121"/>
    <x v="0"/>
    <n v="12"/>
    <n v="9829.0483199999999"/>
    <n v="7846.32"/>
    <n v="1982.7283200000002"/>
    <n v="0.20172129136506273"/>
  </r>
  <r>
    <s v="ORD-2024-153053"/>
    <x v="182"/>
    <d v="2024-01-12T00:00:00"/>
    <x v="9"/>
    <x v="4"/>
    <s v="2024"/>
    <x v="0"/>
    <d v="2024-01-29T00:00:00"/>
    <d v="2024-01-29T00:00:00"/>
    <s v="Okay"/>
    <n v="17"/>
    <x v="0"/>
    <x v="1"/>
    <x v="4"/>
    <s v="Hyderabad"/>
    <s v="Asia→India→Hyderabad"/>
    <s v="Small Business"/>
    <x v="4"/>
    <x v="5"/>
    <x v="0"/>
    <e v="#REF!"/>
    <x v="326"/>
    <n v="310.02"/>
    <n v="619.51"/>
    <n v="619.51"/>
    <s v="Low"/>
    <n v="4.2000000000000003E-2"/>
    <n v="4.2000000000000003E-2"/>
    <x v="0"/>
    <n v="4"/>
    <n v="2373.9623200000001"/>
    <n v="1240.08"/>
    <n v="1133.8823200000002"/>
    <n v="0.47763282106347843"/>
  </r>
  <r>
    <s v="ORD-2023-536542"/>
    <x v="280"/>
    <d v="2023-06-10T00:00:00"/>
    <x v="23"/>
    <x v="9"/>
    <s v="2023"/>
    <x v="8"/>
    <d v="2023-06-18T00:00:00"/>
    <d v="2023-06-18T00:00:00"/>
    <s v="Okay"/>
    <n v="8"/>
    <x v="0"/>
    <x v="0"/>
    <x v="0"/>
    <s v="Nakuru"/>
    <s v="Africa→Kenya→Nakuru"/>
    <s v="Enterprise"/>
    <x v="4"/>
    <x v="10"/>
    <x v="3"/>
    <e v="#REF!"/>
    <x v="327"/>
    <n v="894.23"/>
    <n v="1421.55"/>
    <n v="1421.55"/>
    <s v="Medium"/>
    <n v="0.109"/>
    <n v="0.109"/>
    <x v="0"/>
    <n v="3"/>
    <n v="3799.8031499999997"/>
    <n v="2682.69"/>
    <n v="1117.1131499999997"/>
    <n v="0.29399237431549574"/>
  </r>
  <r>
    <s v="ORD-2025-779530"/>
    <x v="281"/>
    <d v="2025-05-17T00:00:00"/>
    <x v="8"/>
    <x v="5"/>
    <s v="2025"/>
    <x v="6"/>
    <d v="2025-05-17T00:00:00"/>
    <d v="2025-05-26T00:00:00"/>
    <s v="Invalid"/>
    <n v="9"/>
    <x v="0"/>
    <x v="2"/>
    <x v="5"/>
    <s v="São Paulo"/>
    <s v="Americas→Brazil→São Paulo"/>
    <s v="Small Business"/>
    <x v="3"/>
    <x v="4"/>
    <x v="5"/>
    <e v="#REF!"/>
    <x v="328"/>
    <n v="383.77"/>
    <n v="952.56"/>
    <n v="952.56"/>
    <s v="Low"/>
    <n v="0.34599999999999997"/>
    <s v="12.14%"/>
    <x v="1"/>
    <n v="10"/>
    <n v="8369.1921599999987"/>
    <n v="3837.7"/>
    <n v="4531.4921599999989"/>
    <n v="0.54144917136183901"/>
  </r>
  <r>
    <s v="ORD-2023-163610"/>
    <x v="282"/>
    <d v="2023-10-22T00:00:00"/>
    <x v="32"/>
    <x v="1"/>
    <s v="2023"/>
    <x v="4"/>
    <d v="2023-11-16T00:00:00"/>
    <d v="2023-11-16T00:00:00"/>
    <s v="Okay"/>
    <n v="25"/>
    <x v="0"/>
    <x v="2"/>
    <x v="3"/>
    <s v="Toronto"/>
    <s v="Americas→Canada→Toronto"/>
    <s v="Small Business"/>
    <x v="2"/>
    <x v="2"/>
    <x v="4"/>
    <e v="#REF!"/>
    <x v="329"/>
    <n v="1373.31"/>
    <n v="3154.14"/>
    <n v="3154.14"/>
    <s v="High"/>
    <n v="0.2"/>
    <n v="0.2"/>
    <x v="0"/>
    <n v="11"/>
    <n v="27756.432000000001"/>
    <n v="15106.41"/>
    <n v="12650.022000000001"/>
    <n v="0.45575101295440279"/>
  </r>
  <r>
    <s v="ORD-2025-653781"/>
    <x v="283"/>
    <d v="2025-01-11T00:00:00"/>
    <x v="10"/>
    <x v="4"/>
    <s v="2025"/>
    <x v="3"/>
    <d v="2025-01-23T00:00:00"/>
    <d v="2025-01-23T00:00:00"/>
    <s v="Okay"/>
    <n v="12"/>
    <x v="0"/>
    <x v="2"/>
    <x v="10"/>
    <s v="Austin"/>
    <s v="Americas→USA→Austin"/>
    <s v="Consumer"/>
    <x v="3"/>
    <x v="10"/>
    <x v="3"/>
    <e v="#REF!"/>
    <x v="330"/>
    <n v="100.69"/>
    <n v="226.14"/>
    <n v="226.14"/>
    <s v="Low"/>
    <n v="6.5000000000000002E-2"/>
    <n v="6.5000000000000002E-2"/>
    <x v="0"/>
    <n v="12"/>
    <n v="2537.2908000000002"/>
    <n v="1208.28"/>
    <n v="1329.0108000000002"/>
    <n v="0.52379128162999689"/>
  </r>
  <r>
    <s v="ORD-2025-737787"/>
    <x v="284"/>
    <d v="2025-09-14T00:00:00"/>
    <x v="11"/>
    <x v="6"/>
    <s v="2025"/>
    <x v="7"/>
    <d v="2025-09-26T00:00:00"/>
    <d v="2025-09-26T00:00:00"/>
    <s v="Okay"/>
    <n v="12"/>
    <x v="0"/>
    <x v="3"/>
    <x v="8"/>
    <s v="London"/>
    <s v="Europe→United Kingdom→London"/>
    <s v="Small Business"/>
    <x v="4"/>
    <x v="13"/>
    <x v="2"/>
    <e v="#REF!"/>
    <x v="331"/>
    <n v="425.15"/>
    <n v="885.92"/>
    <n v="885.92"/>
    <s v="Low"/>
    <n v="0.23899999999999999"/>
    <n v="0.23899999999999999"/>
    <x v="0"/>
    <n v="13"/>
    <n v="8764.4065599999994"/>
    <n v="5526.95"/>
    <n v="3237.4565599999996"/>
    <n v="0.3693868532725848"/>
  </r>
  <r>
    <s v="ORD-2023-944052"/>
    <x v="52"/>
    <d v="2023-08-30T00:00:00"/>
    <x v="25"/>
    <x v="11"/>
    <s v="2023"/>
    <x v="10"/>
    <d v="2023-09-03T00:00:00"/>
    <d v="2023-09-03T00:00:00"/>
    <s v="Okay"/>
    <n v="4"/>
    <x v="1"/>
    <x v="1"/>
    <x v="4"/>
    <s v="Delhi"/>
    <s v="Asia→India→Delhi"/>
    <s v="Small Business"/>
    <x v="2"/>
    <x v="4"/>
    <x v="6"/>
    <e v="#REF!"/>
    <x v="332"/>
    <n v="1082.25"/>
    <n v="2433.34"/>
    <n v="2433.34"/>
    <s v="High"/>
    <n v="0.27"/>
    <n v="0.27"/>
    <x v="0"/>
    <n v="4"/>
    <n v="7105.3528000000006"/>
    <n v="4329"/>
    <n v="2776.3528000000006"/>
    <n v="0.3907410199251472"/>
  </r>
  <r>
    <s v="ORD-2023-181257"/>
    <x v="285"/>
    <d v="2023-11-15T00:00:00"/>
    <x v="30"/>
    <x v="10"/>
    <s v="2023"/>
    <x v="4"/>
    <d v="2023-12-06T00:00:00"/>
    <d v="2023-12-06T00:00:00"/>
    <s v="Okay"/>
    <n v="21"/>
    <x v="0"/>
    <x v="3"/>
    <x v="8"/>
    <s v="Manchester"/>
    <s v="Europe→United Kingdom→Manchester"/>
    <s v="Education"/>
    <x v="4"/>
    <x v="10"/>
    <x v="6"/>
    <e v="#REF!"/>
    <x v="333"/>
    <n v="1184.99"/>
    <n v="1154.3399999999999"/>
    <n v="1154.3399999999999"/>
    <s v="Low"/>
    <n v="2.8000000000000001E-2"/>
    <n v="2.8000000000000001E-2"/>
    <x v="0"/>
    <n v="5"/>
    <n v="5610.0923999999995"/>
    <n v="5924.95"/>
    <n v="-314.85760000000028"/>
    <n v="-5.6123424990290764E-2"/>
  </r>
  <r>
    <s v="ORD-2025-323492"/>
    <x v="60"/>
    <d v="2025-04-27T00:00:00"/>
    <x v="19"/>
    <x v="7"/>
    <s v="2025"/>
    <x v="6"/>
    <d v="2025-05-27T00:00:00"/>
    <d v="2025-05-27T00:00:00"/>
    <s v="Okay"/>
    <n v="30"/>
    <x v="0"/>
    <x v="1"/>
    <x v="4"/>
    <s v="Unknown"/>
    <s v="Asia→India→Unknown"/>
    <s v="Enterprise"/>
    <x v="2"/>
    <x v="10"/>
    <x v="3"/>
    <e v="#REF!"/>
    <x v="334"/>
    <n v="481.32"/>
    <n v="1135.99"/>
    <n v="1135.99"/>
    <s v="Low"/>
    <n v="0.14499999999999999"/>
    <n v="0.14499999999999999"/>
    <x v="0"/>
    <n v="5"/>
    <n v="4856.35725"/>
    <n v="2406.6"/>
    <n v="2449.7572500000001"/>
    <n v="0.50444337677175621"/>
  </r>
  <r>
    <s v="ORD-2024-332076"/>
    <x v="286"/>
    <d v="2024-04-09T00:00:00"/>
    <x v="20"/>
    <x v="7"/>
    <s v="2024"/>
    <x v="5"/>
    <d v="2024-04-18T00:00:00"/>
    <d v="2024-04-18T00:00:00"/>
    <s v="Okay"/>
    <n v="9"/>
    <x v="0"/>
    <x v="3"/>
    <x v="7"/>
    <s v="Lyon"/>
    <s v="Europe→France→Lyon"/>
    <s v="Consumer"/>
    <x v="1"/>
    <x v="6"/>
    <x v="1"/>
    <e v="#REF!"/>
    <x v="335"/>
    <n v="1288.8499999999999"/>
    <n v="2751.84"/>
    <n v="2751.84"/>
    <s v="High"/>
    <n v="0.158"/>
    <n v="0.158"/>
    <x v="0"/>
    <n v="7"/>
    <n v="16219.34496"/>
    <n v="9021.9499999999989"/>
    <n v="7197.3949600000014"/>
    <n v="0.44375373837538756"/>
  </r>
  <r>
    <s v="ORD-2024-571797"/>
    <x v="287"/>
    <d v="2024-07-11T00:00:00"/>
    <x v="14"/>
    <x v="8"/>
    <s v="2024"/>
    <x v="9"/>
    <d v="2024-07-31T00:00:00"/>
    <d v="2024-07-31T00:00:00"/>
    <s v="Okay"/>
    <n v="20"/>
    <x v="0"/>
    <x v="1"/>
    <x v="9"/>
    <s v="Shenzhen"/>
    <s v="Asia→China→Shenzhen"/>
    <s v="Consumer"/>
    <x v="1"/>
    <x v="3"/>
    <x v="3"/>
    <e v="#REF!"/>
    <x v="336"/>
    <n v="647.26"/>
    <n v="1374.72"/>
    <n v="1374.72"/>
    <s v="Medium"/>
    <n v="6.6000000000000003E-2"/>
    <n v="6.6000000000000003E-2"/>
    <x v="0"/>
    <n v="22"/>
    <n v="28247.74656"/>
    <n v="14239.72"/>
    <n v="14008.02656"/>
    <n v="0.49589890401508901"/>
  </r>
  <r>
    <s v="ORD-2024-129345"/>
    <x v="142"/>
    <d v="2024-02-18T00:00:00"/>
    <x v="31"/>
    <x v="2"/>
    <s v="2024"/>
    <x v="0"/>
    <d v="2024-03-03T00:00:00"/>
    <d v="2024-03-03T00:00:00"/>
    <s v="Okay"/>
    <n v="14"/>
    <x v="0"/>
    <x v="2"/>
    <x v="5"/>
    <s v="Unknown"/>
    <s v="Americas→Brazil→Unknown"/>
    <s v="Enterprise"/>
    <x v="3"/>
    <x v="8"/>
    <x v="1"/>
    <e v="#REF!"/>
    <x v="337"/>
    <n v="624.23"/>
    <n v="1318.37"/>
    <n v="1318.37"/>
    <s v="Medium"/>
    <n v="0.21"/>
    <n v="0.21"/>
    <x v="0"/>
    <n v="37"/>
    <n v="38535.955099999999"/>
    <n v="23096.510000000002"/>
    <n v="15439.445099999997"/>
    <n v="0.40065038118128793"/>
  </r>
  <r>
    <s v="ORD-2023-660608"/>
    <x v="288"/>
    <d v="2023-07-25T00:00:00"/>
    <x v="24"/>
    <x v="8"/>
    <s v="2023"/>
    <x v="10"/>
    <d v="2023-08-10T00:00:00"/>
    <d v="2023-08-10T00:00:00"/>
    <s v="Okay"/>
    <n v="16"/>
    <x v="0"/>
    <x v="0"/>
    <x v="1"/>
    <s v="Port Harcourt"/>
    <s v="Africa→Nigeria→Port Harcourt"/>
    <s v="Corporate"/>
    <x v="3"/>
    <x v="2"/>
    <x v="6"/>
    <e v="#REF!"/>
    <x v="338"/>
    <n v="506.83"/>
    <n v="441.74"/>
    <n v="441.74"/>
    <s v="Low"/>
    <n v="0.24"/>
    <n v="0.24"/>
    <x v="0"/>
    <n v="9"/>
    <n v="3021.5016000000001"/>
    <n v="4561.47"/>
    <n v="-1539.9684000000002"/>
    <n v="-0.50966989393618067"/>
  </r>
  <r>
    <s v="ORD-2023-825084"/>
    <x v="289"/>
    <d v="2023-07-14T00:00:00"/>
    <x v="24"/>
    <x v="8"/>
    <s v="2023"/>
    <x v="10"/>
    <d v="2023-07-21T00:00:00"/>
    <d v="2023-07-21T00:00:00"/>
    <s v="Okay"/>
    <n v="7"/>
    <x v="1"/>
    <x v="0"/>
    <x v="11"/>
    <s v="Durban"/>
    <s v="Africa→South Africa→Durban"/>
    <s v="Enterprise"/>
    <x v="2"/>
    <x v="15"/>
    <x v="5"/>
    <e v="#REF!"/>
    <x v="339"/>
    <n v="620.74"/>
    <n v="1330.07"/>
    <n v="1330.07"/>
    <s v="Medium"/>
    <n v="0.29899999999999999"/>
    <n v="0.29899999999999999"/>
    <x v="0"/>
    <n v="28"/>
    <n v="26106.613960000002"/>
    <n v="17380.72"/>
    <n v="8725.8939600000012"/>
    <n v="0.33424073965967516"/>
  </r>
  <r>
    <s v="ORD-2023-261081"/>
    <x v="245"/>
    <d v="2023-07-24T00:00:00"/>
    <x v="24"/>
    <x v="8"/>
    <s v="2023"/>
    <x v="10"/>
    <d v="2023-08-19T00:00:00"/>
    <d v="2023-08-19T00:00:00"/>
    <s v="Okay"/>
    <n v="26"/>
    <x v="0"/>
    <x v="0"/>
    <x v="0"/>
    <s v="Nairobi"/>
    <s v="Africa→Kenya→Nairobi"/>
    <s v="Enterprise"/>
    <x v="3"/>
    <x v="12"/>
    <x v="6"/>
    <e v="#REF!"/>
    <x v="340"/>
    <n v="661.45"/>
    <n v="1634.86"/>
    <n v="1634.86"/>
    <s v="Medium"/>
    <n v="0.56499999999999995"/>
    <s v="12.14%"/>
    <x v="1"/>
    <n v="24"/>
    <n v="34473.311904000002"/>
    <n v="15874.800000000001"/>
    <n v="18598.511903999999"/>
    <n v="0.53950464509451379"/>
  </r>
  <r>
    <s v="ORD-2023-766015"/>
    <x v="290"/>
    <d v="2023-04-11T00:00:00"/>
    <x v="12"/>
    <x v="7"/>
    <s v="2023"/>
    <x v="8"/>
    <d v="2023-04-11T00:00:00"/>
    <d v="2023-04-20T00:00:00"/>
    <s v="Invalid"/>
    <n v="9"/>
    <x v="0"/>
    <x v="2"/>
    <x v="10"/>
    <s v="San Francisco"/>
    <s v="Americas→USA→San Francisco"/>
    <s v="Education"/>
    <x v="2"/>
    <x v="3"/>
    <x v="2"/>
    <e v="#REF!"/>
    <x v="341"/>
    <n v="32.1"/>
    <n v="70.599999999999994"/>
    <n v="70.599999999999994"/>
    <s v="Low"/>
    <n v="0.28199999999999997"/>
    <n v="0.28199999999999997"/>
    <x v="0"/>
    <n v="22"/>
    <n v="1115.1975999999997"/>
    <n v="706.2"/>
    <n v="408.99759999999969"/>
    <n v="0.36674899587301818"/>
  </r>
  <r>
    <s v="ORD-2024-333192"/>
    <x v="291"/>
    <d v="2024-10-29T00:00:00"/>
    <x v="1"/>
    <x v="1"/>
    <s v="2024"/>
    <x v="1"/>
    <d v="2024-11-04T00:00:00"/>
    <d v="2024-11-04T00:00:00"/>
    <s v="Okay"/>
    <n v="6"/>
    <x v="1"/>
    <x v="0"/>
    <x v="0"/>
    <s v="Nairobi"/>
    <s v="Africa→Kenya→Nairobi"/>
    <s v="Corporate"/>
    <x v="3"/>
    <x v="12"/>
    <x v="1"/>
    <e v="#REF!"/>
    <x v="342"/>
    <n v="805.81"/>
    <n v="1823.04"/>
    <n v="1823.04"/>
    <s v="Medium"/>
    <n v="0"/>
    <n v="0"/>
    <x v="0"/>
    <n v="11"/>
    <n v="20053.439999999999"/>
    <n v="8863.91"/>
    <n v="11189.529999999999"/>
    <n v="0.55798556257679477"/>
  </r>
  <r>
    <s v="ORD-2024-647473"/>
    <x v="292"/>
    <d v="2024-02-17T00:00:00"/>
    <x v="31"/>
    <x v="2"/>
    <s v="2024"/>
    <x v="0"/>
    <d v="2024-03-04T00:00:00"/>
    <d v="2024-03-04T00:00:00"/>
    <s v="Okay"/>
    <n v="16"/>
    <x v="0"/>
    <x v="1"/>
    <x v="4"/>
    <s v="Delhi"/>
    <s v="Asia→India→Delhi"/>
    <s v="Small Business"/>
    <x v="2"/>
    <x v="9"/>
    <x v="3"/>
    <e v="#REF!"/>
    <x v="343"/>
    <n v="1231.8"/>
    <n v="2015.99"/>
    <n v="2015.99"/>
    <s v="High"/>
    <n v="0.26100000000000001"/>
    <n v="0.26100000000000001"/>
    <x v="0"/>
    <n v="6"/>
    <n v="8938.8996600000009"/>
    <n v="7390.7999999999993"/>
    <n v="1548.0996600000017"/>
    <n v="0.17318682599464391"/>
  </r>
  <r>
    <s v="ORD-2024-892908"/>
    <x v="293"/>
    <d v="2024-07-12T00:00:00"/>
    <x v="14"/>
    <x v="8"/>
    <s v="2024"/>
    <x v="9"/>
    <d v="2024-07-12T00:00:00"/>
    <d v="2024-07-20T00:00:00"/>
    <s v="Invalid"/>
    <n v="8"/>
    <x v="0"/>
    <x v="1"/>
    <x v="2"/>
    <s v="Nagoya"/>
    <s v="Asia→Japan→Nagoya"/>
    <s v="Small Business"/>
    <x v="2"/>
    <x v="9"/>
    <x v="2"/>
    <e v="#REF!"/>
    <x v="344"/>
    <n v="105.13"/>
    <n v="244.13"/>
    <n v="244.13"/>
    <s v="Low"/>
    <n v="7.0999999999999994E-2"/>
    <n v="7.0999999999999994E-2"/>
    <x v="0"/>
    <n v="14"/>
    <n v="3175.1547799999998"/>
    <n v="1471.82"/>
    <n v="1703.3347799999999"/>
    <n v="0.53645724319618837"/>
  </r>
  <r>
    <s v="ORD-2023-573146"/>
    <x v="294"/>
    <d v="2023-12-01T00:00:00"/>
    <x v="4"/>
    <x v="3"/>
    <s v="2023"/>
    <x v="4"/>
    <d v="2023-12-18T00:00:00"/>
    <d v="2023-12-18T00:00:00"/>
    <s v="Okay"/>
    <n v="17"/>
    <x v="0"/>
    <x v="1"/>
    <x v="2"/>
    <s v="Nagoya"/>
    <s v="Asia→Japan→Nagoya"/>
    <s v="Small Business"/>
    <x v="4"/>
    <x v="13"/>
    <x v="4"/>
    <e v="#REF!"/>
    <x v="345"/>
    <n v="1495.79"/>
    <n v="2783.12"/>
    <n v="2783.12"/>
    <s v="High"/>
    <n v="0.02"/>
    <n v="0.02"/>
    <x v="0"/>
    <n v="5"/>
    <n v="13637.287999999999"/>
    <n v="7478.95"/>
    <n v="6158.3379999999988"/>
    <n v="0.45158084217331185"/>
  </r>
  <r>
    <s v="ORD-2024-901115"/>
    <x v="19"/>
    <d v="2024-07-25T00:00:00"/>
    <x v="14"/>
    <x v="8"/>
    <s v="2024"/>
    <x v="9"/>
    <d v="2024-08-02T00:00:00"/>
    <d v="2024-08-02T00:00:00"/>
    <s v="Okay"/>
    <n v="8"/>
    <x v="0"/>
    <x v="2"/>
    <x v="3"/>
    <s v="Montreal"/>
    <s v="Americas→Canada→Montreal"/>
    <s v="Consumer"/>
    <x v="4"/>
    <x v="1"/>
    <x v="6"/>
    <e v="#REF!"/>
    <x v="346"/>
    <n v="986.81"/>
    <n v="2050.31"/>
    <n v="2050.31"/>
    <s v="High"/>
    <n v="0.10299999999999999"/>
    <n v="0.10299999999999999"/>
    <x v="0"/>
    <n v="43"/>
    <n v="79082.507010000001"/>
    <n v="42432.829999999994"/>
    <n v="36649.677010000007"/>
    <n v="0.46343595310358138"/>
  </r>
  <r>
    <s v="ORD-2023-898009"/>
    <x v="177"/>
    <d v="2023-05-04T00:00:00"/>
    <x v="15"/>
    <x v="5"/>
    <s v="2023"/>
    <x v="8"/>
    <d v="2023-05-16T00:00:00"/>
    <d v="2023-05-16T00:00:00"/>
    <s v="Okay"/>
    <n v="12"/>
    <x v="0"/>
    <x v="0"/>
    <x v="1"/>
    <s v="Abuja"/>
    <s v="Africa→Nigeria→Abuja"/>
    <s v="Small Business"/>
    <x v="2"/>
    <x v="1"/>
    <x v="3"/>
    <e v="#REF!"/>
    <x v="347"/>
    <n v="77.739999999999995"/>
    <n v="147.12"/>
    <n v="147.12"/>
    <s v="Low"/>
    <n v="0"/>
    <n v="0"/>
    <x v="0"/>
    <n v="15"/>
    <n v="2206.8000000000002"/>
    <n v="1166.0999999999999"/>
    <n v="1040.7000000000003"/>
    <n v="0.47158781946710177"/>
  </r>
  <r>
    <s v="ORD-2023-208944"/>
    <x v="295"/>
    <d v="2023-12-21T00:00:00"/>
    <x v="4"/>
    <x v="3"/>
    <s v="2023"/>
    <x v="4"/>
    <d v="2024-01-06T00:00:00"/>
    <d v="2024-01-06T00:00:00"/>
    <s v="Okay"/>
    <n v="16"/>
    <x v="0"/>
    <x v="0"/>
    <x v="1"/>
    <s v="Unknown"/>
    <s v="Africa→Nigeria→Unknown"/>
    <s v="Corporate"/>
    <x v="2"/>
    <x v="11"/>
    <x v="0"/>
    <e v="#REF!"/>
    <x v="348"/>
    <n v="932.61"/>
    <n v="1982.98"/>
    <n v="1982.98"/>
    <s v="High"/>
    <n v="0.14399999999999999"/>
    <n v="0.14399999999999999"/>
    <x v="0"/>
    <n v="16"/>
    <n v="27158.894079999998"/>
    <n v="14921.76"/>
    <n v="12237.134079999998"/>
    <n v="0.45057556629345635"/>
  </r>
  <r>
    <s v="ORD-2025-480172"/>
    <x v="296"/>
    <d v="2025-06-17T00:00:00"/>
    <x v="16"/>
    <x v="9"/>
    <s v="2025"/>
    <x v="6"/>
    <d v="2025-07-05T00:00:00"/>
    <d v="2025-07-05T00:00:00"/>
    <s v="Okay"/>
    <n v="18"/>
    <x v="0"/>
    <x v="1"/>
    <x v="4"/>
    <s v="Delhi"/>
    <s v="Asia→India→Delhi"/>
    <s v="Consumer"/>
    <x v="2"/>
    <x v="4"/>
    <x v="4"/>
    <e v="#REF!"/>
    <x v="349"/>
    <n v="982.93"/>
    <n v="2299.3000000000002"/>
    <n v="2299.3000000000002"/>
    <s v="High"/>
    <n v="0.113"/>
    <n v="0.113"/>
    <x v="0"/>
    <n v="6"/>
    <n v="12236.874600000001"/>
    <n v="5897.58"/>
    <n v="6339.2946000000011"/>
    <n v="0.51804850562087157"/>
  </r>
  <r>
    <s v="ORD-2023-735274"/>
    <x v="29"/>
    <d v="2023-02-23T00:00:00"/>
    <x v="2"/>
    <x v="2"/>
    <s v="2023"/>
    <x v="2"/>
    <d v="2023-03-08T00:00:00"/>
    <d v="2023-03-08T00:00:00"/>
    <s v="Okay"/>
    <n v="13"/>
    <x v="0"/>
    <x v="3"/>
    <x v="8"/>
    <s v="Manchester"/>
    <s v="Europe→United Kingdom→Manchester"/>
    <s v="Small Business"/>
    <x v="4"/>
    <x v="0"/>
    <x v="1"/>
    <e v="#REF!"/>
    <x v="350"/>
    <n v="307.37"/>
    <n v="462.61"/>
    <n v="462.61"/>
    <s v="Low"/>
    <n v="0.188"/>
    <n v="0.188"/>
    <x v="0"/>
    <n v="11"/>
    <n v="4132.0325200000007"/>
    <n v="3381.07"/>
    <n v="750.9625200000005"/>
    <n v="0.18174167709599739"/>
  </r>
  <r>
    <s v="ORD-2023-212701"/>
    <x v="297"/>
    <d v="2023-12-02T00:00:00"/>
    <x v="4"/>
    <x v="3"/>
    <s v="2023"/>
    <x v="4"/>
    <d v="2023-12-16T00:00:00"/>
    <d v="2023-12-16T00:00:00"/>
    <s v="Okay"/>
    <n v="14"/>
    <x v="0"/>
    <x v="3"/>
    <x v="6"/>
    <s v="Frankfurt"/>
    <s v="Europe→Germany→Frankfurt"/>
    <s v="Education"/>
    <x v="4"/>
    <x v="13"/>
    <x v="5"/>
    <e v="#REF!"/>
    <x v="351"/>
    <n v="879.08"/>
    <n v="1093.3900000000001"/>
    <n v="1093.3900000000001"/>
    <s v="Low"/>
    <n v="0.113"/>
    <n v="0.113"/>
    <x v="0"/>
    <n v="17"/>
    <n v="16487.22781"/>
    <n v="14944.36"/>
    <n v="1542.8678099999997"/>
    <n v="9.3579577341935186E-2"/>
  </r>
  <r>
    <s v="ORD-2023-479747"/>
    <x v="289"/>
    <d v="2023-07-14T00:00:00"/>
    <x v="24"/>
    <x v="8"/>
    <s v="2023"/>
    <x v="10"/>
    <d v="2023-07-14T00:00:00"/>
    <d v="2023-07-14T00:00:00"/>
    <s v="Okay"/>
    <n v="0"/>
    <x v="1"/>
    <x v="0"/>
    <x v="1"/>
    <s v="Lagos"/>
    <s v="Africa→Nigeria→Lagos"/>
    <s v="Education"/>
    <x v="0"/>
    <x v="2"/>
    <x v="6"/>
    <e v="#REF!"/>
    <x v="352"/>
    <n v="956.38"/>
    <n v="1454.22"/>
    <n v="1454.22"/>
    <s v="Medium"/>
    <n v="3.9E-2"/>
    <n v="3.9E-2"/>
    <x v="0"/>
    <n v="19"/>
    <n v="26552.60298"/>
    <n v="18171.22"/>
    <n v="8381.3829799999985"/>
    <n v="0.31565202802576603"/>
  </r>
  <r>
    <s v="ORD-2024-915495"/>
    <x v="298"/>
    <d v="2024-08-08T00:00:00"/>
    <x v="21"/>
    <x v="11"/>
    <s v="2024"/>
    <x v="9"/>
    <d v="2024-08-20T00:00:00"/>
    <d v="2024-08-20T00:00:00"/>
    <s v="Okay"/>
    <n v="12"/>
    <x v="0"/>
    <x v="1"/>
    <x v="2"/>
    <s v="Osaka"/>
    <s v="Asia→Japan→Osaka"/>
    <s v="Small Business"/>
    <x v="0"/>
    <x v="10"/>
    <x v="2"/>
    <e v="#REF!"/>
    <x v="353"/>
    <n v="1233.3599999999999"/>
    <n v="2120.4"/>
    <n v="2120.4"/>
    <s v="High"/>
    <n v="0.17899999999999999"/>
    <n v="0.17899999999999999"/>
    <x v="0"/>
    <n v="20"/>
    <n v="34816.968000000001"/>
    <n v="24667.199999999997"/>
    <n v="10149.768000000004"/>
    <n v="0.29151785991244278"/>
  </r>
  <r>
    <s v="ORD-2024-225829"/>
    <x v="299"/>
    <d v="2024-11-07T00:00:00"/>
    <x v="18"/>
    <x v="10"/>
    <s v="2024"/>
    <x v="1"/>
    <d v="2024-11-26T00:00:00"/>
    <d v="2024-11-26T00:00:00"/>
    <s v="Okay"/>
    <n v="19"/>
    <x v="0"/>
    <x v="2"/>
    <x v="5"/>
    <s v="Rio de Janeiro"/>
    <s v="Americas→Brazil→Rio de Janeiro"/>
    <s v="Non-Profit"/>
    <x v="3"/>
    <x v="1"/>
    <x v="1"/>
    <e v="#REF!"/>
    <x v="354"/>
    <n v="55.35"/>
    <n v="128.68"/>
    <n v="128.68"/>
    <s v="Low"/>
    <n v="0.128"/>
    <n v="0.128"/>
    <x v="0"/>
    <n v="10"/>
    <n v="1122.0896000000002"/>
    <n v="553.5"/>
    <n v="568.58960000000025"/>
    <n v="0.50672388372550647"/>
  </r>
  <r>
    <s v="ORD-2024-921935"/>
    <x v="300"/>
    <d v="2024-01-01T00:00:00"/>
    <x v="9"/>
    <x v="4"/>
    <s v="2024"/>
    <x v="0"/>
    <d v="2024-01-27T00:00:00"/>
    <d v="2024-01-27T00:00:00"/>
    <s v="Okay"/>
    <n v="26"/>
    <x v="0"/>
    <x v="3"/>
    <x v="8"/>
    <s v="Manchester"/>
    <s v="Europe→United Kingdom→Manchester"/>
    <s v="Education"/>
    <x v="3"/>
    <x v="14"/>
    <x v="6"/>
    <e v="#REF!"/>
    <x v="355"/>
    <n v="657.45"/>
    <n v="1325.96"/>
    <n v="1325.96"/>
    <s v="Medium"/>
    <n v="0.16700000000000001"/>
    <n v="0.16700000000000001"/>
    <x v="0"/>
    <n v="21"/>
    <n v="23195.01828"/>
    <n v="13806.45"/>
    <n v="9388.5682799999995"/>
    <n v="0.40476658249048808"/>
  </r>
  <r>
    <s v="ORD-2025-949776"/>
    <x v="301"/>
    <d v="2025-08-14T00:00:00"/>
    <x v="28"/>
    <x v="11"/>
    <s v="2025"/>
    <x v="7"/>
    <d v="2025-09-11T00:00:00"/>
    <d v="2025-09-11T00:00:00"/>
    <s v="Okay"/>
    <n v="28"/>
    <x v="0"/>
    <x v="2"/>
    <x v="5"/>
    <s v="São Paulo"/>
    <s v="Americas→Brazil→São Paulo"/>
    <s v="Non-Profit"/>
    <x v="4"/>
    <x v="9"/>
    <x v="1"/>
    <e v="#REF!"/>
    <x v="356"/>
    <n v="1203.02"/>
    <n v="2439.33"/>
    <n v="2439.33"/>
    <s v="High"/>
    <n v="0"/>
    <n v="0"/>
    <x v="0"/>
    <n v="18"/>
    <n v="43907.94"/>
    <n v="21654.36"/>
    <n v="22253.58"/>
    <n v="0.50682359500354612"/>
  </r>
  <r>
    <s v="ORD-2024-510591"/>
    <x v="149"/>
    <d v="2024-04-03T00:00:00"/>
    <x v="20"/>
    <x v="7"/>
    <s v="2024"/>
    <x v="5"/>
    <d v="2024-04-21T00:00:00"/>
    <d v="2024-04-21T00:00:00"/>
    <s v="Okay"/>
    <n v="18"/>
    <x v="0"/>
    <x v="2"/>
    <x v="5"/>
    <s v="Brasília"/>
    <s v="Americas→Brazil→Brasília"/>
    <s v="Small Business"/>
    <x v="3"/>
    <x v="5"/>
    <x v="2"/>
    <e v="#REF!"/>
    <x v="357"/>
    <n v="1176.69"/>
    <n v="2201.54"/>
    <n v="2201.54"/>
    <s v="High"/>
    <n v="0.17"/>
    <n v="0.17"/>
    <x v="0"/>
    <n v="27"/>
    <n v="49336.511399999996"/>
    <n v="31770.63"/>
    <n v="17565.881399999995"/>
    <n v="0.35604222717701106"/>
  </r>
  <r>
    <s v="ORD-2024-961756"/>
    <x v="302"/>
    <d v="2024-11-25T00:00:00"/>
    <x v="18"/>
    <x v="10"/>
    <s v="2024"/>
    <x v="1"/>
    <d v="2024-12-07T00:00:00"/>
    <d v="2024-12-07T00:00:00"/>
    <s v="Okay"/>
    <n v="12"/>
    <x v="0"/>
    <x v="1"/>
    <x v="9"/>
    <s v="Shanghai"/>
    <s v="Asia→China→Shanghai"/>
    <s v="Corporate"/>
    <x v="3"/>
    <x v="8"/>
    <x v="6"/>
    <e v="#REF!"/>
    <x v="358"/>
    <n v="769.9"/>
    <n v="814.36"/>
    <n v="814.36"/>
    <s v="Low"/>
    <n v="0"/>
    <n v="0"/>
    <x v="0"/>
    <n v="5"/>
    <n v="4071.8"/>
    <n v="3849.5"/>
    <n v="222.30000000000018"/>
    <n v="5.4595019401738831E-2"/>
  </r>
  <r>
    <s v="ORD-2024-892173"/>
    <x v="303"/>
    <d v="2024-01-18T00:00:00"/>
    <x v="9"/>
    <x v="4"/>
    <s v="2024"/>
    <x v="0"/>
    <d v="2024-02-03T00:00:00"/>
    <d v="2024-02-03T00:00:00"/>
    <s v="Okay"/>
    <n v="16"/>
    <x v="0"/>
    <x v="0"/>
    <x v="11"/>
    <s v="Cape Town"/>
    <s v="Africa→South Africa→Cape Town"/>
    <s v="Non-Profit"/>
    <x v="3"/>
    <x v="4"/>
    <x v="1"/>
    <e v="#REF!"/>
    <x v="359"/>
    <n v="666.23"/>
    <n v="1382.91"/>
    <n v="1382.91"/>
    <s v="Medium"/>
    <n v="0.17599999999999999"/>
    <n v="0.17599999999999999"/>
    <x v="0"/>
    <n v="13"/>
    <n v="14813.731920000002"/>
    <n v="8660.99"/>
    <n v="6152.7419200000022"/>
    <n v="0.41534043907553048"/>
  </r>
  <r>
    <s v="ORD-2024-704056"/>
    <x v="304"/>
    <d v="2024-06-23T00:00:00"/>
    <x v="17"/>
    <x v="9"/>
    <s v="2024"/>
    <x v="5"/>
    <d v="2024-06-25T00:00:00"/>
    <d v="2024-06-25T00:00:00"/>
    <s v="Okay"/>
    <n v="2"/>
    <x v="1"/>
    <x v="3"/>
    <x v="8"/>
    <s v="Birmingham"/>
    <s v="Europe→United Kingdom→Birmingham"/>
    <s v="Small Business"/>
    <x v="2"/>
    <x v="4"/>
    <x v="6"/>
    <e v="#REF!"/>
    <x v="360"/>
    <n v="951.44"/>
    <n v="1646.43"/>
    <n v="1646.43"/>
    <s v="Medium"/>
    <n v="0.11"/>
    <n v="0.11"/>
    <x v="0"/>
    <n v="24"/>
    <n v="35167.7448"/>
    <n v="22834.560000000001"/>
    <n v="12333.184799999999"/>
    <n v="0.35069592520473475"/>
  </r>
  <r>
    <s v="ORD-2025-591006"/>
    <x v="305"/>
    <d v="2025-06-25T00:00:00"/>
    <x v="16"/>
    <x v="9"/>
    <s v="2025"/>
    <x v="6"/>
    <d v="2025-07-10T00:00:00"/>
    <d v="2025-07-10T00:00:00"/>
    <s v="Okay"/>
    <n v="15"/>
    <x v="0"/>
    <x v="3"/>
    <x v="8"/>
    <s v="Birmingham"/>
    <s v="Europe→United Kingdom→Birmingham"/>
    <s v="Non-Profit"/>
    <x v="2"/>
    <x v="14"/>
    <x v="3"/>
    <e v="#REF!"/>
    <x v="361"/>
    <n v="546.83000000000004"/>
    <n v="400.84"/>
    <n v="400.84"/>
    <s v="Low"/>
    <n v="7.8E-2"/>
    <n v="7.8E-2"/>
    <x v="0"/>
    <n v="13"/>
    <n v="4804.4682400000002"/>
    <n v="7108.7900000000009"/>
    <n v="-2304.3217600000007"/>
    <n v="-0.47962056254533608"/>
  </r>
  <r>
    <s v="ORD-2023-159821"/>
    <x v="306"/>
    <d v="2023-07-01T00:00:00"/>
    <x v="24"/>
    <x v="8"/>
    <s v="2023"/>
    <x v="10"/>
    <d v="2023-07-08T00:00:00"/>
    <d v="2023-07-08T00:00:00"/>
    <s v="Okay"/>
    <n v="7"/>
    <x v="1"/>
    <x v="0"/>
    <x v="1"/>
    <s v="Port Harcourt"/>
    <s v="Africa→Nigeria→Port Harcourt"/>
    <s v="Corporate"/>
    <x v="0"/>
    <x v="8"/>
    <x v="4"/>
    <e v="#REF!"/>
    <x v="362"/>
    <n v="834.26"/>
    <n v="1780.56"/>
    <n v="1780.56"/>
    <s v="Medium"/>
    <n v="1.4E-2"/>
    <n v="1.4E-2"/>
    <x v="0"/>
    <n v="47"/>
    <n v="82514.711519999997"/>
    <n v="39210.22"/>
    <n v="43304.491519999996"/>
    <n v="0.5248093427497933"/>
  </r>
  <r>
    <s v="ORD-2024-343877"/>
    <x v="307"/>
    <d v="2024-03-09T00:00:00"/>
    <x v="0"/>
    <x v="0"/>
    <s v="2024"/>
    <x v="0"/>
    <d v="2024-03-26T00:00:00"/>
    <d v="2024-03-26T00:00:00"/>
    <s v="Okay"/>
    <n v="17"/>
    <x v="0"/>
    <x v="1"/>
    <x v="9"/>
    <s v="Shenzhen"/>
    <s v="Asia→China→Shenzhen"/>
    <s v="Enterprise"/>
    <x v="1"/>
    <x v="11"/>
    <x v="5"/>
    <e v="#REF!"/>
    <x v="363"/>
    <n v="1029.67"/>
    <n v="1118.43"/>
    <n v="1118.43"/>
    <s v="Low"/>
    <n v="0.27200000000000002"/>
    <n v="0.27200000000000002"/>
    <x v="0"/>
    <n v="9"/>
    <n v="7327.9533600000004"/>
    <n v="9267.0300000000007"/>
    <n v="-1939.0766400000002"/>
    <n v="-0.26461367106736061"/>
  </r>
  <r>
    <s v="ORD-2023-386663"/>
    <x v="308"/>
    <d v="2023-06-05T00:00:00"/>
    <x v="23"/>
    <x v="9"/>
    <s v="2023"/>
    <x v="8"/>
    <d v="2023-06-28T00:00:00"/>
    <d v="2023-06-28T00:00:00"/>
    <s v="Okay"/>
    <n v="23"/>
    <x v="0"/>
    <x v="3"/>
    <x v="8"/>
    <s v="Birmingham"/>
    <s v="Europe→United Kingdom→Birmingham"/>
    <s v="Corporate"/>
    <x v="4"/>
    <x v="11"/>
    <x v="1"/>
    <e v="#REF!"/>
    <x v="364"/>
    <n v="605.82000000000005"/>
    <n v="771.12"/>
    <n v="771.12"/>
    <s v="Low"/>
    <n v="0.13200000000000001"/>
    <n v="0.13200000000000001"/>
    <x v="0"/>
    <n v="19"/>
    <n v="12717.311040000001"/>
    <n v="11510.580000000002"/>
    <n v="1206.7310399999988"/>
    <n v="9.4888851597986767E-2"/>
  </r>
  <r>
    <s v="ORD-2025-125517"/>
    <x v="309"/>
    <d v="2025-03-21T00:00:00"/>
    <x v="3"/>
    <x v="0"/>
    <s v="2025"/>
    <x v="3"/>
    <d v="2025-04-09T00:00:00"/>
    <d v="2025-04-09T00:00:00"/>
    <s v="Okay"/>
    <n v="19"/>
    <x v="0"/>
    <x v="1"/>
    <x v="2"/>
    <s v="Tokyo"/>
    <s v="Asia→Japan→Tokyo"/>
    <s v="Small Business"/>
    <x v="3"/>
    <x v="6"/>
    <x v="0"/>
    <e v="#REF!"/>
    <x v="365"/>
    <n v="1055.45"/>
    <n v="1210.04"/>
    <n v="1210.04"/>
    <s v="Medium"/>
    <n v="8.9999999999999993E-3"/>
    <n v="8.9999999999999993E-3"/>
    <x v="0"/>
    <n v="18"/>
    <n v="21584.693520000001"/>
    <n v="18998.100000000002"/>
    <n v="2586.5935199999985"/>
    <n v="0.1198346188053727"/>
  </r>
  <r>
    <s v="ORD-2024-819778"/>
    <x v="101"/>
    <d v="2024-06-02T00:00:00"/>
    <x v="17"/>
    <x v="9"/>
    <s v="2024"/>
    <x v="5"/>
    <d v="2024-06-15T00:00:00"/>
    <d v="2024-06-15T00:00:00"/>
    <s v="Okay"/>
    <n v="13"/>
    <x v="0"/>
    <x v="0"/>
    <x v="0"/>
    <s v="Mombasa"/>
    <s v="Africa→Kenya→Mombasa"/>
    <s v="Education"/>
    <x v="1"/>
    <x v="7"/>
    <x v="3"/>
    <e v="#REF!"/>
    <x v="366"/>
    <n v="1295.18"/>
    <n v="3024.03"/>
    <n v="3024.03"/>
    <s v="High"/>
    <n v="0.192"/>
    <n v="0.192"/>
    <x v="0"/>
    <n v="8"/>
    <n v="19547.329920000004"/>
    <n v="10361.44"/>
    <n v="9185.8899200000033"/>
    <n v="0.46993067378483178"/>
  </r>
  <r>
    <s v="ORD-2025-624006"/>
    <x v="310"/>
    <d v="2025-03-15T00:00:00"/>
    <x v="3"/>
    <x v="0"/>
    <s v="2025"/>
    <x v="3"/>
    <d v="2025-03-29T00:00:00"/>
    <d v="2025-03-29T00:00:00"/>
    <s v="Okay"/>
    <n v="14"/>
    <x v="0"/>
    <x v="1"/>
    <x v="4"/>
    <s v="Mumbai"/>
    <s v="Asia→India→Mumbai"/>
    <s v="Enterprise"/>
    <x v="4"/>
    <x v="0"/>
    <x v="0"/>
    <e v="#REF!"/>
    <x v="367"/>
    <n v="935.83"/>
    <n v="2303.46"/>
    <n v="2303.46"/>
    <s v="High"/>
    <n v="0.105"/>
    <n v="0.105"/>
    <x v="0"/>
    <n v="9"/>
    <n v="18554.370299999999"/>
    <n v="8422.4700000000012"/>
    <n v="10131.900299999998"/>
    <n v="0.54606543559174292"/>
  </r>
  <r>
    <s v="ORD-2023-132101"/>
    <x v="199"/>
    <d v="2023-09-25T00:00:00"/>
    <x v="27"/>
    <x v="6"/>
    <s v="2023"/>
    <x v="10"/>
    <d v="2023-10-09T00:00:00"/>
    <d v="2023-10-09T00:00:00"/>
    <s v="Okay"/>
    <n v="14"/>
    <x v="0"/>
    <x v="2"/>
    <x v="10"/>
    <s v="New York"/>
    <s v="Americas→USA→New York"/>
    <s v="Small Business"/>
    <x v="2"/>
    <x v="1"/>
    <x v="4"/>
    <e v="#REF!"/>
    <x v="368"/>
    <n v="1279.56"/>
    <n v="3083.8"/>
    <n v="3083.8"/>
    <s v="High"/>
    <n v="0.106"/>
    <n v="0.106"/>
    <x v="0"/>
    <n v="5"/>
    <n v="13784.586000000001"/>
    <n v="6397.7999999999993"/>
    <n v="7386.7860000000019"/>
    <n v="0.53587289455047848"/>
  </r>
  <r>
    <s v="ORD-2025-306903"/>
    <x v="35"/>
    <d v="2025-06-24T00:00:00"/>
    <x v="16"/>
    <x v="9"/>
    <s v="2025"/>
    <x v="6"/>
    <d v="2025-07-23T00:00:00"/>
    <d v="2025-07-23T00:00:00"/>
    <s v="Okay"/>
    <n v="29"/>
    <x v="0"/>
    <x v="2"/>
    <x v="3"/>
    <s v="Vancouver"/>
    <s v="Americas→Canada→Vancouver"/>
    <s v="Non-Profit"/>
    <x v="2"/>
    <x v="2"/>
    <x v="1"/>
    <e v="#REF!"/>
    <x v="369"/>
    <n v="255.4"/>
    <n v="322.70999999999998"/>
    <n v="322.70999999999998"/>
    <s v="Low"/>
    <n v="0.115"/>
    <n v="0.115"/>
    <x v="0"/>
    <n v="16"/>
    <n v="4569.5735999999997"/>
    <n v="4086.4"/>
    <n v="483.17359999999962"/>
    <n v="0.10573713048412212"/>
  </r>
  <r>
    <s v="ORD-2023-813340"/>
    <x v="311"/>
    <d v="2023-12-26T00:00:00"/>
    <x v="4"/>
    <x v="3"/>
    <s v="2023"/>
    <x v="4"/>
    <d v="2024-01-03T00:00:00"/>
    <d v="2024-01-03T00:00:00"/>
    <s v="Okay"/>
    <n v="8"/>
    <x v="0"/>
    <x v="3"/>
    <x v="7"/>
    <s v="Lyon"/>
    <s v="Europe→France→Lyon"/>
    <s v="Small Business"/>
    <x v="0"/>
    <x v="12"/>
    <x v="4"/>
    <e v="#REF!"/>
    <x v="370"/>
    <n v="492.75"/>
    <n v="731.29"/>
    <n v="731.29"/>
    <s v="Low"/>
    <n v="5.8000000000000003E-2"/>
    <n v="5.8000000000000003E-2"/>
    <x v="0"/>
    <n v="6"/>
    <n v="4133.25108"/>
    <n v="2956.5"/>
    <n v="1176.75108"/>
    <n v="0.28470350753528384"/>
  </r>
  <r>
    <s v="ORD-2023-855675"/>
    <x v="312"/>
    <d v="2023-02-05T00:00:00"/>
    <x v="2"/>
    <x v="2"/>
    <s v="2023"/>
    <x v="2"/>
    <d v="2023-02-28T00:00:00"/>
    <d v="2023-02-28T00:00:00"/>
    <s v="Okay"/>
    <n v="23"/>
    <x v="0"/>
    <x v="2"/>
    <x v="10"/>
    <s v="Austin"/>
    <s v="Americas→USA→Austin"/>
    <s v="Non-Profit"/>
    <x v="3"/>
    <x v="4"/>
    <x v="3"/>
    <e v="#REF!"/>
    <x v="371"/>
    <n v="1214.49"/>
    <n v="1533.95"/>
    <n v="1533.95"/>
    <s v="Medium"/>
    <n v="0"/>
    <n v="0"/>
    <x v="0"/>
    <n v="11"/>
    <n v="16873.45"/>
    <n v="13359.39"/>
    <n v="3514.0600000000013"/>
    <n v="0.20825972163369086"/>
  </r>
  <r>
    <s v="ORD-2023-545150"/>
    <x v="89"/>
    <d v="2023-04-06T00:00:00"/>
    <x v="12"/>
    <x v="7"/>
    <s v="2023"/>
    <x v="8"/>
    <d v="2023-04-08T00:00:00"/>
    <d v="2023-04-08T00:00:00"/>
    <s v="Okay"/>
    <n v="2"/>
    <x v="1"/>
    <x v="0"/>
    <x v="1"/>
    <s v="Abuja"/>
    <s v="Africa→Nigeria→Abuja"/>
    <s v="Small Business"/>
    <x v="2"/>
    <x v="11"/>
    <x v="5"/>
    <e v="#REF!"/>
    <x v="372"/>
    <n v="720.35"/>
    <n v="1571.66"/>
    <n v="1571.66"/>
    <s v="Medium"/>
    <n v="0.107"/>
    <n v="0.107"/>
    <x v="0"/>
    <n v="23"/>
    <n v="32280.32474"/>
    <n v="16568.05"/>
    <n v="15712.274740000001"/>
    <n v="0.4867446305622265"/>
  </r>
  <r>
    <s v="ORD-2025-269934"/>
    <x v="254"/>
    <d v="2025-04-04T00:00:00"/>
    <x v="19"/>
    <x v="7"/>
    <s v="2025"/>
    <x v="6"/>
    <d v="2025-04-10T00:00:00"/>
    <d v="2025-04-10T00:00:00"/>
    <s v="Okay"/>
    <n v="6"/>
    <x v="1"/>
    <x v="3"/>
    <x v="8"/>
    <s v="Birmingham"/>
    <s v="Europe→United Kingdom→Birmingham"/>
    <s v="Non-Profit"/>
    <x v="4"/>
    <x v="13"/>
    <x v="1"/>
    <e v="#REF!"/>
    <x v="373"/>
    <n v="290.14"/>
    <n v="250.73"/>
    <n v="250.73"/>
    <s v="Low"/>
    <n v="3.4000000000000002E-2"/>
    <n v="3.4000000000000002E-2"/>
    <x v="0"/>
    <n v="17"/>
    <n v="4117.4880599999997"/>
    <n v="4932.38"/>
    <n v="-814.89194000000043"/>
    <n v="-0.19790997038131072"/>
  </r>
  <r>
    <s v="ORD-2024-690270"/>
    <x v="313"/>
    <d v="2024-05-17T00:00:00"/>
    <x v="7"/>
    <x v="5"/>
    <s v="2024"/>
    <x v="5"/>
    <d v="2024-05-27T00:00:00"/>
    <d v="2024-05-27T00:00:00"/>
    <s v="Okay"/>
    <n v="10"/>
    <x v="0"/>
    <x v="2"/>
    <x v="10"/>
    <s v="Austin"/>
    <s v="Americas→USA→Austin"/>
    <s v="Non-Profit"/>
    <x v="1"/>
    <x v="0"/>
    <x v="3"/>
    <e v="#REF!"/>
    <x v="374"/>
    <n v="1484.23"/>
    <n v="3472.81"/>
    <n v="3472.81"/>
    <s v="High"/>
    <n v="0.25600000000000001"/>
    <n v="0.25600000000000001"/>
    <x v="0"/>
    <n v="12"/>
    <n v="31005.24768"/>
    <n v="17810.760000000002"/>
    <n v="13194.487679999998"/>
    <n v="0.42555659661803413"/>
  </r>
  <r>
    <s v="ORD-2024-868223"/>
    <x v="314"/>
    <d v="2024-03-03T00:00:00"/>
    <x v="0"/>
    <x v="0"/>
    <s v="2024"/>
    <x v="0"/>
    <d v="2024-03-19T00:00:00"/>
    <d v="2024-03-19T00:00:00"/>
    <s v="Okay"/>
    <n v="16"/>
    <x v="0"/>
    <x v="1"/>
    <x v="9"/>
    <s v="Beijing"/>
    <s v="Asia→China→Beijing"/>
    <s v="Consumer"/>
    <x v="3"/>
    <x v="3"/>
    <x v="3"/>
    <e v="#REF!"/>
    <x v="375"/>
    <n v="988.83"/>
    <n v="1206.04"/>
    <n v="1206.04"/>
    <s v="Medium"/>
    <n v="6.3E-2"/>
    <n v="6.3E-2"/>
    <x v="0"/>
    <n v="34"/>
    <n v="38422.022320000004"/>
    <n v="33620.22"/>
    <n v="4801.8023200000025"/>
    <n v="0.12497526236406606"/>
  </r>
  <r>
    <s v="ORD-2025-188059"/>
    <x v="232"/>
    <d v="2025-06-27T00:00:00"/>
    <x v="16"/>
    <x v="9"/>
    <s v="2025"/>
    <x v="6"/>
    <d v="2025-07-11T00:00:00"/>
    <d v="2025-07-11T00:00:00"/>
    <s v="Okay"/>
    <n v="14"/>
    <x v="0"/>
    <x v="1"/>
    <x v="9"/>
    <s v="Shanghai"/>
    <s v="Asia→China→Shanghai"/>
    <s v="Small Business"/>
    <x v="2"/>
    <x v="4"/>
    <x v="2"/>
    <e v="#REF!"/>
    <x v="376"/>
    <n v="1227.7"/>
    <n v="2197.23"/>
    <n v="2197.23"/>
    <s v="High"/>
    <n v="9.9000000000000005E-2"/>
    <n v="9.9000000000000005E-2"/>
    <x v="0"/>
    <n v="22"/>
    <n v="43553.493060000001"/>
    <n v="27009.4"/>
    <n v="16544.093059999999"/>
    <n v="0.37985685871873898"/>
  </r>
  <r>
    <s v="ORD-2023-281890"/>
    <x v="315"/>
    <d v="2023-03-13T00:00:00"/>
    <x v="22"/>
    <x v="0"/>
    <s v="2023"/>
    <x v="2"/>
    <d v="2023-04-04T00:00:00"/>
    <d v="2023-04-04T00:00:00"/>
    <s v="Okay"/>
    <n v="22"/>
    <x v="0"/>
    <x v="0"/>
    <x v="11"/>
    <s v="Durban"/>
    <s v="Africa→South Africa→Durban"/>
    <s v="Small Business"/>
    <x v="0"/>
    <x v="8"/>
    <x v="0"/>
    <e v="#REF!"/>
    <x v="377"/>
    <n v="1113.7"/>
    <n v="1620.6"/>
    <n v="1620.6"/>
    <s v="Medium"/>
    <n v="0.13900000000000001"/>
    <n v="0.13900000000000001"/>
    <x v="0"/>
    <n v="11"/>
    <n v="15348.702599999999"/>
    <n v="12250.7"/>
    <n v="3098.002599999998"/>
    <n v="0.20184133348182787"/>
  </r>
  <r>
    <s v="ORD-2025-636162"/>
    <x v="316"/>
    <d v="2025-01-07T00:00:00"/>
    <x v="10"/>
    <x v="4"/>
    <s v="2025"/>
    <x v="3"/>
    <d v="2025-01-20T00:00:00"/>
    <d v="2025-01-20T00:00:00"/>
    <s v="Okay"/>
    <n v="13"/>
    <x v="0"/>
    <x v="0"/>
    <x v="11"/>
    <s v="Cape Town"/>
    <s v="Africa→South Africa→Cape Town"/>
    <s v="Corporate"/>
    <x v="4"/>
    <x v="11"/>
    <x v="2"/>
    <e v="#REF!"/>
    <x v="378"/>
    <n v="432.13"/>
    <n v="1034.6600000000001"/>
    <n v="1034.6600000000001"/>
    <s v="Low"/>
    <n v="9.1999999999999998E-2"/>
    <n v="9.1999999999999998E-2"/>
    <x v="0"/>
    <n v="7"/>
    <n v="6576.298960000001"/>
    <n v="3024.91"/>
    <n v="3551.3889600000011"/>
    <n v="0.54002851476204794"/>
  </r>
  <r>
    <s v="ORD-2025-915869"/>
    <x v="317"/>
    <d v="2025-02-06T00:00:00"/>
    <x v="26"/>
    <x v="2"/>
    <s v="2025"/>
    <x v="3"/>
    <d v="2025-02-15T00:00:00"/>
    <d v="2025-02-15T00:00:00"/>
    <s v="Okay"/>
    <n v="9"/>
    <x v="0"/>
    <x v="2"/>
    <x v="5"/>
    <s v="São Paulo"/>
    <s v="Americas→Brazil→São Paulo"/>
    <s v="Non-Profit"/>
    <x v="3"/>
    <x v="9"/>
    <x v="2"/>
    <e v="#REF!"/>
    <x v="379"/>
    <n v="837.39"/>
    <n v="1905.42"/>
    <n v="1905.42"/>
    <s v="Medium"/>
    <n v="3.2000000000000001E-2"/>
    <n v="3.2000000000000001E-2"/>
    <x v="0"/>
    <n v="18"/>
    <n v="33200.038079999998"/>
    <n v="15073.02"/>
    <n v="18127.018079999998"/>
    <n v="0.54599389423350919"/>
  </r>
  <r>
    <s v="ORD-2025-192876"/>
    <x v="318"/>
    <d v="2025-01-31T00:00:00"/>
    <x v="10"/>
    <x v="4"/>
    <s v="2025"/>
    <x v="3"/>
    <d v="2025-02-17T00:00:00"/>
    <d v="2025-02-17T00:00:00"/>
    <s v="Okay"/>
    <n v="17"/>
    <x v="0"/>
    <x v="3"/>
    <x v="8"/>
    <s v="London"/>
    <s v="Europe→United Kingdom→London"/>
    <s v="Enterprise"/>
    <x v="0"/>
    <x v="10"/>
    <x v="0"/>
    <e v="#REF!"/>
    <x v="78"/>
    <n v="378.26"/>
    <n v="541.55999999999995"/>
    <n v="541.55999999999995"/>
    <s v="Low"/>
    <n v="0.16300000000000001"/>
    <n v="0.16300000000000001"/>
    <x v="0"/>
    <n v="25"/>
    <n v="11332.142999999998"/>
    <n v="9456.5"/>
    <n v="1875.6429999999982"/>
    <n v="0.16551529573885526"/>
  </r>
  <r>
    <s v="ORD-2025-822030"/>
    <x v="83"/>
    <d v="2025-08-07T00:00:00"/>
    <x v="28"/>
    <x v="11"/>
    <s v="2025"/>
    <x v="7"/>
    <d v="2025-09-06T00:00:00"/>
    <d v="2025-09-06T00:00:00"/>
    <s v="Okay"/>
    <n v="30"/>
    <x v="0"/>
    <x v="2"/>
    <x v="3"/>
    <s v="Montreal"/>
    <s v="Americas→Canada→Montreal"/>
    <s v="Education"/>
    <x v="4"/>
    <x v="12"/>
    <x v="2"/>
    <e v="#REF!"/>
    <x v="380"/>
    <n v="833.73"/>
    <n v="1116.5999999999999"/>
    <n v="1116.5999999999999"/>
    <s v="Low"/>
    <n v="0.17599999999999999"/>
    <n v="0.17599999999999999"/>
    <x v="0"/>
    <n v="14"/>
    <n v="12881.097599999999"/>
    <n v="11672.220000000001"/>
    <n v="1208.877599999998"/>
    <n v="9.3848958958279924E-2"/>
  </r>
  <r>
    <s v="ORD-2025-789245"/>
    <x v="319"/>
    <d v="2025-07-23T00:00:00"/>
    <x v="13"/>
    <x v="8"/>
    <s v="2025"/>
    <x v="7"/>
    <d v="2025-08-17T00:00:00"/>
    <d v="2025-08-17T00:00:00"/>
    <s v="Okay"/>
    <n v="25"/>
    <x v="0"/>
    <x v="3"/>
    <x v="8"/>
    <s v="Birmingham"/>
    <s v="Europe→United Kingdom→Birmingham"/>
    <s v="Education"/>
    <x v="1"/>
    <x v="2"/>
    <x v="1"/>
    <e v="#REF!"/>
    <x v="381"/>
    <n v="1142.06"/>
    <n v="1455"/>
    <n v="1455"/>
    <s v="Medium"/>
    <n v="7.8E-2"/>
    <n v="7.8E-2"/>
    <x v="0"/>
    <n v="28"/>
    <n v="37562.28"/>
    <n v="31977.68"/>
    <n v="5584.5999999999985"/>
    <n v="0.1486757459877302"/>
  </r>
  <r>
    <s v="ORD-2023-594955"/>
    <x v="264"/>
    <d v="2023-06-20T00:00:00"/>
    <x v="23"/>
    <x v="9"/>
    <s v="2023"/>
    <x v="8"/>
    <d v="2023-07-08T00:00:00"/>
    <d v="2023-07-08T00:00:00"/>
    <s v="Okay"/>
    <n v="18"/>
    <x v="0"/>
    <x v="2"/>
    <x v="10"/>
    <s v="New York"/>
    <s v="Americas→USA→New York"/>
    <s v="Consumer"/>
    <x v="2"/>
    <x v="7"/>
    <x v="2"/>
    <e v="#REF!"/>
    <x v="382"/>
    <n v="1145.53"/>
    <n v="1278.3"/>
    <n v="1278.3"/>
    <s v="Medium"/>
    <n v="0.09"/>
    <n v="0.09"/>
    <x v="0"/>
    <n v="41"/>
    <n v="47693.373"/>
    <n v="46966.729999999996"/>
    <n v="726.64300000000367"/>
    <n v="1.5235722581416158E-2"/>
  </r>
  <r>
    <s v="ORD-2024-398783"/>
    <x v="320"/>
    <d v="2024-07-18T00:00:00"/>
    <x v="14"/>
    <x v="8"/>
    <s v="2024"/>
    <x v="9"/>
    <d v="2024-08-07T00:00:00"/>
    <d v="2024-08-07T00:00:00"/>
    <s v="Okay"/>
    <n v="20"/>
    <x v="0"/>
    <x v="3"/>
    <x v="7"/>
    <s v="Marseille"/>
    <s v="Europe→France→Marseille"/>
    <s v="Corporate"/>
    <x v="0"/>
    <x v="9"/>
    <x v="5"/>
    <e v="#REF!"/>
    <x v="383"/>
    <n v="941.35"/>
    <n v="899.83"/>
    <n v="899.83"/>
    <s v="Low"/>
    <n v="5.8000000000000003E-2"/>
    <n v="5.8000000000000003E-2"/>
    <x v="0"/>
    <n v="18"/>
    <n v="15257.51748"/>
    <n v="16944.3"/>
    <n v="-1686.7825199999988"/>
    <n v="-0.11055419220139073"/>
  </r>
  <r>
    <s v="ORD-2023-676553"/>
    <x v="72"/>
    <d v="2023-05-20T00:00:00"/>
    <x v="15"/>
    <x v="5"/>
    <s v="2023"/>
    <x v="8"/>
    <d v="2023-06-19T00:00:00"/>
    <d v="2023-06-19T00:00:00"/>
    <s v="Okay"/>
    <n v="30"/>
    <x v="0"/>
    <x v="1"/>
    <x v="4"/>
    <s v="Delhi"/>
    <s v="Asia→India→Delhi"/>
    <s v="Non-Profit"/>
    <x v="2"/>
    <x v="10"/>
    <x v="4"/>
    <e v="#REF!"/>
    <x v="384"/>
    <n v="1161.2"/>
    <n v="878.73"/>
    <n v="878.73"/>
    <s v="Low"/>
    <n v="0.19"/>
    <n v="0.19"/>
    <x v="0"/>
    <n v="31"/>
    <n v="22064.910300000003"/>
    <n v="35997.200000000004"/>
    <n v="-13932.289700000001"/>
    <n v="-0.63142290227212028"/>
  </r>
  <r>
    <s v="ORD-2025-866565"/>
    <x v="321"/>
    <d v="2025-05-12T00:00:00"/>
    <x v="8"/>
    <x v="5"/>
    <s v="2025"/>
    <x v="6"/>
    <d v="2025-05-26T00:00:00"/>
    <d v="2025-05-26T00:00:00"/>
    <s v="Okay"/>
    <n v="14"/>
    <x v="0"/>
    <x v="1"/>
    <x v="4"/>
    <s v="Hyderabad"/>
    <s v="Asia→India→Hyderabad"/>
    <s v="Corporate"/>
    <x v="2"/>
    <x v="3"/>
    <x v="1"/>
    <e v="#REF!"/>
    <x v="385"/>
    <n v="320.12"/>
    <n v="594.41999999999996"/>
    <n v="594.41999999999996"/>
    <s v="Low"/>
    <n v="0.104"/>
    <n v="0.104"/>
    <x v="0"/>
    <n v="18"/>
    <n v="9586.8057599999993"/>
    <n v="5762.16"/>
    <n v="3824.6457599999994"/>
    <n v="0.39894891538931104"/>
  </r>
  <r>
    <s v="ORD-2024-527858"/>
    <x v="322"/>
    <d v="2024-05-07T00:00:00"/>
    <x v="7"/>
    <x v="5"/>
    <s v="2024"/>
    <x v="5"/>
    <d v="2024-05-12T00:00:00"/>
    <d v="2024-05-12T00:00:00"/>
    <s v="Okay"/>
    <n v="5"/>
    <x v="1"/>
    <x v="0"/>
    <x v="1"/>
    <s v="Abuja"/>
    <s v="Africa→Nigeria→Abuja"/>
    <s v="Non-Profit"/>
    <x v="3"/>
    <x v="4"/>
    <x v="4"/>
    <e v="#REF!"/>
    <x v="386"/>
    <n v="1163.99"/>
    <n v="1617.85"/>
    <n v="1617.85"/>
    <s v="Medium"/>
    <n v="0.127"/>
    <n v="0.127"/>
    <x v="0"/>
    <n v="14"/>
    <n v="19773.362699999998"/>
    <n v="16295.86"/>
    <n v="3477.5026999999973"/>
    <n v="0.17586804797749436"/>
  </r>
  <r>
    <s v="ORD-2023-619385"/>
    <x v="323"/>
    <d v="2023-09-30T00:00:00"/>
    <x v="27"/>
    <x v="6"/>
    <s v="2023"/>
    <x v="10"/>
    <d v="2023-10-03T00:00:00"/>
    <d v="2023-10-03T00:00:00"/>
    <s v="Okay"/>
    <n v="3"/>
    <x v="1"/>
    <x v="1"/>
    <x v="9"/>
    <s v="Beijing"/>
    <s v="Asia→China→Beijing"/>
    <s v="Non-Profit"/>
    <x v="0"/>
    <x v="1"/>
    <x v="4"/>
    <e v="#REF!"/>
    <x v="387"/>
    <n v="1019.36"/>
    <n v="972.91"/>
    <n v="972.91"/>
    <s v="Low"/>
    <n v="0.14699999999999999"/>
    <n v="0.14699999999999999"/>
    <x v="0"/>
    <n v="17"/>
    <n v="14108.16791"/>
    <n v="17329.12"/>
    <n v="-3220.9520899999989"/>
    <n v="-0.22830406545678819"/>
  </r>
  <r>
    <s v="ORD-2023-835226"/>
    <x v="324"/>
    <d v="2023-10-26T00:00:00"/>
    <x v="32"/>
    <x v="1"/>
    <s v="2023"/>
    <x v="4"/>
    <d v="2023-11-05T00:00:00"/>
    <d v="2023-11-05T00:00:00"/>
    <s v="Okay"/>
    <n v="10"/>
    <x v="0"/>
    <x v="0"/>
    <x v="11"/>
    <s v="Cape Town"/>
    <s v="Africa→South Africa→Cape Town"/>
    <s v="Non-Profit"/>
    <x v="1"/>
    <x v="2"/>
    <x v="4"/>
    <e v="#REF!"/>
    <x v="388"/>
    <n v="20.38"/>
    <n v="42.56"/>
    <n v="42.56"/>
    <s v="Low"/>
    <n v="7.1999999999999995E-2"/>
    <n v="7.1999999999999995E-2"/>
    <x v="0"/>
    <n v="11"/>
    <n v="434.45248000000004"/>
    <n v="224.17999999999998"/>
    <n v="210.27248000000006"/>
    <n v="0.48399419885921713"/>
  </r>
  <r>
    <s v="ORD-2025-485946"/>
    <x v="325"/>
    <d v="2025-06-15T00:00:00"/>
    <x v="16"/>
    <x v="9"/>
    <s v="2025"/>
    <x v="6"/>
    <d v="2025-06-30T00:00:00"/>
    <d v="2025-06-30T00:00:00"/>
    <s v="Okay"/>
    <n v="15"/>
    <x v="0"/>
    <x v="0"/>
    <x v="11"/>
    <s v="Johannesburg"/>
    <s v="Africa→South Africa→Johannesburg"/>
    <s v="Small Business"/>
    <x v="4"/>
    <x v="0"/>
    <x v="5"/>
    <e v="#REF!"/>
    <x v="389"/>
    <n v="1487.59"/>
    <n v="1480.83"/>
    <n v="1480.83"/>
    <s v="Medium"/>
    <n v="8.9999999999999993E-3"/>
    <n v="8.9999999999999993E-3"/>
    <x v="0"/>
    <n v="11"/>
    <n v="16142.527829999999"/>
    <n v="16363.49"/>
    <n v="-220.9621700000007"/>
    <n v="-1.3688201273492908E-2"/>
  </r>
  <r>
    <s v="ORD-2024-307849"/>
    <x v="326"/>
    <d v="2024-08-10T00:00:00"/>
    <x v="21"/>
    <x v="11"/>
    <s v="2024"/>
    <x v="9"/>
    <d v="2024-09-07T00:00:00"/>
    <d v="2024-09-07T00:00:00"/>
    <s v="Okay"/>
    <n v="28"/>
    <x v="0"/>
    <x v="3"/>
    <x v="7"/>
    <s v="Marseille"/>
    <s v="Europe→France→Marseille"/>
    <s v="Non-Profit"/>
    <x v="4"/>
    <x v="9"/>
    <x v="1"/>
    <e v="#REF!"/>
    <x v="390"/>
    <n v="229.96"/>
    <n v="564.26"/>
    <n v="564.26"/>
    <s v="Low"/>
    <n v="0.105"/>
    <n v="0.105"/>
    <x v="0"/>
    <n v="5"/>
    <n v="2525.0635000000002"/>
    <n v="1149.8"/>
    <n v="1375.2635000000002"/>
    <n v="0.54464511486542821"/>
  </r>
  <r>
    <s v="ORD-2023-368449"/>
    <x v="327"/>
    <d v="2023-10-09T00:00:00"/>
    <x v="32"/>
    <x v="1"/>
    <s v="2023"/>
    <x v="4"/>
    <d v="2023-10-26T00:00:00"/>
    <d v="2023-10-26T00:00:00"/>
    <s v="Okay"/>
    <n v="17"/>
    <x v="0"/>
    <x v="1"/>
    <x v="9"/>
    <s v="Shanghai"/>
    <s v="Asia→China→Shanghai"/>
    <s v="Consumer"/>
    <x v="2"/>
    <x v="0"/>
    <x v="0"/>
    <e v="#REF!"/>
    <x v="391"/>
    <n v="1132.03"/>
    <n v="2137.21"/>
    <n v="2137.21"/>
    <s v="High"/>
    <n v="0.35699999999999998"/>
    <s v="12.14%"/>
    <x v="1"/>
    <n v="35"/>
    <n v="65721.344710000005"/>
    <n v="39621.049999999996"/>
    <n v="26100.294710000009"/>
    <n v="0.39713573763850041"/>
  </r>
  <r>
    <s v="ORD-2024-251426"/>
    <x v="307"/>
    <d v="2024-03-09T00:00:00"/>
    <x v="0"/>
    <x v="0"/>
    <s v="2024"/>
    <x v="0"/>
    <d v="2024-03-26T00:00:00"/>
    <d v="2024-03-26T00:00:00"/>
    <s v="Okay"/>
    <n v="17"/>
    <x v="0"/>
    <x v="2"/>
    <x v="10"/>
    <s v="San Francisco"/>
    <s v="Americas→USA→San Francisco"/>
    <s v="Education"/>
    <x v="4"/>
    <x v="2"/>
    <x v="3"/>
    <e v="#REF!"/>
    <x v="392"/>
    <n v="1137.4100000000001"/>
    <n v="1680.93"/>
    <n v="1680.93"/>
    <s v="Medium"/>
    <n v="0.254"/>
    <n v="0.254"/>
    <x v="0"/>
    <n v="9"/>
    <n v="11285.764020000001"/>
    <n v="10236.69"/>
    <n v="1049.07402"/>
    <n v="9.2955516183121464E-2"/>
  </r>
  <r>
    <s v="ORD-2023-927385"/>
    <x v="328"/>
    <d v="2023-05-29T00:00:00"/>
    <x v="15"/>
    <x v="5"/>
    <s v="2023"/>
    <x v="8"/>
    <d v="2023-06-20T00:00:00"/>
    <d v="2023-06-20T00:00:00"/>
    <s v="Okay"/>
    <n v="22"/>
    <x v="0"/>
    <x v="3"/>
    <x v="8"/>
    <s v="London"/>
    <s v="Europe→United Kingdom→London"/>
    <s v="Small Business"/>
    <x v="4"/>
    <x v="11"/>
    <x v="0"/>
    <e v="#REF!"/>
    <x v="393"/>
    <n v="1295.3900000000001"/>
    <n v="2905.06"/>
    <n v="2905.06"/>
    <s v="High"/>
    <n v="0.14799999999999999"/>
    <n v="0.14799999999999999"/>
    <x v="0"/>
    <n v="8"/>
    <n v="19800.88896"/>
    <n v="10363.120000000001"/>
    <n v="9437.7689599999994"/>
    <n v="0.47663359857556614"/>
  </r>
  <r>
    <s v="ORD-2025-486350"/>
    <x v="329"/>
    <d v="2025-05-27T00:00:00"/>
    <x v="8"/>
    <x v="5"/>
    <s v="2025"/>
    <x v="6"/>
    <d v="2025-06-08T00:00:00"/>
    <d v="2025-06-08T00:00:00"/>
    <s v="Okay"/>
    <n v="12"/>
    <x v="0"/>
    <x v="1"/>
    <x v="2"/>
    <s v="Osaka"/>
    <s v="Asia→Japan→Osaka"/>
    <s v="Corporate"/>
    <x v="0"/>
    <x v="10"/>
    <x v="6"/>
    <e v="#REF!"/>
    <x v="394"/>
    <n v="653.6"/>
    <n v="842.09"/>
    <n v="842.09"/>
    <s v="Low"/>
    <n v="9.8000000000000004E-2"/>
    <n v="9.8000000000000004E-2"/>
    <x v="0"/>
    <n v="19"/>
    <n v="14431.738420000001"/>
    <n v="12418.4"/>
    <n v="2013.3384200000019"/>
    <n v="0.13950768517324622"/>
  </r>
  <r>
    <s v="ORD-2025-677880"/>
    <x v="164"/>
    <d v="2025-08-21T00:00:00"/>
    <x v="28"/>
    <x v="11"/>
    <s v="2025"/>
    <x v="7"/>
    <d v="2025-09-14T00:00:00"/>
    <d v="2025-09-14T00:00:00"/>
    <s v="Okay"/>
    <n v="24"/>
    <x v="0"/>
    <x v="3"/>
    <x v="6"/>
    <s v="Berlin"/>
    <s v="Europe→Germany→Berlin"/>
    <s v="Non-Profit"/>
    <x v="1"/>
    <x v="8"/>
    <x v="5"/>
    <e v="#REF!"/>
    <x v="395"/>
    <n v="1397.67"/>
    <n v="3131.37"/>
    <n v="3131.37"/>
    <s v="High"/>
    <n v="0.10299999999999999"/>
    <n v="0.10299999999999999"/>
    <x v="0"/>
    <n v="20"/>
    <n v="56176.777799999996"/>
    <n v="27953.4"/>
    <n v="28223.377799999995"/>
    <n v="0.50240293062874808"/>
  </r>
  <r>
    <s v="ORD-2024-102866"/>
    <x v="330"/>
    <d v="2024-12-12T00:00:00"/>
    <x v="6"/>
    <x v="3"/>
    <s v="2024"/>
    <x v="1"/>
    <d v="2024-12-20T00:00:00"/>
    <d v="2024-12-20T00:00:00"/>
    <s v="Okay"/>
    <n v="8"/>
    <x v="0"/>
    <x v="1"/>
    <x v="2"/>
    <s v="Tokyo"/>
    <s v="Asia→Japan→Tokyo"/>
    <s v="Corporate"/>
    <x v="0"/>
    <x v="5"/>
    <x v="4"/>
    <e v="#REF!"/>
    <x v="396"/>
    <n v="1202.47"/>
    <n v="1444.72"/>
    <n v="1444.72"/>
    <s v="Medium"/>
    <n v="0.24099999999999999"/>
    <n v="0.24099999999999999"/>
    <x v="0"/>
    <n v="17"/>
    <n v="18641.222160000001"/>
    <n v="20441.990000000002"/>
    <n v="-1800.7678400000004"/>
    <n v="-9.6601382921343834E-2"/>
  </r>
  <r>
    <s v="ORD-2025-588029"/>
    <x v="284"/>
    <d v="2025-09-14T00:00:00"/>
    <x v="11"/>
    <x v="6"/>
    <s v="2025"/>
    <x v="7"/>
    <d v="2025-09-23T00:00:00"/>
    <d v="2025-09-23T00:00:00"/>
    <s v="Okay"/>
    <n v="9"/>
    <x v="0"/>
    <x v="0"/>
    <x v="11"/>
    <s v="Durban"/>
    <s v="Africa→South Africa→Durban"/>
    <s v="Non-Profit"/>
    <x v="1"/>
    <x v="14"/>
    <x v="0"/>
    <e v="#REF!"/>
    <x v="397"/>
    <n v="1310.3"/>
    <n v="2875.8"/>
    <n v="2875.8"/>
    <s v="High"/>
    <n v="8.3000000000000004E-2"/>
    <n v="8.3000000000000004E-2"/>
    <x v="0"/>
    <n v="5"/>
    <n v="13185.543"/>
    <n v="6551.5"/>
    <n v="6634.0429999999997"/>
    <n v="0.50313005691157353"/>
  </r>
  <r>
    <s v="ORD-2024-972999"/>
    <x v="331"/>
    <d v="2024-09-06T00:00:00"/>
    <x v="29"/>
    <x v="6"/>
    <s v="2024"/>
    <x v="9"/>
    <d v="2024-10-04T00:00:00"/>
    <d v="2024-10-04T00:00:00"/>
    <s v="Okay"/>
    <n v="28"/>
    <x v="0"/>
    <x v="0"/>
    <x v="11"/>
    <s v="Cape Town"/>
    <s v="Africa→South Africa→Cape Town"/>
    <s v="Corporate"/>
    <x v="2"/>
    <x v="14"/>
    <x v="5"/>
    <e v="#REF!"/>
    <x v="398"/>
    <n v="1174.17"/>
    <n v="1641.61"/>
    <n v="1641.61"/>
    <s v="Medium"/>
    <n v="0.122"/>
    <n v="0.122"/>
    <x v="0"/>
    <n v="9"/>
    <n v="12972.00222"/>
    <n v="10567.53"/>
    <n v="2404.4722199999997"/>
    <n v="0.18535860380079394"/>
  </r>
  <r>
    <s v="ORD-2025-608069"/>
    <x v="332"/>
    <d v="2025-04-12T00:00:00"/>
    <x v="19"/>
    <x v="7"/>
    <s v="2025"/>
    <x v="6"/>
    <d v="2025-04-30T00:00:00"/>
    <d v="2025-04-30T00:00:00"/>
    <s v="Okay"/>
    <n v="18"/>
    <x v="0"/>
    <x v="0"/>
    <x v="0"/>
    <s v="Kisumu"/>
    <s v="Africa→Kenya→Kisumu"/>
    <s v="Corporate"/>
    <x v="2"/>
    <x v="9"/>
    <x v="2"/>
    <e v="#REF!"/>
    <x v="399"/>
    <n v="1119.04"/>
    <n v="1299.02"/>
    <n v="1299.02"/>
    <s v="Medium"/>
    <n v="2.5000000000000001E-2"/>
    <n v="2.5000000000000001E-2"/>
    <x v="0"/>
    <n v="14"/>
    <n v="17731.623"/>
    <n v="15666.56"/>
    <n v="2065.0630000000001"/>
    <n v="0.11646215352085933"/>
  </r>
  <r>
    <s v="ORD-2024-626750"/>
    <x v="175"/>
    <d v="2024-08-12T00:00:00"/>
    <x v="21"/>
    <x v="11"/>
    <s v="2024"/>
    <x v="9"/>
    <d v="2024-08-15T00:00:00"/>
    <d v="2024-08-15T00:00:00"/>
    <s v="Okay"/>
    <n v="3"/>
    <x v="1"/>
    <x v="2"/>
    <x v="10"/>
    <s v="Chicago"/>
    <s v="Americas→USA→Chicago"/>
    <s v="Corporate"/>
    <x v="2"/>
    <x v="14"/>
    <x v="1"/>
    <e v="#REF!"/>
    <x v="400"/>
    <n v="850.7"/>
    <n v="1118.56"/>
    <n v="1118.56"/>
    <s v="Low"/>
    <n v="0.18"/>
    <n v="0.18"/>
    <x v="0"/>
    <n v="19"/>
    <n v="17427.164800000002"/>
    <n v="16163.300000000001"/>
    <n v="1263.8648000000012"/>
    <n v="7.2522685962090688E-2"/>
  </r>
  <r>
    <s v="ORD-2024-170021"/>
    <x v="333"/>
    <d v="2024-11-05T00:00:00"/>
    <x v="18"/>
    <x v="10"/>
    <s v="2024"/>
    <x v="1"/>
    <d v="2024-11-08T00:00:00"/>
    <d v="2024-11-08T00:00:00"/>
    <s v="Okay"/>
    <n v="3"/>
    <x v="1"/>
    <x v="2"/>
    <x v="3"/>
    <s v="Toronto"/>
    <s v="Americas→Canada→Toronto"/>
    <s v="Education"/>
    <x v="2"/>
    <x v="7"/>
    <x v="0"/>
    <e v="#REF!"/>
    <x v="401"/>
    <n v="1020.4"/>
    <n v="1184.71"/>
    <n v="1184.71"/>
    <s v="Low"/>
    <n v="0.106"/>
    <n v="0.106"/>
    <x v="0"/>
    <n v="16"/>
    <n v="16946.091840000001"/>
    <n v="16326.4"/>
    <n v="619.69184000000132"/>
    <n v="3.6568422138328345E-2"/>
  </r>
  <r>
    <s v="ORD-2024-678110"/>
    <x v="334"/>
    <d v="2024-07-24T00:00:00"/>
    <x v="14"/>
    <x v="8"/>
    <s v="2024"/>
    <x v="9"/>
    <d v="2024-08-08T00:00:00"/>
    <d v="2024-08-08T00:00:00"/>
    <s v="Okay"/>
    <n v="15"/>
    <x v="0"/>
    <x v="3"/>
    <x v="7"/>
    <s v="Marseille"/>
    <s v="Europe→France→Marseille"/>
    <s v="Enterprise"/>
    <x v="2"/>
    <x v="10"/>
    <x v="4"/>
    <e v="#REF!"/>
    <x v="402"/>
    <n v="501.5"/>
    <n v="1201.47"/>
    <n v="1201.47"/>
    <s v="Medium"/>
    <n v="0.126"/>
    <n v="0.126"/>
    <x v="0"/>
    <n v="5"/>
    <n v="5250.4239000000007"/>
    <n v="2507.5"/>
    <n v="2742.9239000000007"/>
    <n v="0.52241951359394057"/>
  </r>
  <r>
    <s v="ORD-2025-909340"/>
    <x v="335"/>
    <d v="2025-01-20T00:00:00"/>
    <x v="10"/>
    <x v="4"/>
    <s v="2025"/>
    <x v="3"/>
    <d v="2025-02-03T00:00:00"/>
    <d v="2025-02-03T00:00:00"/>
    <s v="Okay"/>
    <n v="14"/>
    <x v="0"/>
    <x v="2"/>
    <x v="5"/>
    <s v="Brasília"/>
    <s v="Americas→Brazil→Brasília"/>
    <s v="Enterprise"/>
    <x v="2"/>
    <x v="9"/>
    <x v="0"/>
    <e v="#REF!"/>
    <x v="403"/>
    <n v="974.11"/>
    <n v="880.99"/>
    <n v="880.99"/>
    <s v="Low"/>
    <n v="0.111"/>
    <n v="0.111"/>
    <x v="0"/>
    <n v="10"/>
    <n v="7832.0010999999995"/>
    <n v="9741.1"/>
    <n v="-1909.0989000000009"/>
    <n v="-0.2437562093805121"/>
  </r>
  <r>
    <s v="ORD-2023-854471"/>
    <x v="336"/>
    <d v="2023-03-06T00:00:00"/>
    <x v="22"/>
    <x v="0"/>
    <s v="2023"/>
    <x v="2"/>
    <d v="2023-04-04T00:00:00"/>
    <d v="2023-04-04T00:00:00"/>
    <s v="Okay"/>
    <n v="29"/>
    <x v="0"/>
    <x v="1"/>
    <x v="9"/>
    <s v="Beijing"/>
    <s v="Asia→China→Beijing"/>
    <s v="Small Business"/>
    <x v="4"/>
    <x v="0"/>
    <x v="5"/>
    <e v="#REF!"/>
    <x v="404"/>
    <n v="1126.29"/>
    <n v="2050.87"/>
    <n v="2050.87"/>
    <s v="High"/>
    <n v="6.4000000000000001E-2"/>
    <n v="6.4000000000000001E-2"/>
    <x v="0"/>
    <n v="7"/>
    <n v="13437.300239999999"/>
    <n v="7884.03"/>
    <n v="5553.2702399999989"/>
    <n v="0.41327276616690373"/>
  </r>
  <r>
    <s v="ORD-2024-390951"/>
    <x v="337"/>
    <d v="2024-12-20T00:00:00"/>
    <x v="6"/>
    <x v="3"/>
    <s v="2024"/>
    <x v="1"/>
    <d v="2025-01-14T00:00:00"/>
    <d v="2025-01-14T00:00:00"/>
    <s v="Okay"/>
    <n v="25"/>
    <x v="0"/>
    <x v="1"/>
    <x v="4"/>
    <s v="Delhi"/>
    <s v="Asia→India→Delhi"/>
    <s v="Small Business"/>
    <x v="0"/>
    <x v="12"/>
    <x v="1"/>
    <e v="#REF!"/>
    <x v="405"/>
    <n v="1361.34"/>
    <n v="1737.9"/>
    <n v="1737.9"/>
    <s v="Medium"/>
    <n v="7.6999999999999999E-2"/>
    <n v="7.6999999999999999E-2"/>
    <x v="0"/>
    <n v="14"/>
    <n v="22457.143800000002"/>
    <n v="19058.759999999998"/>
    <n v="3398.3838000000032"/>
    <n v="0.15132751654731813"/>
  </r>
  <r>
    <s v="ORD-2025-881624"/>
    <x v="338"/>
    <d v="2025-02-21T00:00:00"/>
    <x v="26"/>
    <x v="2"/>
    <s v="2025"/>
    <x v="3"/>
    <d v="2025-03-21T00:00:00"/>
    <d v="2025-03-21T00:00:00"/>
    <s v="Okay"/>
    <n v="28"/>
    <x v="0"/>
    <x v="0"/>
    <x v="1"/>
    <s v="Abuja"/>
    <s v="Africa→Nigeria→Abuja"/>
    <s v="Enterprise"/>
    <x v="2"/>
    <x v="2"/>
    <x v="3"/>
    <e v="#REF!"/>
    <x v="406"/>
    <n v="1437.39"/>
    <n v="1388.31"/>
    <n v="1388.31"/>
    <s v="Medium"/>
    <n v="0.13800000000000001"/>
    <n v="0.13800000000000001"/>
    <x v="0"/>
    <n v="18"/>
    <n v="21541.017959999997"/>
    <n v="25873.02"/>
    <n v="-4332.002040000003"/>
    <n v="-0.20110479681341872"/>
  </r>
  <r>
    <s v="ORD-2025-512310"/>
    <x v="339"/>
    <d v="2025-03-08T00:00:00"/>
    <x v="3"/>
    <x v="0"/>
    <s v="2025"/>
    <x v="3"/>
    <d v="2025-03-15T00:00:00"/>
    <d v="2025-03-15T00:00:00"/>
    <s v="Okay"/>
    <n v="7"/>
    <x v="1"/>
    <x v="1"/>
    <x v="4"/>
    <s v="Bengaluru"/>
    <s v="Asia→India→Bengaluru"/>
    <s v="Corporate"/>
    <x v="3"/>
    <x v="11"/>
    <x v="4"/>
    <e v="#REF!"/>
    <x v="407"/>
    <n v="475.66"/>
    <n v="529.14"/>
    <n v="529.14"/>
    <s v="Low"/>
    <n v="0.19600000000000001"/>
    <n v="0.19600000000000001"/>
    <x v="0"/>
    <n v="11"/>
    <n v="4679.7141600000004"/>
    <n v="5232.26"/>
    <n v="-552.54583999999977"/>
    <n v="-0.11807256193613323"/>
  </r>
  <r>
    <s v="ORD-2023-674887"/>
    <x v="340"/>
    <d v="2023-12-16T00:00:00"/>
    <x v="4"/>
    <x v="3"/>
    <s v="2023"/>
    <x v="4"/>
    <d v="2023-12-19T00:00:00"/>
    <d v="2023-12-19T00:00:00"/>
    <s v="Okay"/>
    <n v="3"/>
    <x v="1"/>
    <x v="1"/>
    <x v="9"/>
    <s v="Beijing"/>
    <s v="Asia→China→Beijing"/>
    <s v="Education"/>
    <x v="0"/>
    <x v="8"/>
    <x v="6"/>
    <e v="#REF!"/>
    <x v="408"/>
    <n v="1415.05"/>
    <n v="1972.38"/>
    <n v="1972.38"/>
    <s v="High"/>
    <n v="0"/>
    <n v="0"/>
    <x v="0"/>
    <n v="12"/>
    <n v="23668.560000000001"/>
    <n v="16980.599999999999"/>
    <n v="6687.9600000000028"/>
    <n v="0.28256725377462771"/>
  </r>
  <r>
    <s v="ORD-2024-542244"/>
    <x v="341"/>
    <d v="2024-08-30T00:00:00"/>
    <x v="21"/>
    <x v="11"/>
    <s v="2024"/>
    <x v="9"/>
    <d v="2024-09-05T00:00:00"/>
    <d v="2024-09-05T00:00:00"/>
    <s v="Okay"/>
    <n v="6"/>
    <x v="1"/>
    <x v="1"/>
    <x v="2"/>
    <s v="Nagoya"/>
    <s v="Asia→Japan→Nagoya"/>
    <s v="Education"/>
    <x v="1"/>
    <x v="13"/>
    <x v="4"/>
    <e v="#REF!"/>
    <x v="409"/>
    <n v="466.16"/>
    <n v="876.81"/>
    <n v="876.81"/>
    <s v="Low"/>
    <n v="0.24099999999999999"/>
    <n v="0.24099999999999999"/>
    <x v="0"/>
    <n v="8"/>
    <n v="5323.9903199999999"/>
    <n v="3729.28"/>
    <n v="1594.7103199999997"/>
    <n v="0.29953291124691594"/>
  </r>
  <r>
    <s v="ORD-2024-375848"/>
    <x v="22"/>
    <d v="2024-05-18T00:00:00"/>
    <x v="7"/>
    <x v="5"/>
    <s v="2024"/>
    <x v="5"/>
    <d v="2024-05-21T00:00:00"/>
    <d v="2024-05-21T00:00:00"/>
    <s v="Okay"/>
    <n v="3"/>
    <x v="1"/>
    <x v="3"/>
    <x v="7"/>
    <s v="Marseille"/>
    <s v="Europe→France→Marseille"/>
    <s v="Non-Profit"/>
    <x v="2"/>
    <x v="14"/>
    <x v="1"/>
    <e v="#REF!"/>
    <x v="410"/>
    <n v="663.66"/>
    <n v="824.26"/>
    <n v="824.26"/>
    <s v="Low"/>
    <n v="0.23899999999999999"/>
    <n v="0.23899999999999999"/>
    <x v="0"/>
    <n v="11"/>
    <n v="6899.8804600000003"/>
    <n v="7300.2599999999993"/>
    <n v="-400.379539999999"/>
    <n v="-5.8027025587048933E-2"/>
  </r>
  <r>
    <s v="ORD-2023-933238"/>
    <x v="342"/>
    <d v="2023-03-17T00:00:00"/>
    <x v="22"/>
    <x v="0"/>
    <s v="2023"/>
    <x v="2"/>
    <d v="2023-04-06T00:00:00"/>
    <d v="2023-04-06T00:00:00"/>
    <s v="Okay"/>
    <n v="20"/>
    <x v="0"/>
    <x v="3"/>
    <x v="6"/>
    <s v="Munich"/>
    <s v="Europe→Germany→Munich"/>
    <s v="Consumer"/>
    <x v="0"/>
    <x v="7"/>
    <x v="3"/>
    <e v="#REF!"/>
    <x v="411"/>
    <n v="692.18"/>
    <n v="1159.3499999999999"/>
    <n v="1159.3499999999999"/>
    <s v="Low"/>
    <n v="0.112"/>
    <n v="0.112"/>
    <x v="0"/>
    <n v="2"/>
    <n v="2059.0056"/>
    <n v="1384.36"/>
    <n v="674.64560000000006"/>
    <n v="0.32765602968734037"/>
  </r>
  <r>
    <s v="ORD-2023-732585"/>
    <x v="343"/>
    <d v="2023-08-25T00:00:00"/>
    <x v="25"/>
    <x v="11"/>
    <s v="2023"/>
    <x v="10"/>
    <d v="2023-09-16T00:00:00"/>
    <d v="2023-09-16T00:00:00"/>
    <s v="Okay"/>
    <n v="22"/>
    <x v="0"/>
    <x v="0"/>
    <x v="1"/>
    <s v="Abuja"/>
    <s v="Africa→Nigeria→Abuja"/>
    <s v="Corporate"/>
    <x v="2"/>
    <x v="4"/>
    <x v="3"/>
    <e v="#REF!"/>
    <x v="412"/>
    <n v="1196.83"/>
    <n v="2513.5100000000002"/>
    <n v="2513.5100000000002"/>
    <s v="High"/>
    <n v="8.3000000000000004E-2"/>
    <n v="8.3000000000000004E-2"/>
    <x v="0"/>
    <n v="7"/>
    <n v="16134.22069"/>
    <n v="8377.81"/>
    <n v="7756.4106900000006"/>
    <n v="0.48074281609445374"/>
  </r>
  <r>
    <s v="ORD-2024-465898"/>
    <x v="344"/>
    <d v="2024-06-06T00:00:00"/>
    <x v="17"/>
    <x v="9"/>
    <s v="2024"/>
    <x v="5"/>
    <d v="2024-06-24T00:00:00"/>
    <d v="2024-06-24T00:00:00"/>
    <s v="Okay"/>
    <n v="18"/>
    <x v="0"/>
    <x v="1"/>
    <x v="4"/>
    <s v="Bengaluru"/>
    <s v="Asia→India→Bengaluru"/>
    <s v="Small Business"/>
    <x v="4"/>
    <x v="10"/>
    <x v="2"/>
    <e v="#REF!"/>
    <x v="413"/>
    <n v="1253.25"/>
    <n v="3087.13"/>
    <n v="3087.13"/>
    <s v="High"/>
    <n v="7.1999999999999995E-2"/>
    <n v="7.1999999999999995E-2"/>
    <x v="0"/>
    <n v="11"/>
    <n v="31513.423040000001"/>
    <n v="13785.75"/>
    <n v="17727.673040000001"/>
    <n v="0.562543555408064"/>
  </r>
  <r>
    <s v="ORD-2023-987081"/>
    <x v="345"/>
    <d v="2023-08-29T00:00:00"/>
    <x v="25"/>
    <x v="11"/>
    <s v="2023"/>
    <x v="10"/>
    <d v="2023-09-13T00:00:00"/>
    <d v="2023-09-13T00:00:00"/>
    <s v="Okay"/>
    <n v="15"/>
    <x v="0"/>
    <x v="2"/>
    <x v="3"/>
    <s v="Vancouver"/>
    <s v="Americas→Canada→Vancouver"/>
    <s v="Small Business"/>
    <x v="2"/>
    <x v="7"/>
    <x v="1"/>
    <e v="#REF!"/>
    <x v="414"/>
    <n v="1287.6400000000001"/>
    <n v="2717.15"/>
    <n v="2717.15"/>
    <s v="High"/>
    <n v="3.2000000000000001E-2"/>
    <n v="3.2000000000000001E-2"/>
    <x v="0"/>
    <n v="7"/>
    <n v="18411.4084"/>
    <n v="9013.4800000000014"/>
    <n v="9397.9283999999989"/>
    <n v="0.51044049405802105"/>
  </r>
  <r>
    <s v="ORD-2024-655710"/>
    <x v="25"/>
    <d v="2024-11-30T00:00:00"/>
    <x v="18"/>
    <x v="10"/>
    <s v="2024"/>
    <x v="1"/>
    <d v="2024-12-10T00:00:00"/>
    <d v="2024-12-10T00:00:00"/>
    <s v="Okay"/>
    <n v="10"/>
    <x v="0"/>
    <x v="1"/>
    <x v="4"/>
    <s v="Hyderabad"/>
    <s v="Asia→India→Hyderabad"/>
    <s v="Small Business"/>
    <x v="0"/>
    <x v="9"/>
    <x v="6"/>
    <e v="#REF!"/>
    <x v="415"/>
    <n v="851.49"/>
    <n v="901.79"/>
    <n v="901.79"/>
    <s v="Low"/>
    <n v="0.245"/>
    <n v="0.245"/>
    <x v="0"/>
    <n v="16"/>
    <n v="10893.6232"/>
    <n v="13623.84"/>
    <n v="-2730.2168000000001"/>
    <n v="-0.25062522816100341"/>
  </r>
  <r>
    <s v="ORD-2025-411385"/>
    <x v="346"/>
    <d v="2025-06-05T00:00:00"/>
    <x v="16"/>
    <x v="9"/>
    <s v="2025"/>
    <x v="6"/>
    <d v="2025-06-14T00:00:00"/>
    <d v="2025-06-14T00:00:00"/>
    <s v="Okay"/>
    <n v="9"/>
    <x v="0"/>
    <x v="1"/>
    <x v="4"/>
    <s v="Delhi"/>
    <s v="Asia→India→Delhi"/>
    <s v="Non-Profit"/>
    <x v="0"/>
    <x v="8"/>
    <x v="6"/>
    <e v="#REF!"/>
    <x v="416"/>
    <n v="618.69000000000005"/>
    <n v="796.15"/>
    <n v="796.15"/>
    <s v="Low"/>
    <n v="0.09"/>
    <n v="0.09"/>
    <x v="0"/>
    <n v="11"/>
    <n v="7969.4615000000003"/>
    <n v="6805.59"/>
    <n v="1163.8715000000002"/>
    <n v="0.14604142325049191"/>
  </r>
  <r>
    <s v="ORD-2025-222035"/>
    <x v="252"/>
    <d v="2025-03-14T00:00:00"/>
    <x v="3"/>
    <x v="0"/>
    <s v="2025"/>
    <x v="3"/>
    <d v="2025-04-08T00:00:00"/>
    <d v="2025-04-08T00:00:00"/>
    <s v="Okay"/>
    <n v="25"/>
    <x v="0"/>
    <x v="1"/>
    <x v="9"/>
    <s v="Unknown"/>
    <s v="Asia→China→Unknown"/>
    <s v="Corporate"/>
    <x v="3"/>
    <x v="14"/>
    <x v="1"/>
    <e v="#REF!"/>
    <x v="417"/>
    <n v="80.59"/>
    <n v="157.82"/>
    <n v="157.82"/>
    <s v="Low"/>
    <n v="0.217"/>
    <n v="0.217"/>
    <x v="0"/>
    <n v="6"/>
    <n v="741.43835999999999"/>
    <n v="483.54"/>
    <n v="257.89835999999997"/>
    <n v="0.34783519967863541"/>
  </r>
  <r>
    <s v="ORD-2024-749242"/>
    <x v="347"/>
    <d v="2024-01-16T00:00:00"/>
    <x v="9"/>
    <x v="4"/>
    <s v="2024"/>
    <x v="0"/>
    <d v="2024-02-11T00:00:00"/>
    <d v="2024-02-11T00:00:00"/>
    <s v="Okay"/>
    <n v="26"/>
    <x v="0"/>
    <x v="3"/>
    <x v="6"/>
    <s v="Frankfurt"/>
    <s v="Europe→Germany→Frankfurt"/>
    <s v="Non-Profit"/>
    <x v="3"/>
    <x v="6"/>
    <x v="5"/>
    <e v="#REF!"/>
    <x v="418"/>
    <n v="504.93"/>
    <n v="819.06"/>
    <n v="819.06"/>
    <s v="Low"/>
    <n v="0.22600000000000001"/>
    <n v="0.22600000000000001"/>
    <x v="0"/>
    <n v="15"/>
    <n v="9509.2865999999995"/>
    <n v="7573.95"/>
    <n v="1935.3365999999996"/>
    <n v="0.20352069312959814"/>
  </r>
  <r>
    <s v="ORD-2023-623293"/>
    <x v="348"/>
    <d v="2023-10-12T00:00:00"/>
    <x v="32"/>
    <x v="1"/>
    <s v="2023"/>
    <x v="4"/>
    <d v="2023-10-29T00:00:00"/>
    <d v="2023-10-29T00:00:00"/>
    <s v="Okay"/>
    <n v="17"/>
    <x v="0"/>
    <x v="1"/>
    <x v="2"/>
    <s v="Nagoya"/>
    <s v="Asia→Japan→Nagoya"/>
    <s v="Non-Profit"/>
    <x v="4"/>
    <x v="10"/>
    <x v="3"/>
    <e v="#REF!"/>
    <x v="419"/>
    <n v="1102.19"/>
    <n v="1711.16"/>
    <n v="1711.16"/>
    <s v="Medium"/>
    <n v="0.151"/>
    <n v="0.151"/>
    <x v="0"/>
    <n v="10"/>
    <n v="14527.748400000002"/>
    <n v="11021.900000000001"/>
    <n v="3505.8484000000008"/>
    <n v="0.24132083675127525"/>
  </r>
  <r>
    <s v="ORD-2025-276968"/>
    <x v="349"/>
    <d v="2025-02-25T00:00:00"/>
    <x v="26"/>
    <x v="2"/>
    <s v="2025"/>
    <x v="3"/>
    <d v="2025-03-17T00:00:00"/>
    <d v="2025-03-17T00:00:00"/>
    <s v="Okay"/>
    <n v="20"/>
    <x v="0"/>
    <x v="2"/>
    <x v="10"/>
    <s v="San Francisco"/>
    <s v="Americas→USA→San Francisco"/>
    <s v="Non-Profit"/>
    <x v="2"/>
    <x v="10"/>
    <x v="3"/>
    <e v="#REF!"/>
    <x v="420"/>
    <n v="1205.26"/>
    <n v="1696.35"/>
    <n v="1696.35"/>
    <s v="Medium"/>
    <n v="1.9E-2"/>
    <n v="1.9E-2"/>
    <x v="0"/>
    <n v="6"/>
    <n v="9984.7160999999978"/>
    <n v="7231.5599999999995"/>
    <n v="2753.1560999999983"/>
    <n v="0.27573704374028213"/>
  </r>
  <r>
    <s v="ORD-2025-650841"/>
    <x v="350"/>
    <d v="2025-07-03T00:00:00"/>
    <x v="13"/>
    <x v="8"/>
    <s v="2025"/>
    <x v="7"/>
    <d v="2025-07-06T00:00:00"/>
    <d v="2025-07-06T00:00:00"/>
    <s v="Okay"/>
    <n v="3"/>
    <x v="1"/>
    <x v="0"/>
    <x v="1"/>
    <s v="Lagos"/>
    <s v="Africa→Nigeria→Lagos"/>
    <s v="Consumer"/>
    <x v="1"/>
    <x v="15"/>
    <x v="4"/>
    <e v="#REF!"/>
    <x v="421"/>
    <n v="1313.3"/>
    <n v="2884.34"/>
    <n v="2884.34"/>
    <s v="High"/>
    <n v="0.157"/>
    <n v="0.157"/>
    <x v="0"/>
    <n v="42"/>
    <n v="102122.94203999999"/>
    <n v="55158.6"/>
    <n v="46964.342039999996"/>
    <n v="0.45988042551305253"/>
  </r>
  <r>
    <s v="ORD-2025-831576"/>
    <x v="165"/>
    <d v="2025-09-15T00:00:00"/>
    <x v="11"/>
    <x v="6"/>
    <s v="2025"/>
    <x v="7"/>
    <d v="2025-09-25T00:00:00"/>
    <d v="2025-09-25T00:00:00"/>
    <s v="Okay"/>
    <n v="10"/>
    <x v="0"/>
    <x v="1"/>
    <x v="4"/>
    <s v="Delhi"/>
    <s v="Asia→India→Delhi"/>
    <s v="Consumer"/>
    <x v="0"/>
    <x v="8"/>
    <x v="3"/>
    <e v="#REF!"/>
    <x v="422"/>
    <n v="1488.91"/>
    <n v="1483.74"/>
    <n v="1483.74"/>
    <s v="Medium"/>
    <n v="0.16800000000000001"/>
    <n v="0.16800000000000001"/>
    <x v="0"/>
    <n v="24"/>
    <n v="29627.320319999999"/>
    <n v="35733.840000000004"/>
    <n v="-6106.5196800000049"/>
    <n v="-0.20611110333450519"/>
  </r>
  <r>
    <s v="ORD-2024-468655"/>
    <x v="351"/>
    <d v="2024-02-19T00:00:00"/>
    <x v="31"/>
    <x v="2"/>
    <s v="2024"/>
    <x v="0"/>
    <d v="2024-03-06T00:00:00"/>
    <d v="2024-03-06T00:00:00"/>
    <s v="Okay"/>
    <n v="16"/>
    <x v="0"/>
    <x v="1"/>
    <x v="9"/>
    <s v="Beijing"/>
    <s v="Asia→China→Beijing"/>
    <s v="Education"/>
    <x v="2"/>
    <x v="7"/>
    <x v="1"/>
    <e v="#REF!"/>
    <x v="423"/>
    <n v="1477.84"/>
    <n v="3197.47"/>
    <n v="3197.47"/>
    <s v="High"/>
    <n v="0.24299999999999999"/>
    <n v="0.24299999999999999"/>
    <x v="0"/>
    <n v="24"/>
    <n v="58091.634960000003"/>
    <n v="35468.159999999996"/>
    <n v="22623.474960000007"/>
    <n v="0.38944462443823091"/>
  </r>
  <r>
    <s v="ORD-2024-515105"/>
    <x v="352"/>
    <d v="2024-02-27T00:00:00"/>
    <x v="31"/>
    <x v="2"/>
    <s v="2024"/>
    <x v="0"/>
    <d v="2024-03-26T00:00:00"/>
    <d v="2024-03-26T00:00:00"/>
    <s v="Okay"/>
    <n v="28"/>
    <x v="0"/>
    <x v="1"/>
    <x v="4"/>
    <s v="Mumbai"/>
    <s v="Asia→India→Mumbai"/>
    <s v="Education"/>
    <x v="2"/>
    <x v="3"/>
    <x v="4"/>
    <e v="#REF!"/>
    <x v="424"/>
    <n v="1035.19"/>
    <n v="2322.6999999999998"/>
    <n v="2322.6999999999998"/>
    <s v="High"/>
    <n v="0.17299999999999999"/>
    <n v="0.17299999999999999"/>
    <x v="0"/>
    <n v="8"/>
    <n v="15366.983199999999"/>
    <n v="8281.52"/>
    <n v="7085.4631999999983"/>
    <n v="0.46108355217047409"/>
  </r>
  <r>
    <s v="ORD-2025-803803"/>
    <x v="257"/>
    <d v="2025-08-28T00:00:00"/>
    <x v="28"/>
    <x v="11"/>
    <s v="2025"/>
    <x v="7"/>
    <d v="2025-09-05T00:00:00"/>
    <d v="2025-09-05T00:00:00"/>
    <s v="Okay"/>
    <n v="8"/>
    <x v="0"/>
    <x v="0"/>
    <x v="1"/>
    <s v="Port Harcourt"/>
    <s v="Africa→Nigeria→Port Harcourt"/>
    <s v="Small Business"/>
    <x v="2"/>
    <x v="6"/>
    <x v="4"/>
    <e v="#REF!"/>
    <x v="425"/>
    <n v="1271.0999999999999"/>
    <n v="1932.42"/>
    <n v="1932.42"/>
    <s v="High"/>
    <n v="0.25"/>
    <n v="0.25"/>
    <x v="0"/>
    <n v="21"/>
    <n v="30435.614999999998"/>
    <n v="26693.1"/>
    <n v="3742.5149999999994"/>
    <n v="0.12296498690760807"/>
  </r>
  <r>
    <s v="ORD-2024-993481"/>
    <x v="353"/>
    <d v="2024-08-18T00:00:00"/>
    <x v="21"/>
    <x v="11"/>
    <s v="2024"/>
    <x v="9"/>
    <d v="2024-09-12T00:00:00"/>
    <d v="2024-09-12T00:00:00"/>
    <s v="Okay"/>
    <n v="25"/>
    <x v="0"/>
    <x v="1"/>
    <x v="4"/>
    <s v="Mumbai"/>
    <s v="Asia→India→Mumbai"/>
    <s v="Consumer"/>
    <x v="2"/>
    <x v="0"/>
    <x v="3"/>
    <e v="#REF!"/>
    <x v="426"/>
    <n v="1154.03"/>
    <n v="1590.36"/>
    <n v="1590.36"/>
    <s v="Medium"/>
    <n v="0.314"/>
    <s v="12.14%"/>
    <x v="1"/>
    <n v="18"/>
    <n v="25151.225328"/>
    <n v="20772.54"/>
    <n v="4378.6853279999996"/>
    <n v="0.17409431432850941"/>
  </r>
  <r>
    <s v="ORD-2024-811752"/>
    <x v="354"/>
    <d v="2024-02-25T00:00:00"/>
    <x v="31"/>
    <x v="2"/>
    <s v="2024"/>
    <x v="0"/>
    <d v="2024-03-09T00:00:00"/>
    <d v="2024-03-09T00:00:00"/>
    <s v="Okay"/>
    <n v="13"/>
    <x v="0"/>
    <x v="3"/>
    <x v="7"/>
    <s v="Marseille"/>
    <s v="Europe→France→Marseille"/>
    <s v="Small Business"/>
    <x v="3"/>
    <x v="6"/>
    <x v="5"/>
    <e v="#REF!"/>
    <x v="427"/>
    <n v="322.44"/>
    <n v="395.61"/>
    <n v="395.61"/>
    <s v="Low"/>
    <n v="0"/>
    <n v="0"/>
    <x v="0"/>
    <n v="34"/>
    <n v="13450.74"/>
    <n v="10962.96"/>
    <n v="2487.7800000000007"/>
    <n v="0.18495487980586947"/>
  </r>
  <r>
    <s v="ORD-2025-673091"/>
    <x v="355"/>
    <d v="2025-05-07T00:00:00"/>
    <x v="8"/>
    <x v="5"/>
    <s v="2025"/>
    <x v="6"/>
    <d v="2025-05-13T00:00:00"/>
    <d v="2025-05-13T00:00:00"/>
    <s v="Okay"/>
    <n v="6"/>
    <x v="1"/>
    <x v="1"/>
    <x v="4"/>
    <s v="Bengaluru"/>
    <s v="Asia→India→Bengaluru"/>
    <s v="Enterprise"/>
    <x v="4"/>
    <x v="1"/>
    <x v="3"/>
    <e v="#REF!"/>
    <x v="428"/>
    <n v="935.98"/>
    <n v="2077.69"/>
    <n v="2077.69"/>
    <s v="High"/>
    <n v="0.17499999999999999"/>
    <n v="0.17499999999999999"/>
    <x v="0"/>
    <n v="24"/>
    <n v="41138.261999999995"/>
    <n v="22463.52"/>
    <n v="18674.741999999995"/>
    <n v="0.45395067978321491"/>
  </r>
  <r>
    <s v="ORD-2024-381197"/>
    <x v="356"/>
    <d v="2024-11-01T00:00:00"/>
    <x v="18"/>
    <x v="10"/>
    <s v="2024"/>
    <x v="1"/>
    <d v="2024-11-12T00:00:00"/>
    <d v="2024-11-12T00:00:00"/>
    <s v="Okay"/>
    <n v="11"/>
    <x v="0"/>
    <x v="3"/>
    <x v="6"/>
    <s v="Frankfurt"/>
    <s v="Europe→Germany→Frankfurt"/>
    <s v="Consumer"/>
    <x v="1"/>
    <x v="5"/>
    <x v="1"/>
    <e v="#REF!"/>
    <x v="429"/>
    <n v="599.84"/>
    <n v="1330.85"/>
    <n v="1330.85"/>
    <s v="Medium"/>
    <n v="0.115"/>
    <n v="0.115"/>
    <x v="0"/>
    <n v="11"/>
    <n v="12955.824749999998"/>
    <n v="6598.2400000000007"/>
    <n v="6357.5847499999973"/>
    <n v="0.49071246892252063"/>
  </r>
  <r>
    <s v="ORD-2024-651852"/>
    <x v="357"/>
    <d v="2024-12-28T00:00:00"/>
    <x v="6"/>
    <x v="3"/>
    <s v="2024"/>
    <x v="1"/>
    <d v="2025-01-08T00:00:00"/>
    <d v="2025-01-08T00:00:00"/>
    <s v="Okay"/>
    <n v="11"/>
    <x v="0"/>
    <x v="1"/>
    <x v="9"/>
    <s v="Shenzhen"/>
    <s v="Asia→China→Shenzhen"/>
    <s v="Enterprise"/>
    <x v="1"/>
    <x v="11"/>
    <x v="4"/>
    <e v="#REF!"/>
    <x v="430"/>
    <n v="1201.31"/>
    <n v="2764.65"/>
    <n v="2764.65"/>
    <s v="High"/>
    <n v="0"/>
    <n v="0"/>
    <x v="0"/>
    <n v="21"/>
    <n v="58057.65"/>
    <n v="25227.51"/>
    <n v="32830.14"/>
    <n v="0.56547483406579491"/>
  </r>
  <r>
    <s v="ORD-2023-659070"/>
    <x v="259"/>
    <d v="2023-10-21T00:00:00"/>
    <x v="32"/>
    <x v="1"/>
    <s v="2023"/>
    <x v="4"/>
    <d v="2023-10-21T00:00:00"/>
    <d v="2023-10-21T00:00:00"/>
    <s v="Okay"/>
    <n v="0"/>
    <x v="1"/>
    <x v="3"/>
    <x v="8"/>
    <s v="Manchester"/>
    <s v="Europe→United Kingdom→Manchester"/>
    <s v="Enterprise"/>
    <x v="3"/>
    <x v="1"/>
    <x v="5"/>
    <e v="#REF!"/>
    <x v="431"/>
    <n v="384.19"/>
    <n v="278.35000000000002"/>
    <n v="278.35000000000002"/>
    <s v="Low"/>
    <n v="5.6000000000000001E-2"/>
    <n v="5.6000000000000001E-2"/>
    <x v="0"/>
    <n v="10"/>
    <n v="2627.6239999999998"/>
    <n v="3841.9"/>
    <n v="-1214.2760000000003"/>
    <n v="-0.46211938998882657"/>
  </r>
  <r>
    <s v="ORD-2024-837651"/>
    <x v="16"/>
    <d v="2024-12-10T00:00:00"/>
    <x v="6"/>
    <x v="3"/>
    <s v="2024"/>
    <x v="1"/>
    <d v="2024-12-19T00:00:00"/>
    <d v="2024-12-19T00:00:00"/>
    <s v="Okay"/>
    <n v="9"/>
    <x v="0"/>
    <x v="0"/>
    <x v="1"/>
    <s v="Lagos"/>
    <s v="Africa→Nigeria→Lagos"/>
    <s v="Corporate"/>
    <x v="0"/>
    <x v="7"/>
    <x v="5"/>
    <e v="#REF!"/>
    <x v="432"/>
    <n v="488.68"/>
    <n v="984.36"/>
    <n v="984.36"/>
    <s v="Low"/>
    <n v="5.8999999999999997E-2"/>
    <n v="5.8999999999999997E-2"/>
    <x v="0"/>
    <n v="14"/>
    <n v="12967.958640000001"/>
    <n v="6841.52"/>
    <n v="6126.4386400000003"/>
    <n v="0.47242891576649876"/>
  </r>
  <r>
    <s v="ORD-2024-581530"/>
    <x v="255"/>
    <d v="2024-09-07T00:00:00"/>
    <x v="29"/>
    <x v="6"/>
    <s v="2024"/>
    <x v="9"/>
    <d v="2024-09-18T00:00:00"/>
    <d v="2024-09-18T00:00:00"/>
    <s v="Okay"/>
    <n v="11"/>
    <x v="0"/>
    <x v="1"/>
    <x v="9"/>
    <s v="Beijing"/>
    <s v="Asia→China→Beijing"/>
    <s v="Consumer"/>
    <x v="3"/>
    <x v="7"/>
    <x v="2"/>
    <e v="#REF!"/>
    <x v="433"/>
    <n v="181.74"/>
    <n v="190.84"/>
    <n v="190.84"/>
    <s v="Low"/>
    <n v="0.214"/>
    <n v="0.214"/>
    <x v="0"/>
    <n v="13"/>
    <n v="1950.0031200000001"/>
    <n v="2362.62"/>
    <n v="-412.61687999999981"/>
    <n v="-0.21159806144310159"/>
  </r>
  <r>
    <s v="ORD-2023-378104"/>
    <x v="358"/>
    <d v="2023-10-18T00:00:00"/>
    <x v="32"/>
    <x v="1"/>
    <s v="2023"/>
    <x v="4"/>
    <d v="2023-10-20T00:00:00"/>
    <d v="2023-10-20T00:00:00"/>
    <s v="Okay"/>
    <n v="2"/>
    <x v="1"/>
    <x v="0"/>
    <x v="0"/>
    <s v="Kisumu"/>
    <s v="Africa→Kenya→Kisumu"/>
    <s v="Consumer"/>
    <x v="0"/>
    <x v="1"/>
    <x v="3"/>
    <e v="#REF!"/>
    <x v="434"/>
    <n v="774.12"/>
    <n v="908.3"/>
    <n v="908.3"/>
    <s v="Low"/>
    <n v="0"/>
    <n v="0"/>
    <x v="0"/>
    <n v="30"/>
    <n v="27249"/>
    <n v="23223.599999999999"/>
    <n v="4025.4000000000015"/>
    <n v="0.14772652207420461"/>
  </r>
  <r>
    <s v="ORD-2024-972318"/>
    <x v="359"/>
    <d v="2024-12-24T00:00:00"/>
    <x v="6"/>
    <x v="3"/>
    <s v="2024"/>
    <x v="1"/>
    <d v="2025-01-13T00:00:00"/>
    <d v="2025-01-13T00:00:00"/>
    <s v="Okay"/>
    <n v="20"/>
    <x v="0"/>
    <x v="1"/>
    <x v="4"/>
    <s v="Bengaluru"/>
    <s v="Asia→India→Bengaluru"/>
    <s v="Corporate"/>
    <x v="2"/>
    <x v="14"/>
    <x v="2"/>
    <e v="#REF!"/>
    <x v="435"/>
    <n v="126.15"/>
    <n v="284.23"/>
    <n v="284.23"/>
    <s v="Low"/>
    <n v="0.113"/>
    <n v="0.113"/>
    <x v="0"/>
    <n v="22"/>
    <n v="5546.4642200000008"/>
    <n v="2775.3"/>
    <n v="2771.1642200000006"/>
    <n v="0.49962716968541088"/>
  </r>
  <r>
    <s v="ORD-2023-752962"/>
    <x v="67"/>
    <d v="2023-04-19T00:00:00"/>
    <x v="12"/>
    <x v="7"/>
    <s v="2023"/>
    <x v="8"/>
    <d v="2023-04-19T00:00:00"/>
    <d v="2023-04-28T00:00:00"/>
    <s v="Invalid"/>
    <n v="9"/>
    <x v="0"/>
    <x v="1"/>
    <x v="2"/>
    <s v="Nagoya"/>
    <s v="Asia→Japan→Nagoya"/>
    <s v="Small Business"/>
    <x v="4"/>
    <x v="12"/>
    <x v="0"/>
    <e v="#REF!"/>
    <x v="436"/>
    <n v="607.04"/>
    <n v="1229.3399999999999"/>
    <n v="1229.3399999999999"/>
    <s v="Medium"/>
    <n v="0.14699999999999999"/>
    <n v="0.14699999999999999"/>
    <x v="0"/>
    <n v="7"/>
    <n v="7340.3891399999993"/>
    <n v="4249.28"/>
    <n v="3091.1091399999996"/>
    <n v="0.42110970972310058"/>
  </r>
  <r>
    <s v="ORD-2023-808024"/>
    <x v="360"/>
    <d v="2023-12-30T00:00:00"/>
    <x v="4"/>
    <x v="3"/>
    <s v="2023"/>
    <x v="4"/>
    <d v="2024-01-08T00:00:00"/>
    <d v="2024-01-08T00:00:00"/>
    <s v="Okay"/>
    <n v="9"/>
    <x v="0"/>
    <x v="3"/>
    <x v="7"/>
    <s v="Marseille"/>
    <s v="Europe→France→Marseille"/>
    <s v="Consumer"/>
    <x v="2"/>
    <x v="4"/>
    <x v="6"/>
    <e v="#REF!"/>
    <x v="437"/>
    <n v="861.1"/>
    <n v="1224.72"/>
    <n v="1224.72"/>
    <s v="Medium"/>
    <n v="0.17399999999999999"/>
    <n v="0.17399999999999999"/>
    <x v="0"/>
    <n v="24"/>
    <n v="24278.849280000002"/>
    <n v="20666.400000000001"/>
    <n v="3612.4492800000007"/>
    <n v="0.14878997098827909"/>
  </r>
  <r>
    <s v="ORD-2023-156396"/>
    <x v="361"/>
    <d v="2023-02-21T00:00:00"/>
    <x v="2"/>
    <x v="2"/>
    <s v="2023"/>
    <x v="2"/>
    <d v="2023-03-12T00:00:00"/>
    <d v="2023-03-12T00:00:00"/>
    <s v="Okay"/>
    <n v="19"/>
    <x v="0"/>
    <x v="0"/>
    <x v="0"/>
    <s v="Nakuru"/>
    <s v="Africa→Kenya→Nakuru"/>
    <s v="Corporate"/>
    <x v="1"/>
    <x v="9"/>
    <x v="2"/>
    <e v="#REF!"/>
    <x v="438"/>
    <n v="352.65"/>
    <n v="485.86"/>
    <n v="485.86"/>
    <s v="Low"/>
    <n v="4.1000000000000002E-2"/>
    <n v="4.1000000000000002E-2"/>
    <x v="0"/>
    <n v="6"/>
    <n v="2795.6384399999997"/>
    <n v="2115.8999999999996"/>
    <n v="679.73844000000008"/>
    <n v="0.24314247159943908"/>
  </r>
  <r>
    <s v="ORD-2023-184577"/>
    <x v="362"/>
    <d v="2023-05-17T00:00:00"/>
    <x v="15"/>
    <x v="5"/>
    <s v="2023"/>
    <x v="8"/>
    <d v="2023-06-03T00:00:00"/>
    <d v="2023-06-03T00:00:00"/>
    <s v="Okay"/>
    <n v="17"/>
    <x v="0"/>
    <x v="1"/>
    <x v="9"/>
    <s v="Beijing"/>
    <s v="Asia→China→Beijing"/>
    <s v="Non-Profit"/>
    <x v="3"/>
    <x v="12"/>
    <x v="1"/>
    <e v="#REF!"/>
    <x v="439"/>
    <n v="979.59"/>
    <n v="2210.94"/>
    <n v="2210.94"/>
    <s v="High"/>
    <n v="0.15"/>
    <n v="0.15"/>
    <x v="0"/>
    <n v="11"/>
    <n v="20672.289000000001"/>
    <n v="10775.49"/>
    <n v="9896.7990000000009"/>
    <n v="0.47874712858358359"/>
  </r>
  <r>
    <s v="ORD-2024-446030"/>
    <x v="363"/>
    <d v="2024-03-23T00:00:00"/>
    <x v="0"/>
    <x v="0"/>
    <s v="2024"/>
    <x v="0"/>
    <d v="2024-03-26T00:00:00"/>
    <d v="2024-03-26T00:00:00"/>
    <s v="Okay"/>
    <n v="3"/>
    <x v="1"/>
    <x v="1"/>
    <x v="4"/>
    <s v="Bengaluru"/>
    <s v="Asia→India→Bengaluru"/>
    <s v="Education"/>
    <x v="4"/>
    <x v="3"/>
    <x v="3"/>
    <e v="#REF!"/>
    <x v="440"/>
    <n v="382.21"/>
    <n v="571.89"/>
    <n v="571.89"/>
    <s v="Low"/>
    <n v="0.14799999999999999"/>
    <n v="0.14799999999999999"/>
    <x v="0"/>
    <n v="26"/>
    <n v="12668.50728"/>
    <n v="9937.4599999999991"/>
    <n v="2731.0472800000007"/>
    <n v="0.2155776698578809"/>
  </r>
  <r>
    <s v="ORD-2023-842820"/>
    <x v="364"/>
    <d v="2023-09-20T00:00:00"/>
    <x v="27"/>
    <x v="6"/>
    <s v="2023"/>
    <x v="10"/>
    <d v="2023-09-28T00:00:00"/>
    <d v="2023-09-28T00:00:00"/>
    <s v="Okay"/>
    <n v="8"/>
    <x v="0"/>
    <x v="1"/>
    <x v="4"/>
    <s v="Unknown"/>
    <s v="Asia→India→Unknown"/>
    <s v="Corporate"/>
    <x v="5"/>
    <x v="5"/>
    <x v="6"/>
    <e v="#REF!"/>
    <x v="441"/>
    <n v="1362.06"/>
    <n v="3398.37"/>
    <n v="3398.37"/>
    <s v="High"/>
    <n v="0.157"/>
    <n v="0.157"/>
    <x v="0"/>
    <n v="11"/>
    <n v="31513.085009999999"/>
    <n v="14982.66"/>
    <n v="16530.425009999999"/>
    <n v="0.52455749745714919"/>
  </r>
  <r>
    <s v="ORD-2024-745424"/>
    <x v="365"/>
    <d v="2024-08-22T00:00:00"/>
    <x v="21"/>
    <x v="11"/>
    <s v="2024"/>
    <x v="9"/>
    <d v="2024-09-04T00:00:00"/>
    <d v="2024-09-04T00:00:00"/>
    <s v="Okay"/>
    <n v="13"/>
    <x v="0"/>
    <x v="3"/>
    <x v="6"/>
    <s v="Frankfurt"/>
    <s v="Europe→Germany→Frankfurt"/>
    <s v="Non-Profit"/>
    <x v="0"/>
    <x v="4"/>
    <x v="1"/>
    <e v="#REF!"/>
    <x v="442"/>
    <n v="90.04"/>
    <n v="194.62"/>
    <n v="194.62"/>
    <s v="Low"/>
    <n v="4.2999999999999997E-2"/>
    <n v="4.2999999999999997E-2"/>
    <x v="0"/>
    <n v="32"/>
    <n v="5960.04288"/>
    <n v="2881.28"/>
    <n v="3078.7628799999998"/>
    <n v="0.51656723650954672"/>
  </r>
  <r>
    <s v="ORD-2024-510520"/>
    <x v="366"/>
    <d v="2024-09-25T00:00:00"/>
    <x v="29"/>
    <x v="6"/>
    <s v="2024"/>
    <x v="9"/>
    <d v="2024-10-03T00:00:00"/>
    <d v="2024-10-03T00:00:00"/>
    <s v="Okay"/>
    <n v="8"/>
    <x v="0"/>
    <x v="2"/>
    <x v="3"/>
    <s v="Toronto"/>
    <s v="Americas→Canada→Toronto"/>
    <s v="Consumer"/>
    <x v="1"/>
    <x v="6"/>
    <x v="1"/>
    <e v="#REF!"/>
    <x v="443"/>
    <n v="558.19000000000005"/>
    <n v="1031.6400000000001"/>
    <n v="1031.6400000000001"/>
    <s v="Low"/>
    <n v="0"/>
    <n v="0"/>
    <x v="0"/>
    <n v="21"/>
    <n v="21664.440000000002"/>
    <n v="11721.990000000002"/>
    <n v="9942.4500000000007"/>
    <n v="0.45892947152107322"/>
  </r>
  <r>
    <s v="ORD-2023-769774"/>
    <x v="367"/>
    <d v="2023-06-13T00:00:00"/>
    <x v="23"/>
    <x v="9"/>
    <s v="2023"/>
    <x v="8"/>
    <d v="2023-06-24T00:00:00"/>
    <d v="2023-06-24T00:00:00"/>
    <s v="Okay"/>
    <n v="11"/>
    <x v="0"/>
    <x v="2"/>
    <x v="3"/>
    <s v="Toronto"/>
    <s v="Americas→Canada→Toronto"/>
    <s v="Corporate"/>
    <x v="1"/>
    <x v="0"/>
    <x v="1"/>
    <e v="#REF!"/>
    <x v="444"/>
    <n v="247.07"/>
    <n v="495.19"/>
    <n v="495.19"/>
    <s v="Low"/>
    <n v="2.8000000000000001E-2"/>
    <n v="2.8000000000000001E-2"/>
    <x v="0"/>
    <n v="4"/>
    <n v="1925.29872"/>
    <n v="988.28"/>
    <n v="937.01872000000003"/>
    <n v="0.48668744764968214"/>
  </r>
  <r>
    <s v="ORD-2023-580751"/>
    <x v="240"/>
    <d v="2023-12-24T00:00:00"/>
    <x v="4"/>
    <x v="3"/>
    <s v="2023"/>
    <x v="4"/>
    <d v="2024-01-13T00:00:00"/>
    <d v="2024-01-13T00:00:00"/>
    <s v="Okay"/>
    <n v="20"/>
    <x v="0"/>
    <x v="1"/>
    <x v="2"/>
    <s v="Nagoya"/>
    <s v="Asia→Japan→Nagoya"/>
    <s v="Education"/>
    <x v="4"/>
    <x v="5"/>
    <x v="4"/>
    <e v="#REF!"/>
    <x v="445"/>
    <n v="625.37"/>
    <n v="1319.04"/>
    <n v="1319.04"/>
    <s v="Medium"/>
    <n v="7.3999999999999996E-2"/>
    <n v="7.3999999999999996E-2"/>
    <x v="0"/>
    <n v="8"/>
    <n v="9771.4483199999995"/>
    <n v="5002.96"/>
    <n v="4768.4883199999995"/>
    <n v="0.48800220436513547"/>
  </r>
  <r>
    <s v="ORD-2025-473192"/>
    <x v="258"/>
    <d v="2025-03-30T00:00:00"/>
    <x v="3"/>
    <x v="0"/>
    <s v="2025"/>
    <x v="3"/>
    <d v="2025-04-29T00:00:00"/>
    <d v="2025-04-29T00:00:00"/>
    <s v="Okay"/>
    <n v="30"/>
    <x v="0"/>
    <x v="0"/>
    <x v="11"/>
    <s v="Durban"/>
    <s v="Africa→South Africa→Durban"/>
    <s v="Consumer"/>
    <x v="2"/>
    <x v="1"/>
    <x v="5"/>
    <e v="#REF!"/>
    <x v="446"/>
    <n v="194.6"/>
    <n v="314.87"/>
    <n v="314.87"/>
    <s v="Low"/>
    <n v="0.29299999999999998"/>
    <n v="0.29299999999999998"/>
    <x v="0"/>
    <n v="25"/>
    <n v="5565.3272500000003"/>
    <n v="4865"/>
    <n v="700.32725000000028"/>
    <n v="0.1258375686712763"/>
  </r>
  <r>
    <s v="ORD-2024-886939"/>
    <x v="368"/>
    <d v="2024-06-03T00:00:00"/>
    <x v="17"/>
    <x v="9"/>
    <s v="2024"/>
    <x v="5"/>
    <d v="2024-06-24T00:00:00"/>
    <d v="2024-06-24T00:00:00"/>
    <s v="Okay"/>
    <n v="21"/>
    <x v="0"/>
    <x v="2"/>
    <x v="3"/>
    <s v="Toronto"/>
    <s v="Americas→Canada→Toronto"/>
    <s v="Small Business"/>
    <x v="4"/>
    <x v="3"/>
    <x v="5"/>
    <e v="#REF!"/>
    <x v="447"/>
    <n v="1205.5"/>
    <n v="2210.17"/>
    <n v="2210.17"/>
    <s v="High"/>
    <n v="0.104"/>
    <n v="0.104"/>
    <x v="0"/>
    <n v="23"/>
    <n v="45547.183360000003"/>
    <n v="27726.5"/>
    <n v="17820.683360000003"/>
    <n v="0.39125763758314652"/>
  </r>
  <r>
    <s v="ORD-2024-566589"/>
    <x v="369"/>
    <d v="2024-06-11T00:00:00"/>
    <x v="17"/>
    <x v="9"/>
    <s v="2024"/>
    <x v="5"/>
    <d v="2024-07-09T00:00:00"/>
    <d v="2024-07-09T00:00:00"/>
    <s v="Okay"/>
    <n v="28"/>
    <x v="0"/>
    <x v="0"/>
    <x v="1"/>
    <s v="Port Harcourt"/>
    <s v="Africa→Nigeria→Port Harcourt"/>
    <s v="Corporate"/>
    <x v="2"/>
    <x v="2"/>
    <x v="3"/>
    <e v="#REF!"/>
    <x v="448"/>
    <n v="895.54"/>
    <n v="1045"/>
    <n v="1045"/>
    <s v="Low"/>
    <n v="0.216"/>
    <n v="0.216"/>
    <x v="0"/>
    <n v="15"/>
    <n v="12289.2"/>
    <n v="13433.099999999999"/>
    <n v="-1143.8999999999978"/>
    <n v="-9.3081730299775234E-2"/>
  </r>
  <r>
    <s v="ORD-2023-109927"/>
    <x v="370"/>
    <d v="2023-07-21T00:00:00"/>
    <x v="24"/>
    <x v="8"/>
    <s v="2023"/>
    <x v="10"/>
    <d v="2023-07-21T00:00:00"/>
    <d v="2023-07-29T00:00:00"/>
    <s v="Invalid"/>
    <n v="8"/>
    <x v="0"/>
    <x v="1"/>
    <x v="4"/>
    <s v="Delhi"/>
    <s v="Asia→India→Delhi"/>
    <s v="Small Business"/>
    <x v="3"/>
    <x v="6"/>
    <x v="1"/>
    <e v="#REF!"/>
    <x v="449"/>
    <n v="946.99"/>
    <n v="2132.19"/>
    <n v="2132.19"/>
    <s v="High"/>
    <n v="0.16500000000000001"/>
    <n v="0.16500000000000001"/>
    <x v="0"/>
    <n v="7"/>
    <n v="12462.65055"/>
    <n v="6628.93"/>
    <n v="5833.72055"/>
    <n v="0.46809629513362228"/>
  </r>
  <r>
    <s v="ORD-2023-780206"/>
    <x v="371"/>
    <d v="2023-01-19T00:00:00"/>
    <x v="5"/>
    <x v="4"/>
    <s v="2023"/>
    <x v="2"/>
    <d v="2023-02-03T00:00:00"/>
    <d v="2023-02-03T00:00:00"/>
    <s v="Okay"/>
    <n v="15"/>
    <x v="0"/>
    <x v="3"/>
    <x v="8"/>
    <s v="London"/>
    <s v="Europe→United Kingdom→London"/>
    <s v="Enterprise"/>
    <x v="3"/>
    <x v="3"/>
    <x v="6"/>
    <e v="#REF!"/>
    <x v="450"/>
    <n v="873.06"/>
    <n v="2101.5500000000002"/>
    <n v="2101.5500000000002"/>
    <s v="High"/>
    <n v="6.6000000000000003E-2"/>
    <n v="6.6000000000000003E-2"/>
    <x v="0"/>
    <n v="10"/>
    <n v="19628.476999999999"/>
    <n v="8730.5999999999985"/>
    <n v="10897.877"/>
    <n v="0.55520746719167269"/>
  </r>
  <r>
    <s v="ORD-2024-851993"/>
    <x v="372"/>
    <d v="2024-05-01T00:00:00"/>
    <x v="7"/>
    <x v="5"/>
    <s v="2024"/>
    <x v="5"/>
    <d v="2024-05-16T00:00:00"/>
    <d v="2024-05-16T00:00:00"/>
    <s v="Okay"/>
    <n v="15"/>
    <x v="0"/>
    <x v="1"/>
    <x v="4"/>
    <s v="Bengaluru"/>
    <s v="Asia→India→Bengaluru"/>
    <s v="Small Business"/>
    <x v="0"/>
    <x v="4"/>
    <x v="0"/>
    <e v="#REF!"/>
    <x v="451"/>
    <n v="901.19"/>
    <n v="2125.44"/>
    <n v="2125.44"/>
    <s v="High"/>
    <n v="7.0999999999999994E-2"/>
    <n v="7.0999999999999994E-2"/>
    <x v="0"/>
    <n v="12"/>
    <n v="23694.405119999999"/>
    <n v="10814.28"/>
    <n v="12880.125119999999"/>
    <n v="0.54359352154100415"/>
  </r>
  <r>
    <s v="ORD-2025-417942"/>
    <x v="56"/>
    <d v="2025-06-09T00:00:00"/>
    <x v="16"/>
    <x v="9"/>
    <s v="2025"/>
    <x v="6"/>
    <d v="2025-06-24T00:00:00"/>
    <d v="2025-06-24T00:00:00"/>
    <s v="Okay"/>
    <n v="15"/>
    <x v="0"/>
    <x v="1"/>
    <x v="2"/>
    <s v="Nagoya"/>
    <s v="Asia→Japan→Nagoya"/>
    <s v="Corporate"/>
    <x v="4"/>
    <x v="5"/>
    <x v="3"/>
    <e v="#REF!"/>
    <x v="452"/>
    <n v="400.39"/>
    <n v="712.75"/>
    <n v="712.75"/>
    <s v="Low"/>
    <n v="0.115"/>
    <n v="0.115"/>
    <x v="0"/>
    <n v="19"/>
    <n v="11984.891250000001"/>
    <n v="7607.41"/>
    <n v="4377.4812500000007"/>
    <n v="0.36524997671547504"/>
  </r>
  <r>
    <s v="ORD-2023-172095"/>
    <x v="373"/>
    <d v="2023-05-24T00:00:00"/>
    <x v="15"/>
    <x v="5"/>
    <s v="2023"/>
    <x v="8"/>
    <d v="2023-06-21T00:00:00"/>
    <d v="2023-06-21T00:00:00"/>
    <s v="Okay"/>
    <n v="28"/>
    <x v="0"/>
    <x v="2"/>
    <x v="10"/>
    <s v="Austin"/>
    <s v="Americas→USA→Austin"/>
    <s v="Small Business"/>
    <x v="2"/>
    <x v="3"/>
    <x v="5"/>
    <e v="#REF!"/>
    <x v="453"/>
    <n v="813.97"/>
    <n v="1568.83"/>
    <n v="1568.83"/>
    <s v="Medium"/>
    <n v="1.7000000000000001E-2"/>
    <n v="1.7000000000000001E-2"/>
    <x v="0"/>
    <n v="15"/>
    <n v="23132.398349999996"/>
    <n v="12209.550000000001"/>
    <n v="10922.848349999995"/>
    <n v="0.4721883215364911"/>
  </r>
  <r>
    <s v="ORD-2024-257550"/>
    <x v="6"/>
    <d v="2024-12-27T00:00:00"/>
    <x v="6"/>
    <x v="3"/>
    <s v="2024"/>
    <x v="1"/>
    <d v="2024-12-29T00:00:00"/>
    <d v="2024-12-29T00:00:00"/>
    <s v="Okay"/>
    <n v="2"/>
    <x v="1"/>
    <x v="2"/>
    <x v="3"/>
    <s v="Vancouver"/>
    <s v="Americas→Canada→Vancouver"/>
    <s v="Enterprise"/>
    <x v="2"/>
    <x v="0"/>
    <x v="6"/>
    <e v="#REF!"/>
    <x v="454"/>
    <n v="1146.72"/>
    <n v="2074.34"/>
    <n v="2074.34"/>
    <s v="High"/>
    <n v="0.111"/>
    <n v="0.111"/>
    <x v="0"/>
    <n v="8"/>
    <n v="14752.706080000002"/>
    <n v="9173.76"/>
    <n v="5578.9460800000015"/>
    <n v="0.37816425337472737"/>
  </r>
  <r>
    <s v="ORD-2023-581799"/>
    <x v="374"/>
    <d v="2023-12-05T00:00:00"/>
    <x v="4"/>
    <x v="3"/>
    <s v="2023"/>
    <x v="4"/>
    <d v="2023-12-12T00:00:00"/>
    <d v="2023-12-12T00:00:00"/>
    <s v="Okay"/>
    <n v="7"/>
    <x v="1"/>
    <x v="2"/>
    <x v="5"/>
    <s v="Brasília"/>
    <s v="Americas→Brazil→Brasília"/>
    <s v="Corporate"/>
    <x v="4"/>
    <x v="9"/>
    <x v="3"/>
    <e v="#REF!"/>
    <x v="455"/>
    <n v="307.43"/>
    <n v="495.19"/>
    <n v="495.19"/>
    <s v="Low"/>
    <n v="0"/>
    <n v="0"/>
    <x v="0"/>
    <n v="42"/>
    <n v="20797.98"/>
    <n v="12912.06"/>
    <n v="7885.92"/>
    <n v="0.37916759223732305"/>
  </r>
  <r>
    <s v="ORD-2023-880296"/>
    <x v="129"/>
    <d v="2023-05-02T00:00:00"/>
    <x v="15"/>
    <x v="5"/>
    <s v="2023"/>
    <x v="8"/>
    <d v="2023-05-19T00:00:00"/>
    <d v="2023-05-19T00:00:00"/>
    <s v="Okay"/>
    <n v="17"/>
    <x v="0"/>
    <x v="1"/>
    <x v="9"/>
    <s v="Shanghai"/>
    <s v="Asia→China→Shanghai"/>
    <s v="Non-Profit"/>
    <x v="4"/>
    <x v="1"/>
    <x v="5"/>
    <e v="#REF!"/>
    <x v="456"/>
    <n v="714.28"/>
    <n v="757.59"/>
    <n v="757.59"/>
    <s v="Low"/>
    <n v="0.13600000000000001"/>
    <n v="0.13600000000000001"/>
    <x v="0"/>
    <n v="12"/>
    <n v="7854.6931199999999"/>
    <n v="8571.36"/>
    <n v="-716.66688000000067"/>
    <n v="-9.1240595787910383E-2"/>
  </r>
  <r>
    <s v="ORD-2023-191563"/>
    <x v="134"/>
    <d v="2023-11-30T00:00:00"/>
    <x v="30"/>
    <x v="10"/>
    <s v="2023"/>
    <x v="4"/>
    <d v="2023-12-10T00:00:00"/>
    <d v="2023-12-10T00:00:00"/>
    <s v="Okay"/>
    <n v="10"/>
    <x v="0"/>
    <x v="3"/>
    <x v="6"/>
    <s v="Munich"/>
    <s v="Europe→Germany→Munich"/>
    <s v="Small Business"/>
    <x v="4"/>
    <x v="9"/>
    <x v="4"/>
    <e v="#REF!"/>
    <x v="457"/>
    <n v="174.74"/>
    <n v="415.96"/>
    <n v="415.96"/>
    <s v="Low"/>
    <n v="0.125"/>
    <n v="0.125"/>
    <x v="0"/>
    <n v="21"/>
    <n v="7643.2649999999994"/>
    <n v="3669.54"/>
    <n v="3973.7249999999995"/>
    <n v="0.51989889137691803"/>
  </r>
  <r>
    <s v="ORD-2024-202166"/>
    <x v="375"/>
    <d v="2024-05-05T00:00:00"/>
    <x v="7"/>
    <x v="5"/>
    <s v="2024"/>
    <x v="5"/>
    <d v="2024-05-18T00:00:00"/>
    <d v="2024-05-18T00:00:00"/>
    <s v="Okay"/>
    <n v="13"/>
    <x v="0"/>
    <x v="3"/>
    <x v="7"/>
    <s v="Marseille"/>
    <s v="Europe→France→Marseille"/>
    <s v="Corporate"/>
    <x v="2"/>
    <x v="8"/>
    <x v="0"/>
    <e v="#REF!"/>
    <x v="458"/>
    <n v="1264.04"/>
    <n v="1870.89"/>
    <n v="1870.89"/>
    <s v="Medium"/>
    <n v="0"/>
    <n v="0"/>
    <x v="0"/>
    <n v="13"/>
    <n v="24321.57"/>
    <n v="16432.52"/>
    <n v="7889.0499999999993"/>
    <n v="0.32436433996653996"/>
  </r>
  <r>
    <s v="ORD-2023-539967"/>
    <x v="376"/>
    <d v="2023-07-09T00:00:00"/>
    <x v="24"/>
    <x v="8"/>
    <s v="2023"/>
    <x v="10"/>
    <d v="2023-07-19T00:00:00"/>
    <d v="2023-07-19T00:00:00"/>
    <s v="Okay"/>
    <n v="10"/>
    <x v="0"/>
    <x v="1"/>
    <x v="2"/>
    <s v="Tokyo"/>
    <s v="Asia→Japan→Tokyo"/>
    <s v="Enterprise"/>
    <x v="3"/>
    <x v="13"/>
    <x v="0"/>
    <e v="#REF!"/>
    <x v="459"/>
    <n v="141.26"/>
    <n v="206.88"/>
    <n v="206.88"/>
    <s v="Low"/>
    <n v="0.107"/>
    <n v="0.107"/>
    <x v="0"/>
    <n v="9"/>
    <n v="1662.6945600000001"/>
    <n v="1271.3399999999999"/>
    <n v="391.35456000000022"/>
    <n v="0.23537369365062469"/>
  </r>
  <r>
    <s v="ORD-2023-704111"/>
    <x v="362"/>
    <d v="2023-05-17T00:00:00"/>
    <x v="15"/>
    <x v="5"/>
    <s v="2023"/>
    <x v="8"/>
    <d v="2023-06-15T00:00:00"/>
    <d v="2023-06-15T00:00:00"/>
    <s v="Okay"/>
    <n v="29"/>
    <x v="0"/>
    <x v="0"/>
    <x v="11"/>
    <s v="Durban"/>
    <s v="Africa→South Africa→Durban"/>
    <s v="Enterprise"/>
    <x v="0"/>
    <x v="11"/>
    <x v="6"/>
    <e v="#REF!"/>
    <x v="460"/>
    <n v="40.89"/>
    <n v="62.82"/>
    <n v="62.82"/>
    <s v="Low"/>
    <n v="0.129"/>
    <n v="0.129"/>
    <x v="0"/>
    <n v="17"/>
    <n v="930.17574000000002"/>
    <n v="695.13"/>
    <n v="235.04574000000002"/>
    <n v="0.25268960465470752"/>
  </r>
  <r>
    <s v="ORD-2024-356812"/>
    <x v="34"/>
    <d v="2024-03-07T00:00:00"/>
    <x v="0"/>
    <x v="0"/>
    <s v="2024"/>
    <x v="0"/>
    <d v="2024-04-03T00:00:00"/>
    <d v="2024-04-03T00:00:00"/>
    <s v="Okay"/>
    <n v="27"/>
    <x v="0"/>
    <x v="3"/>
    <x v="6"/>
    <s v="Frankfurt"/>
    <s v="Europe→Germany→Frankfurt"/>
    <s v="Corporate"/>
    <x v="4"/>
    <x v="12"/>
    <x v="1"/>
    <e v="#REF!"/>
    <x v="461"/>
    <n v="738.16"/>
    <n v="956.49"/>
    <n v="956.49"/>
    <s v="Low"/>
    <n v="0.152"/>
    <n v="0.152"/>
    <x v="0"/>
    <n v="5"/>
    <n v="4055.5175999999997"/>
    <n v="3690.7999999999997"/>
    <n v="364.71759999999995"/>
    <n v="8.9931208780847108E-2"/>
  </r>
  <r>
    <s v="ORD-2025-306251"/>
    <x v="377"/>
    <d v="2025-04-10T00:00:00"/>
    <x v="19"/>
    <x v="7"/>
    <s v="2025"/>
    <x v="6"/>
    <d v="2025-04-19T00:00:00"/>
    <d v="2025-04-19T00:00:00"/>
    <s v="Okay"/>
    <n v="9"/>
    <x v="0"/>
    <x v="0"/>
    <x v="11"/>
    <s v="Durban"/>
    <s v="Africa→South Africa→Durban"/>
    <s v="Enterprise"/>
    <x v="5"/>
    <x v="3"/>
    <x v="2"/>
    <e v="#REF!"/>
    <x v="462"/>
    <n v="113.74"/>
    <n v="165.7"/>
    <n v="165.7"/>
    <s v="Low"/>
    <n v="0.124"/>
    <n v="0.124"/>
    <x v="0"/>
    <n v="13"/>
    <n v="1886.9915999999998"/>
    <n v="1478.62"/>
    <n v="408.37159999999994"/>
    <n v="0.21641410592394794"/>
  </r>
  <r>
    <s v="ORD-2025-496178"/>
    <x v="378"/>
    <d v="2025-07-27T00:00:00"/>
    <x v="13"/>
    <x v="8"/>
    <s v="2025"/>
    <x v="7"/>
    <d v="2025-08-15T00:00:00"/>
    <d v="2025-08-15T00:00:00"/>
    <s v="Okay"/>
    <n v="19"/>
    <x v="0"/>
    <x v="1"/>
    <x v="2"/>
    <s v="Tokyo"/>
    <s v="Asia→Japan→Tokyo"/>
    <s v="Small Business"/>
    <x v="2"/>
    <x v="1"/>
    <x v="0"/>
    <e v="#REF!"/>
    <x v="463"/>
    <n v="275.43"/>
    <n v="608.36"/>
    <n v="608.36"/>
    <s v="Low"/>
    <n v="0.25700000000000001"/>
    <n v="0.25700000000000001"/>
    <x v="0"/>
    <n v="4"/>
    <n v="1808.04592"/>
    <n v="1101.72"/>
    <n v="706.32592"/>
    <n v="0.39065706915231446"/>
  </r>
  <r>
    <s v="ORD-2024-508213"/>
    <x v="379"/>
    <d v="2024-11-22T00:00:00"/>
    <x v="18"/>
    <x v="10"/>
    <s v="2024"/>
    <x v="1"/>
    <d v="2024-12-15T00:00:00"/>
    <d v="2024-12-15T00:00:00"/>
    <s v="Okay"/>
    <n v="23"/>
    <x v="0"/>
    <x v="0"/>
    <x v="0"/>
    <s v="Mombasa"/>
    <s v="Africa→Kenya→Mombasa"/>
    <s v="Non-Profit"/>
    <x v="3"/>
    <x v="0"/>
    <x v="0"/>
    <e v="#REF!"/>
    <x v="464"/>
    <n v="1335.76"/>
    <n v="2665.91"/>
    <n v="2665.91"/>
    <s v="High"/>
    <n v="0.21099999999999999"/>
    <n v="0.21099999999999999"/>
    <x v="0"/>
    <n v="40"/>
    <n v="84136.119600000005"/>
    <n v="53430.400000000001"/>
    <n v="30705.719600000004"/>
    <n v="0.36495288522909253"/>
  </r>
  <r>
    <s v="ORD-2024-787018"/>
    <x v="304"/>
    <d v="2024-06-23T00:00:00"/>
    <x v="17"/>
    <x v="9"/>
    <s v="2024"/>
    <x v="5"/>
    <d v="2024-06-28T00:00:00"/>
    <d v="2024-06-28T00:00:00"/>
    <s v="Okay"/>
    <n v="5"/>
    <x v="1"/>
    <x v="0"/>
    <x v="1"/>
    <s v="Port Harcourt"/>
    <s v="Africa→Nigeria→Port Harcourt"/>
    <s v="Non-Profit"/>
    <x v="4"/>
    <x v="12"/>
    <x v="6"/>
    <e v="#REF!"/>
    <x v="465"/>
    <n v="242.31"/>
    <n v="587.95000000000005"/>
    <n v="587.95000000000005"/>
    <s v="Low"/>
    <n v="0.22900000000000001"/>
    <n v="0.22900000000000001"/>
    <x v="0"/>
    <n v="6"/>
    <n v="2719.8567000000003"/>
    <n v="1453.8600000000001"/>
    <n v="1265.9967000000001"/>
    <n v="0.46546448568411714"/>
  </r>
  <r>
    <s v="ORD-2023-728177"/>
    <x v="380"/>
    <d v="2023-12-18T00:00:00"/>
    <x v="4"/>
    <x v="3"/>
    <s v="2023"/>
    <x v="4"/>
    <d v="2024-01-14T00:00:00"/>
    <d v="2024-01-14T00:00:00"/>
    <s v="Okay"/>
    <n v="27"/>
    <x v="0"/>
    <x v="1"/>
    <x v="4"/>
    <s v="Mumbai"/>
    <s v="Asia→India→Mumbai"/>
    <s v="Consumer"/>
    <x v="3"/>
    <x v="14"/>
    <x v="2"/>
    <e v="#REF!"/>
    <x v="466"/>
    <n v="1408.3"/>
    <n v="2193.13"/>
    <n v="2193.13"/>
    <s v="High"/>
    <n v="7.0999999999999994E-2"/>
    <n v="7.0999999999999994E-2"/>
    <x v="0"/>
    <n v="7"/>
    <n v="14261.92439"/>
    <n v="9858.1"/>
    <n v="4403.8243899999998"/>
    <n v="0.30878191957656281"/>
  </r>
  <r>
    <s v="ORD-2025-795385"/>
    <x v="262"/>
    <d v="2025-06-01T00:00:00"/>
    <x v="16"/>
    <x v="9"/>
    <s v="2025"/>
    <x v="6"/>
    <d v="2025-06-05T00:00:00"/>
    <d v="2025-06-05T00:00:00"/>
    <s v="Okay"/>
    <n v="4"/>
    <x v="1"/>
    <x v="3"/>
    <x v="6"/>
    <s v="Munich"/>
    <s v="Europe→Germany→Munich"/>
    <s v="Enterprise"/>
    <x v="4"/>
    <x v="12"/>
    <x v="0"/>
    <e v="#REF!"/>
    <x v="467"/>
    <n v="1171.42"/>
    <n v="2187.8000000000002"/>
    <n v="2187.8000000000002"/>
    <s v="High"/>
    <n v="0.23"/>
    <n v="0.23"/>
    <x v="0"/>
    <n v="15"/>
    <n v="25269.09"/>
    <n v="17571.300000000003"/>
    <n v="7697.7899999999972"/>
    <n v="0.30463265594447592"/>
  </r>
  <r>
    <s v="ORD-2025-947929"/>
    <x v="381"/>
    <d v="2025-03-23T00:00:00"/>
    <x v="3"/>
    <x v="0"/>
    <s v="2025"/>
    <x v="3"/>
    <d v="2025-04-02T00:00:00"/>
    <d v="2025-04-02T00:00:00"/>
    <s v="Okay"/>
    <n v="10"/>
    <x v="0"/>
    <x v="3"/>
    <x v="6"/>
    <s v="Berlin"/>
    <s v="Europe→Germany→Berlin"/>
    <s v="Enterprise"/>
    <x v="1"/>
    <x v="6"/>
    <x v="1"/>
    <e v="#REF!"/>
    <x v="468"/>
    <n v="663.61"/>
    <n v="1002.11"/>
    <n v="1002.11"/>
    <s v="Low"/>
    <n v="4.5999999999999999E-2"/>
    <n v="4.5999999999999999E-2"/>
    <x v="0"/>
    <n v="17"/>
    <n v="16252.219979999998"/>
    <n v="11281.37"/>
    <n v="4970.8499799999972"/>
    <n v="0.30585667595670812"/>
  </r>
  <r>
    <s v="ORD-2023-931633"/>
    <x v="382"/>
    <d v="2023-05-14T00:00:00"/>
    <x v="15"/>
    <x v="5"/>
    <s v="2023"/>
    <x v="8"/>
    <d v="2023-05-22T00:00:00"/>
    <d v="2023-05-22T00:00:00"/>
    <s v="Okay"/>
    <n v="8"/>
    <x v="0"/>
    <x v="0"/>
    <x v="0"/>
    <s v="Mombasa"/>
    <s v="Africa→Kenya→Mombasa"/>
    <s v="Small Business"/>
    <x v="3"/>
    <x v="9"/>
    <x v="1"/>
    <e v="#REF!"/>
    <x v="469"/>
    <n v="432.01"/>
    <n v="913.78"/>
    <n v="913.78"/>
    <s v="Low"/>
    <n v="4.9000000000000002E-2"/>
    <n v="4.9000000000000002E-2"/>
    <x v="0"/>
    <n v="12"/>
    <n v="10428.057360000001"/>
    <n v="5184.12"/>
    <n v="5243.9373600000008"/>
    <n v="0.50286809699711899"/>
  </r>
  <r>
    <s v="ORD-2023-243704"/>
    <x v="345"/>
    <d v="2023-08-29T00:00:00"/>
    <x v="25"/>
    <x v="11"/>
    <s v="2023"/>
    <x v="10"/>
    <d v="2023-09-19T00:00:00"/>
    <d v="2023-09-19T00:00:00"/>
    <s v="Okay"/>
    <n v="21"/>
    <x v="0"/>
    <x v="3"/>
    <x v="7"/>
    <s v="Lyon"/>
    <s v="Europe→France→Lyon"/>
    <s v="Small Business"/>
    <x v="4"/>
    <x v="5"/>
    <x v="1"/>
    <e v="#REF!"/>
    <x v="470"/>
    <n v="784.46"/>
    <n v="1843.51"/>
    <n v="1843.51"/>
    <s v="Medium"/>
    <n v="0.13800000000000001"/>
    <n v="0.13800000000000001"/>
    <x v="0"/>
    <n v="23"/>
    <n v="36549.429260000004"/>
    <n v="18042.580000000002"/>
    <n v="18506.849260000003"/>
    <n v="0.50635125184441798"/>
  </r>
  <r>
    <s v="ORD-2025-779659"/>
    <x v="350"/>
    <d v="2025-07-03T00:00:00"/>
    <x v="13"/>
    <x v="8"/>
    <s v="2025"/>
    <x v="7"/>
    <d v="2025-07-23T00:00:00"/>
    <d v="2025-07-23T00:00:00"/>
    <s v="Okay"/>
    <n v="20"/>
    <x v="0"/>
    <x v="1"/>
    <x v="9"/>
    <s v="Beijing"/>
    <s v="Asia→China→Beijing"/>
    <s v="Small Business"/>
    <x v="1"/>
    <x v="12"/>
    <x v="0"/>
    <e v="#REF!"/>
    <x v="471"/>
    <n v="647.36"/>
    <n v="1383.6"/>
    <n v="1383.6"/>
    <s v="Medium"/>
    <n v="7.3999999999999996E-2"/>
    <n v="7.3999999999999996E-2"/>
    <x v="0"/>
    <n v="12"/>
    <n v="15374.563199999999"/>
    <n v="7768.32"/>
    <n v="7606.243199999999"/>
    <n v="0.49472906000997802"/>
  </r>
  <r>
    <s v="ORD-2024-647571"/>
    <x v="383"/>
    <d v="2024-02-06T00:00:00"/>
    <x v="31"/>
    <x v="2"/>
    <s v="2024"/>
    <x v="0"/>
    <d v="2024-02-28T00:00:00"/>
    <d v="2024-02-28T00:00:00"/>
    <s v="Okay"/>
    <n v="22"/>
    <x v="0"/>
    <x v="0"/>
    <x v="0"/>
    <s v="Kisumu"/>
    <s v="Africa→Kenya→Kisumu"/>
    <s v="Non-Profit"/>
    <x v="1"/>
    <x v="11"/>
    <x v="5"/>
    <e v="#REF!"/>
    <x v="472"/>
    <n v="834.93"/>
    <n v="1588.53"/>
    <n v="1588.53"/>
    <s v="Medium"/>
    <n v="0.126"/>
    <n v="0.126"/>
    <x v="0"/>
    <n v="6"/>
    <n v="8330.2513199999994"/>
    <n v="5009.58"/>
    <n v="3320.6713199999995"/>
    <n v="0.39862798761274343"/>
  </r>
  <r>
    <s v="ORD-2025-683043"/>
    <x v="384"/>
    <d v="2025-08-13T00:00:00"/>
    <x v="28"/>
    <x v="11"/>
    <s v="2025"/>
    <x v="7"/>
    <d v="2025-09-03T00:00:00"/>
    <d v="2025-09-03T00:00:00"/>
    <s v="Okay"/>
    <n v="21"/>
    <x v="0"/>
    <x v="3"/>
    <x v="7"/>
    <s v="Paris"/>
    <s v="Europe→France→Paris"/>
    <s v="Education"/>
    <x v="0"/>
    <x v="2"/>
    <x v="3"/>
    <e v="#REF!"/>
    <x v="473"/>
    <n v="603.47"/>
    <n v="1344.05"/>
    <n v="1344.05"/>
    <s v="Medium"/>
    <n v="0.20499999999999999"/>
    <n v="0.20499999999999999"/>
    <x v="0"/>
    <n v="18"/>
    <n v="19233.355499999998"/>
    <n v="10862.460000000001"/>
    <n v="8370.8954999999969"/>
    <n v="0.43522803392262976"/>
  </r>
  <r>
    <s v="ORD-2023-588455"/>
    <x v="207"/>
    <d v="2023-05-23T00:00:00"/>
    <x v="15"/>
    <x v="5"/>
    <s v="2023"/>
    <x v="8"/>
    <d v="2023-05-25T00:00:00"/>
    <d v="2023-05-25T00:00:00"/>
    <s v="Okay"/>
    <n v="2"/>
    <x v="1"/>
    <x v="2"/>
    <x v="5"/>
    <s v="Rio de Janeiro"/>
    <s v="Americas→Brazil→Rio de Janeiro"/>
    <s v="Enterprise"/>
    <x v="0"/>
    <x v="12"/>
    <x v="1"/>
    <e v="#REF!"/>
    <x v="474"/>
    <n v="690.49"/>
    <n v="1290.29"/>
    <n v="1290.29"/>
    <s v="Medium"/>
    <n v="4.2000000000000003E-2"/>
    <n v="4.2000000000000003E-2"/>
    <x v="0"/>
    <n v="22"/>
    <n v="27194.152039999997"/>
    <n v="15190.78"/>
    <n v="12003.372039999997"/>
    <n v="0.44139534199647718"/>
  </r>
  <r>
    <s v="ORD-2024-641220"/>
    <x v="385"/>
    <d v="2024-05-10T00:00:00"/>
    <x v="7"/>
    <x v="5"/>
    <s v="2024"/>
    <x v="5"/>
    <d v="2024-05-16T00:00:00"/>
    <d v="2024-05-16T00:00:00"/>
    <s v="Okay"/>
    <n v="6"/>
    <x v="1"/>
    <x v="3"/>
    <x v="8"/>
    <s v="Birmingham"/>
    <s v="Europe→United Kingdom→Birmingham"/>
    <s v="Non-Profit"/>
    <x v="4"/>
    <x v="3"/>
    <x v="4"/>
    <e v="#REF!"/>
    <x v="475"/>
    <n v="210.76"/>
    <n v="221.58"/>
    <n v="221.58"/>
    <s v="Low"/>
    <n v="8.8999999999999996E-2"/>
    <n v="8.8999999999999996E-2"/>
    <x v="0"/>
    <n v="5"/>
    <n v="1009.2969000000002"/>
    <n v="1053.8"/>
    <n v="-44.50309999999979"/>
    <n v="-4.4093170205912434E-2"/>
  </r>
  <r>
    <s v="ORD-2023-799597"/>
    <x v="211"/>
    <d v="2023-03-14T00:00:00"/>
    <x v="22"/>
    <x v="0"/>
    <s v="2023"/>
    <x v="2"/>
    <d v="2023-03-18T00:00:00"/>
    <d v="2023-03-18T00:00:00"/>
    <s v="Okay"/>
    <n v="4"/>
    <x v="1"/>
    <x v="3"/>
    <x v="6"/>
    <s v="Frankfurt"/>
    <s v="Europe→Germany→Frankfurt"/>
    <s v="Enterprise"/>
    <x v="4"/>
    <x v="8"/>
    <x v="0"/>
    <e v="#REF!"/>
    <x v="476"/>
    <n v="472.33"/>
    <n v="360.34"/>
    <n v="360.34"/>
    <s v="Low"/>
    <n v="0.16500000000000001"/>
    <n v="0.16500000000000001"/>
    <x v="0"/>
    <n v="14"/>
    <n v="4212.3745999999992"/>
    <n v="6612.62"/>
    <n v="-2400.2454000000007"/>
    <n v="-0.56980815523861561"/>
  </r>
  <r>
    <s v="ORD-2023-569862"/>
    <x v="386"/>
    <d v="2023-07-16T00:00:00"/>
    <x v="24"/>
    <x v="8"/>
    <s v="2023"/>
    <x v="10"/>
    <d v="2023-08-13T00:00:00"/>
    <d v="2023-08-13T00:00:00"/>
    <s v="Okay"/>
    <n v="28"/>
    <x v="0"/>
    <x v="3"/>
    <x v="8"/>
    <s v="Manchester"/>
    <s v="Europe→United Kingdom→Manchester"/>
    <s v="Non-Profit"/>
    <x v="1"/>
    <x v="1"/>
    <x v="4"/>
    <e v="#REF!"/>
    <x v="477"/>
    <n v="1039.03"/>
    <n v="2545.81"/>
    <n v="2545.81"/>
    <s v="High"/>
    <n v="0.216"/>
    <n v="0.216"/>
    <x v="0"/>
    <n v="21"/>
    <n v="41914.215840000004"/>
    <n v="21819.63"/>
    <n v="20094.585840000003"/>
    <n v="0.47942172929364774"/>
  </r>
  <r>
    <s v="ORD-2023-609394"/>
    <x v="387"/>
    <d v="2023-04-16T00:00:00"/>
    <x v="12"/>
    <x v="7"/>
    <s v="2023"/>
    <x v="8"/>
    <d v="2023-04-19T00:00:00"/>
    <d v="2023-04-19T00:00:00"/>
    <s v="Okay"/>
    <n v="3"/>
    <x v="1"/>
    <x v="3"/>
    <x v="6"/>
    <s v="Munich"/>
    <s v="Europe→Germany→Munich"/>
    <s v="Corporate"/>
    <x v="4"/>
    <x v="5"/>
    <x v="6"/>
    <e v="#REF!"/>
    <x v="478"/>
    <n v="553.61"/>
    <n v="699.47"/>
    <n v="699.47"/>
    <s v="Low"/>
    <n v="0.02"/>
    <n v="0.02"/>
    <x v="0"/>
    <n v="33"/>
    <n v="22620.859800000002"/>
    <n v="18269.13"/>
    <n v="4351.729800000001"/>
    <n v="0.19237685209472014"/>
  </r>
  <r>
    <s v="ORD-2024-105586"/>
    <x v="279"/>
    <d v="2024-01-02T00:00:00"/>
    <x v="9"/>
    <x v="4"/>
    <s v="2024"/>
    <x v="0"/>
    <d v="2024-01-15T00:00:00"/>
    <d v="2024-01-15T00:00:00"/>
    <s v="Okay"/>
    <n v="13"/>
    <x v="0"/>
    <x v="1"/>
    <x v="2"/>
    <s v="Nagoya"/>
    <s v="Asia→Japan→Nagoya"/>
    <s v="Small Business"/>
    <x v="2"/>
    <x v="3"/>
    <x v="2"/>
    <e v="#REF!"/>
    <x v="479"/>
    <n v="1219.06"/>
    <n v="2738.69"/>
    <n v="2738.69"/>
    <s v="High"/>
    <n v="7.5999999999999998E-2"/>
    <n v="7.5999999999999998E-2"/>
    <x v="0"/>
    <n v="16"/>
    <n v="40488.792960000006"/>
    <n v="19504.96"/>
    <n v="20983.832960000007"/>
    <n v="0.51826274447673737"/>
  </r>
  <r>
    <s v="ORD-2024-207792"/>
    <x v="209"/>
    <d v="2024-09-03T00:00:00"/>
    <x v="29"/>
    <x v="6"/>
    <s v="2024"/>
    <x v="9"/>
    <d v="2024-09-07T00:00:00"/>
    <d v="2024-09-07T00:00:00"/>
    <s v="Okay"/>
    <n v="4"/>
    <x v="1"/>
    <x v="1"/>
    <x v="2"/>
    <s v="Tokyo"/>
    <s v="Asia→Japan→Tokyo"/>
    <s v="Small Business"/>
    <x v="3"/>
    <x v="13"/>
    <x v="1"/>
    <e v="#REF!"/>
    <x v="480"/>
    <n v="43.23"/>
    <n v="94.78"/>
    <n v="94.78"/>
    <s v="Low"/>
    <n v="9.0999999999999998E-2"/>
    <n v="9.0999999999999998E-2"/>
    <x v="0"/>
    <n v="55"/>
    <n v="4738.5261"/>
    <n v="2377.6499999999996"/>
    <n v="2360.8761000000004"/>
    <n v="0.49823005090127082"/>
  </r>
  <r>
    <s v="ORD-2025-417336"/>
    <x v="388"/>
    <d v="2025-08-30T00:00:00"/>
    <x v="28"/>
    <x v="11"/>
    <s v="2025"/>
    <x v="7"/>
    <d v="2025-09-03T00:00:00"/>
    <d v="2025-09-03T00:00:00"/>
    <s v="Okay"/>
    <n v="4"/>
    <x v="1"/>
    <x v="3"/>
    <x v="7"/>
    <s v="Marseille"/>
    <s v="Europe→France→Marseille"/>
    <s v="Small Business"/>
    <x v="2"/>
    <x v="1"/>
    <x v="4"/>
    <e v="#REF!"/>
    <x v="481"/>
    <n v="1286.56"/>
    <n v="2777.35"/>
    <n v="2777.35"/>
    <s v="High"/>
    <n v="0.13200000000000001"/>
    <n v="0.13200000000000001"/>
    <x v="0"/>
    <n v="15"/>
    <n v="36161.097000000002"/>
    <n v="19298.399999999998"/>
    <n v="16862.697000000004"/>
    <n v="0.46632150014696744"/>
  </r>
  <r>
    <s v="ORD-2025-252117"/>
    <x v="86"/>
    <d v="2025-04-28T00:00:00"/>
    <x v="19"/>
    <x v="7"/>
    <s v="2025"/>
    <x v="6"/>
    <d v="2025-05-19T00:00:00"/>
    <d v="2025-05-19T00:00:00"/>
    <s v="Okay"/>
    <n v="21"/>
    <x v="0"/>
    <x v="3"/>
    <x v="6"/>
    <s v="Berlin"/>
    <s v="Europe→Germany→Berlin"/>
    <s v="Corporate"/>
    <x v="3"/>
    <x v="5"/>
    <x v="3"/>
    <e v="#REF!"/>
    <x v="482"/>
    <n v="350.76"/>
    <n v="492.18"/>
    <n v="492.18"/>
    <s v="Low"/>
    <n v="5.2999999999999999E-2"/>
    <n v="5.2999999999999999E-2"/>
    <x v="0"/>
    <n v="11"/>
    <n v="5127.0390600000001"/>
    <n v="3858.3599999999997"/>
    <n v="1268.6790600000004"/>
    <n v="0.24744868239798437"/>
  </r>
  <r>
    <s v="ORD-2023-867175"/>
    <x v="389"/>
    <d v="2023-08-10T00:00:00"/>
    <x v="25"/>
    <x v="11"/>
    <s v="2023"/>
    <x v="10"/>
    <d v="2023-08-15T00:00:00"/>
    <d v="2023-08-15T00:00:00"/>
    <s v="Okay"/>
    <n v="5"/>
    <x v="1"/>
    <x v="2"/>
    <x v="5"/>
    <s v="São Paulo"/>
    <s v="Americas→Brazil→São Paulo"/>
    <s v="Education"/>
    <x v="4"/>
    <x v="3"/>
    <x v="2"/>
    <e v="#REF!"/>
    <x v="483"/>
    <n v="1307.52"/>
    <n v="1921.65"/>
    <n v="1921.65"/>
    <s v="High"/>
    <n v="0.123"/>
    <n v="0.123"/>
    <x v="0"/>
    <n v="13"/>
    <n v="21908.731650000002"/>
    <n v="16997.759999999998"/>
    <n v="4910.9716500000031"/>
    <n v="0.22415590863289445"/>
  </r>
  <r>
    <s v="ORD-2024-382152"/>
    <x v="390"/>
    <d v="2024-12-08T00:00:00"/>
    <x v="6"/>
    <x v="3"/>
    <s v="2024"/>
    <x v="1"/>
    <d v="2024-12-08T00:00:00"/>
    <d v="2024-12-08T00:00:00"/>
    <s v="Okay"/>
    <n v="0"/>
    <x v="1"/>
    <x v="3"/>
    <x v="7"/>
    <s v="Lyon"/>
    <s v="Europe→France→Lyon"/>
    <s v="Enterprise"/>
    <x v="0"/>
    <x v="10"/>
    <x v="0"/>
    <e v="#REF!"/>
    <x v="484"/>
    <n v="257.44"/>
    <n v="290.33"/>
    <n v="290.33"/>
    <s v="Low"/>
    <n v="9.1999999999999998E-2"/>
    <n v="9.1999999999999998E-2"/>
    <x v="0"/>
    <n v="23"/>
    <n v="6063.2517199999993"/>
    <n v="5921.12"/>
    <n v="142.1317199999994"/>
    <n v="2.3441500792581216E-2"/>
  </r>
  <r>
    <s v="ORD-2023-597666"/>
    <x v="391"/>
    <d v="2023-10-25T00:00:00"/>
    <x v="32"/>
    <x v="1"/>
    <s v="2023"/>
    <x v="4"/>
    <d v="2023-11-24T00:00:00"/>
    <d v="2023-11-24T00:00:00"/>
    <s v="Okay"/>
    <n v="30"/>
    <x v="0"/>
    <x v="3"/>
    <x v="7"/>
    <s v="Paris"/>
    <s v="Europe→France→Paris"/>
    <s v="Enterprise"/>
    <x v="3"/>
    <x v="0"/>
    <x v="3"/>
    <e v="#REF!"/>
    <x v="485"/>
    <n v="287.85000000000002"/>
    <n v="602.91999999999996"/>
    <n v="602.91999999999996"/>
    <s v="Low"/>
    <n v="0.222"/>
    <n v="0.222"/>
    <x v="0"/>
    <n v="11"/>
    <n v="5159.7893599999998"/>
    <n v="3166.3500000000004"/>
    <n v="1993.4393599999994"/>
    <n v="0.38634122847216373"/>
  </r>
  <r>
    <s v="ORD-2024-371409"/>
    <x v="392"/>
    <d v="2024-11-17T00:00:00"/>
    <x v="18"/>
    <x v="10"/>
    <s v="2024"/>
    <x v="1"/>
    <d v="2024-11-28T00:00:00"/>
    <d v="2024-11-28T00:00:00"/>
    <s v="Okay"/>
    <n v="11"/>
    <x v="0"/>
    <x v="2"/>
    <x v="3"/>
    <s v="Unknown"/>
    <s v="Americas→Canada→Unknown"/>
    <s v="Consumer"/>
    <x v="3"/>
    <x v="8"/>
    <x v="1"/>
    <e v="#REF!"/>
    <x v="486"/>
    <n v="1008.16"/>
    <n v="2077.5"/>
    <n v="2077.5"/>
    <s v="High"/>
    <n v="7.3999999999999996E-2"/>
    <n v="7.3999999999999996E-2"/>
    <x v="0"/>
    <n v="15"/>
    <n v="28856.475000000002"/>
    <n v="15122.4"/>
    <n v="13734.075000000003"/>
    <n v="0.47594430712691005"/>
  </r>
  <r>
    <s v="ORD-2024-973420"/>
    <x v="393"/>
    <d v="2024-05-12T00:00:00"/>
    <x v="7"/>
    <x v="5"/>
    <s v="2024"/>
    <x v="5"/>
    <d v="2024-05-24T00:00:00"/>
    <d v="2024-05-24T00:00:00"/>
    <s v="Okay"/>
    <n v="12"/>
    <x v="0"/>
    <x v="3"/>
    <x v="8"/>
    <s v="Manchester"/>
    <s v="Europe→United Kingdom→Manchester"/>
    <s v="Education"/>
    <x v="2"/>
    <x v="11"/>
    <x v="1"/>
    <e v="#REF!"/>
    <x v="487"/>
    <n v="111.02"/>
    <n v="172.88"/>
    <n v="172.88"/>
    <s v="Low"/>
    <n v="0.19700000000000001"/>
    <n v="0.19700000000000001"/>
    <x v="0"/>
    <n v="29"/>
    <n v="4025.8565599999993"/>
    <n v="3219.58"/>
    <n v="806.27655999999934"/>
    <n v="0.20027453735212053"/>
  </r>
  <r>
    <s v="ORD-2025-254721"/>
    <x v="394"/>
    <d v="2025-05-15T00:00:00"/>
    <x v="8"/>
    <x v="5"/>
    <s v="2025"/>
    <x v="6"/>
    <d v="2025-06-05T00:00:00"/>
    <d v="2025-06-05T00:00:00"/>
    <s v="Okay"/>
    <n v="21"/>
    <x v="0"/>
    <x v="1"/>
    <x v="2"/>
    <s v="Osaka"/>
    <s v="Asia→Japan→Osaka"/>
    <s v="Enterprise"/>
    <x v="4"/>
    <x v="10"/>
    <x v="3"/>
    <e v="#REF!"/>
    <x v="488"/>
    <n v="1466.5"/>
    <n v="2778.74"/>
    <n v="2778.74"/>
    <s v="High"/>
    <n v="0.13500000000000001"/>
    <n v="0.13500000000000001"/>
    <x v="0"/>
    <n v="4"/>
    <n v="9614.4403999999995"/>
    <n v="5866"/>
    <n v="3748.4403999999995"/>
    <n v="0.38987608680792279"/>
  </r>
  <r>
    <s v="ORD-2024-247032"/>
    <x v="395"/>
    <d v="2024-04-21T00:00:00"/>
    <x v="20"/>
    <x v="7"/>
    <s v="2024"/>
    <x v="5"/>
    <d v="2024-05-19T00:00:00"/>
    <d v="2024-05-19T00:00:00"/>
    <s v="Okay"/>
    <n v="28"/>
    <x v="0"/>
    <x v="0"/>
    <x v="1"/>
    <s v="Lagos"/>
    <s v="Africa→Nigeria→Lagos"/>
    <s v="Corporate"/>
    <x v="3"/>
    <x v="8"/>
    <x v="6"/>
    <e v="#REF!"/>
    <x v="489"/>
    <n v="187.22"/>
    <n v="309.47000000000003"/>
    <n v="309.47000000000003"/>
    <s v="Low"/>
    <n v="0"/>
    <n v="0"/>
    <x v="0"/>
    <n v="5"/>
    <n v="1547.3500000000001"/>
    <n v="936.1"/>
    <n v="611.25000000000011"/>
    <n v="0.39503021294471197"/>
  </r>
  <r>
    <s v="ORD-2024-792353"/>
    <x v="396"/>
    <d v="2024-08-19T00:00:00"/>
    <x v="21"/>
    <x v="11"/>
    <s v="2024"/>
    <x v="9"/>
    <d v="2024-09-07T00:00:00"/>
    <d v="2024-09-07T00:00:00"/>
    <s v="Okay"/>
    <n v="19"/>
    <x v="0"/>
    <x v="3"/>
    <x v="7"/>
    <s v="Lyon"/>
    <s v="Europe→France→Lyon"/>
    <s v="Corporate"/>
    <x v="4"/>
    <x v="1"/>
    <x v="0"/>
    <e v="#REF!"/>
    <x v="490"/>
    <n v="297.58999999999997"/>
    <n v="666.41"/>
    <n v="666.41"/>
    <s v="Low"/>
    <n v="0"/>
    <n v="0"/>
    <x v="0"/>
    <n v="10"/>
    <n v="6664.0999999999995"/>
    <n v="2975.8999999999996"/>
    <n v="3688.2"/>
    <n v="0.55344307558409989"/>
  </r>
  <r>
    <s v="ORD-2025-703623"/>
    <x v="319"/>
    <d v="2025-07-23T00:00:00"/>
    <x v="13"/>
    <x v="8"/>
    <s v="2025"/>
    <x v="7"/>
    <d v="2025-08-19T00:00:00"/>
    <d v="2025-08-19T00:00:00"/>
    <s v="Okay"/>
    <n v="27"/>
    <x v="0"/>
    <x v="1"/>
    <x v="2"/>
    <s v="Nagoya"/>
    <s v="Asia→Japan→Nagoya"/>
    <s v="Consumer"/>
    <x v="2"/>
    <x v="5"/>
    <x v="6"/>
    <e v="#REF!"/>
    <x v="491"/>
    <n v="896.09"/>
    <n v="744.27"/>
    <n v="744.27"/>
    <s v="Low"/>
    <n v="8.3000000000000004E-2"/>
    <n v="8.3000000000000004E-2"/>
    <x v="0"/>
    <n v="11"/>
    <n v="7507.4514899999995"/>
    <n v="9856.99"/>
    <n v="-2349.5385100000003"/>
    <n v="-0.31296086469950679"/>
  </r>
  <r>
    <s v="ORD-2024-516704"/>
    <x v="397"/>
    <d v="2024-02-29T00:00:00"/>
    <x v="0"/>
    <x v="2"/>
    <s v="2024"/>
    <x v="0"/>
    <d v="2024-02-29T00:00:00"/>
    <d v="2024-03-08T00:00:00"/>
    <s v="Invalid"/>
    <n v="8"/>
    <x v="0"/>
    <x v="2"/>
    <x v="5"/>
    <s v="São Paulo"/>
    <s v="Americas→Brazil→São Paulo"/>
    <s v="Non-Profit"/>
    <x v="4"/>
    <x v="2"/>
    <x v="3"/>
    <e v="#REF!"/>
    <x v="492"/>
    <n v="5.34"/>
    <n v="12.69"/>
    <n v="12.69"/>
    <s v="Low"/>
    <n v="0.13200000000000001"/>
    <n v="0.13200000000000001"/>
    <x v="0"/>
    <n v="10"/>
    <n v="110.14919999999999"/>
    <n v="53.4"/>
    <n v="56.749199999999995"/>
    <n v="0.51520301554618642"/>
  </r>
  <r>
    <s v="ORD-2024-578646"/>
    <x v="398"/>
    <d v="2024-05-27T00:00:00"/>
    <x v="7"/>
    <x v="5"/>
    <s v="2024"/>
    <x v="5"/>
    <d v="2024-06-17T00:00:00"/>
    <d v="2024-06-17T00:00:00"/>
    <s v="Okay"/>
    <n v="21"/>
    <x v="0"/>
    <x v="1"/>
    <x v="4"/>
    <s v="Delhi"/>
    <s v="Asia→India→Delhi"/>
    <s v="Small Business"/>
    <x v="1"/>
    <x v="10"/>
    <x v="6"/>
    <e v="#REF!"/>
    <x v="493"/>
    <n v="465.02"/>
    <n v="651.55999999999995"/>
    <n v="651.55999999999995"/>
    <s v="Low"/>
    <n v="4.2000000000000003E-2"/>
    <n v="4.2000000000000003E-2"/>
    <x v="0"/>
    <n v="19"/>
    <n v="11859.695119999998"/>
    <n v="8835.3799999999992"/>
    <n v="3024.3151199999993"/>
    <n v="0.25500783025187918"/>
  </r>
  <r>
    <s v="ORD-2024-433936"/>
    <x v="399"/>
    <d v="2024-08-04T00:00:00"/>
    <x v="21"/>
    <x v="11"/>
    <s v="2024"/>
    <x v="9"/>
    <d v="2024-08-17T00:00:00"/>
    <d v="2024-08-17T00:00:00"/>
    <s v="Okay"/>
    <n v="13"/>
    <x v="0"/>
    <x v="2"/>
    <x v="10"/>
    <s v="Austin"/>
    <s v="Americas→USA→Austin"/>
    <s v="Consumer"/>
    <x v="0"/>
    <x v="14"/>
    <x v="5"/>
    <e v="#REF!"/>
    <x v="494"/>
    <n v="352.79"/>
    <n v="754.22"/>
    <n v="754.22"/>
    <s v="Low"/>
    <n v="0.113"/>
    <n v="0.113"/>
    <x v="0"/>
    <n v="7"/>
    <n v="4682.9519799999998"/>
    <n v="2469.5300000000002"/>
    <n v="2213.4219799999996"/>
    <n v="0.47265528014233443"/>
  </r>
  <r>
    <s v="ORD-2023-434071"/>
    <x v="264"/>
    <d v="2023-06-20T00:00:00"/>
    <x v="23"/>
    <x v="9"/>
    <s v="2023"/>
    <x v="8"/>
    <d v="2023-07-04T00:00:00"/>
    <d v="2023-07-04T00:00:00"/>
    <s v="Okay"/>
    <n v="14"/>
    <x v="0"/>
    <x v="2"/>
    <x v="5"/>
    <s v="Brasília"/>
    <s v="Americas→Brazil→Brasília"/>
    <s v="Non-Profit"/>
    <x v="4"/>
    <x v="0"/>
    <x v="2"/>
    <e v="#REF!"/>
    <x v="495"/>
    <n v="1292.8599999999999"/>
    <n v="2981.01"/>
    <n v="2981.01"/>
    <s v="High"/>
    <n v="0.14199999999999999"/>
    <n v="0.14199999999999999"/>
    <x v="0"/>
    <n v="12"/>
    <n v="30692.47896"/>
    <n v="15514.32"/>
    <n v="15178.158960000001"/>
    <n v="0.49452372288927687"/>
  </r>
  <r>
    <s v="ORD-2024-728474"/>
    <x v="191"/>
    <d v="2024-09-09T00:00:00"/>
    <x v="29"/>
    <x v="6"/>
    <s v="2024"/>
    <x v="9"/>
    <d v="2024-09-13T00:00:00"/>
    <d v="2024-09-13T00:00:00"/>
    <s v="Okay"/>
    <n v="4"/>
    <x v="1"/>
    <x v="3"/>
    <x v="8"/>
    <s v="London"/>
    <s v="Europe→United Kingdom→London"/>
    <s v="Consumer"/>
    <x v="2"/>
    <x v="9"/>
    <x v="2"/>
    <e v="#REF!"/>
    <x v="496"/>
    <n v="1133.08"/>
    <n v="976.17"/>
    <n v="976.17"/>
    <s v="Low"/>
    <n v="4.2000000000000003E-2"/>
    <n v="4.2000000000000003E-2"/>
    <x v="0"/>
    <n v="27"/>
    <n v="25249.613219999999"/>
    <n v="30593.159999999996"/>
    <n v="-5343.5467799999969"/>
    <n v="-0.21162885678452373"/>
  </r>
  <r>
    <s v="ORD-2023-406606"/>
    <x v="391"/>
    <d v="2023-10-25T00:00:00"/>
    <x v="32"/>
    <x v="1"/>
    <s v="2023"/>
    <x v="4"/>
    <d v="2023-10-28T00:00:00"/>
    <d v="2023-10-28T00:00:00"/>
    <s v="Okay"/>
    <n v="3"/>
    <x v="1"/>
    <x v="2"/>
    <x v="5"/>
    <s v="Brasília"/>
    <s v="Americas→Brazil→Brasília"/>
    <s v="Corporate"/>
    <x v="3"/>
    <x v="4"/>
    <x v="6"/>
    <e v="#REF!"/>
    <x v="497"/>
    <n v="509.31"/>
    <n v="1145.9000000000001"/>
    <n v="1145.9000000000001"/>
    <s v="Low"/>
    <n v="5.7000000000000002E-2"/>
    <n v="5.7000000000000002E-2"/>
    <x v="0"/>
    <n v="8"/>
    <n v="8644.6696000000011"/>
    <n v="4074.48"/>
    <n v="4570.1896000000015"/>
    <n v="0.52867140231709964"/>
  </r>
  <r>
    <s v="ORD-2025-823055"/>
    <x v="17"/>
    <d v="2025-09-08T00:00:00"/>
    <x v="11"/>
    <x v="6"/>
    <s v="2025"/>
    <x v="7"/>
    <d v="2025-10-05T00:00:00"/>
    <d v="2025-10-05T00:00:00"/>
    <s v="Okay"/>
    <n v="27"/>
    <x v="0"/>
    <x v="2"/>
    <x v="5"/>
    <s v="Rio de Janeiro"/>
    <s v="Americas→Brazil→Rio de Janeiro"/>
    <s v="Education"/>
    <x v="1"/>
    <x v="0"/>
    <x v="5"/>
    <e v="#REF!"/>
    <x v="498"/>
    <n v="660.78"/>
    <n v="1630.39"/>
    <n v="1630.39"/>
    <s v="Medium"/>
    <n v="0.218"/>
    <n v="0.218"/>
    <x v="0"/>
    <n v="13"/>
    <n v="16574.544740000001"/>
    <n v="8590.14"/>
    <n v="7984.4047400000018"/>
    <n v="0.48172694123724097"/>
  </r>
  <r>
    <s v="ORD-2023-573656"/>
    <x v="129"/>
    <d v="2023-05-02T00:00:00"/>
    <x v="15"/>
    <x v="5"/>
    <s v="2023"/>
    <x v="8"/>
    <d v="2023-05-16T00:00:00"/>
    <d v="2023-05-16T00:00:00"/>
    <s v="Okay"/>
    <n v="14"/>
    <x v="0"/>
    <x v="1"/>
    <x v="4"/>
    <s v="Bengaluru"/>
    <s v="Asia→India→Bengaluru"/>
    <s v="Non-Profit"/>
    <x v="0"/>
    <x v="4"/>
    <x v="5"/>
    <e v="#REF!"/>
    <x v="499"/>
    <n v="475.37"/>
    <n v="963.73"/>
    <n v="963.73"/>
    <s v="Low"/>
    <n v="4.1000000000000002E-2"/>
    <n v="4.1000000000000002E-2"/>
    <x v="0"/>
    <n v="22"/>
    <n v="20332.775539999999"/>
    <n v="10458.14"/>
    <n v="9874.6355399999993"/>
    <n v="0.48565113604750881"/>
  </r>
  <r>
    <s v="ORD-2024-567435"/>
    <x v="400"/>
    <d v="2024-04-24T00:00:00"/>
    <x v="20"/>
    <x v="7"/>
    <s v="2024"/>
    <x v="5"/>
    <d v="2024-04-24T00:00:00"/>
    <d v="2024-05-03T00:00:00"/>
    <s v="Invalid"/>
    <n v="9"/>
    <x v="0"/>
    <x v="3"/>
    <x v="8"/>
    <s v="London"/>
    <s v="Europe→United Kingdom→London"/>
    <s v="Non-Profit"/>
    <x v="3"/>
    <x v="13"/>
    <x v="3"/>
    <e v="#REF!"/>
    <x v="500"/>
    <n v="1232.77"/>
    <n v="891.73"/>
    <n v="891.73"/>
    <s v="Low"/>
    <n v="0.16700000000000001"/>
    <n v="0.16700000000000001"/>
    <x v="0"/>
    <n v="10"/>
    <n v="7428.1108999999988"/>
    <n v="12327.7"/>
    <n v="-4899.589100000002"/>
    <n v="-0.65960096260813805"/>
  </r>
  <r>
    <s v="ORD-2023-744942"/>
    <x v="29"/>
    <d v="2023-02-23T00:00:00"/>
    <x v="2"/>
    <x v="2"/>
    <s v="2023"/>
    <x v="2"/>
    <d v="2023-03-18T00:00:00"/>
    <d v="2023-03-18T00:00:00"/>
    <s v="Okay"/>
    <n v="23"/>
    <x v="0"/>
    <x v="1"/>
    <x v="9"/>
    <s v="Beijing"/>
    <s v="Asia→China→Beijing"/>
    <s v="Education"/>
    <x v="3"/>
    <x v="11"/>
    <x v="1"/>
    <e v="#REF!"/>
    <x v="501"/>
    <n v="770.11"/>
    <n v="1667.82"/>
    <n v="1667.82"/>
    <s v="Medium"/>
    <n v="6.9000000000000006E-2"/>
    <n v="6.9000000000000006E-2"/>
    <x v="0"/>
    <n v="7"/>
    <n v="10869.182940000001"/>
    <n v="5390.77"/>
    <n v="5478.4129400000002"/>
    <n v="0.50403171703355287"/>
  </r>
  <r>
    <s v="ORD-2025-331237"/>
    <x v="401"/>
    <d v="2025-03-24T00:00:00"/>
    <x v="3"/>
    <x v="0"/>
    <s v="2025"/>
    <x v="3"/>
    <d v="2025-03-25T00:00:00"/>
    <d v="2025-03-25T00:00:00"/>
    <s v="Okay"/>
    <n v="1"/>
    <x v="1"/>
    <x v="1"/>
    <x v="9"/>
    <s v="Beijing"/>
    <s v="Asia→China→Beijing"/>
    <s v="Non-Profit"/>
    <x v="1"/>
    <x v="3"/>
    <x v="2"/>
    <e v="#REF!"/>
    <x v="502"/>
    <n v="1133.03"/>
    <n v="1921.51"/>
    <n v="1921.51"/>
    <s v="High"/>
    <n v="0.10100000000000001"/>
    <n v="0.10100000000000001"/>
    <x v="0"/>
    <n v="5"/>
    <n v="8637.1874499999994"/>
    <n v="5665.15"/>
    <n v="2972.0374499999998"/>
    <n v="0.3440978289755654"/>
  </r>
  <r>
    <s v="ORD-2025-680118"/>
    <x v="402"/>
    <d v="2025-03-10T00:00:00"/>
    <x v="3"/>
    <x v="0"/>
    <s v="2025"/>
    <x v="3"/>
    <d v="2025-03-27T00:00:00"/>
    <d v="2025-03-27T00:00:00"/>
    <s v="Okay"/>
    <n v="17"/>
    <x v="0"/>
    <x v="2"/>
    <x v="5"/>
    <s v="Rio de Janeiro"/>
    <s v="Americas→Brazil→Rio de Janeiro"/>
    <s v="Enterprise"/>
    <x v="4"/>
    <x v="9"/>
    <x v="2"/>
    <e v="#REF!"/>
    <x v="503"/>
    <n v="996.73"/>
    <n v="1217.43"/>
    <n v="1217.43"/>
    <s v="Medium"/>
    <n v="7.0000000000000007E-2"/>
    <n v="7.0000000000000007E-2"/>
    <x v="0"/>
    <n v="9"/>
    <n v="10189.8891"/>
    <n v="8970.57"/>
    <n v="1219.3191000000006"/>
    <n v="0.11965970267527255"/>
  </r>
  <r>
    <s v="ORD-2024-310809"/>
    <x v="403"/>
    <d v="2024-04-05T00:00:00"/>
    <x v="20"/>
    <x v="7"/>
    <s v="2024"/>
    <x v="5"/>
    <d v="2024-04-09T00:00:00"/>
    <d v="2024-04-09T00:00:00"/>
    <s v="Okay"/>
    <n v="4"/>
    <x v="1"/>
    <x v="0"/>
    <x v="1"/>
    <s v="Lagos"/>
    <s v="Africa→Nigeria→Lagos"/>
    <s v="Non-Profit"/>
    <x v="4"/>
    <x v="11"/>
    <x v="0"/>
    <e v="#REF!"/>
    <x v="504"/>
    <n v="395.07"/>
    <n v="970.27"/>
    <n v="970.27"/>
    <s v="Low"/>
    <n v="0.123"/>
    <n v="0.123"/>
    <x v="0"/>
    <n v="38"/>
    <n v="32335.21802"/>
    <n v="15012.66"/>
    <n v="17322.55802"/>
    <n v="0.53571799049833657"/>
  </r>
  <r>
    <s v="ORD-2025-474368"/>
    <x v="60"/>
    <d v="2025-04-27T00:00:00"/>
    <x v="19"/>
    <x v="7"/>
    <s v="2025"/>
    <x v="6"/>
    <d v="2025-05-17T00:00:00"/>
    <d v="2025-05-17T00:00:00"/>
    <s v="Okay"/>
    <n v="20"/>
    <x v="0"/>
    <x v="2"/>
    <x v="10"/>
    <s v="Austin"/>
    <s v="Americas→USA→Austin"/>
    <s v="Corporate"/>
    <x v="4"/>
    <x v="13"/>
    <x v="3"/>
    <e v="#REF!"/>
    <x v="505"/>
    <n v="932.26"/>
    <n v="1624.67"/>
    <n v="1624.67"/>
    <s v="Medium"/>
    <n v="0.23499999999999999"/>
    <n v="0.23499999999999999"/>
    <x v="0"/>
    <n v="28"/>
    <n v="34800.431400000001"/>
    <n v="26103.279999999999"/>
    <n v="8697.1514000000025"/>
    <n v="0.24991504559337163"/>
  </r>
  <r>
    <s v="ORD-2024-732543"/>
    <x v="404"/>
    <d v="2024-10-24T00:00:00"/>
    <x v="1"/>
    <x v="1"/>
    <s v="2024"/>
    <x v="1"/>
    <d v="2024-10-28T00:00:00"/>
    <d v="2024-10-28T00:00:00"/>
    <s v="Okay"/>
    <n v="4"/>
    <x v="1"/>
    <x v="1"/>
    <x v="9"/>
    <s v="Shanghai"/>
    <s v="Asia→China→Shanghai"/>
    <s v="Small Business"/>
    <x v="3"/>
    <x v="2"/>
    <x v="2"/>
    <e v="#REF!"/>
    <x v="506"/>
    <n v="1331.77"/>
    <n v="2606.11"/>
    <n v="2606.11"/>
    <s v="High"/>
    <n v="0.02"/>
    <n v="0.02"/>
    <x v="0"/>
    <n v="6"/>
    <n v="15323.926799999999"/>
    <n v="7990.62"/>
    <n v="7333.3067999999994"/>
    <n v="0.47855271665745619"/>
  </r>
  <r>
    <s v="ORD-2023-867166"/>
    <x v="290"/>
    <d v="2023-04-13T00:00:00"/>
    <x v="12"/>
    <x v="7"/>
    <s v="2023"/>
    <x v="8"/>
    <d v="2023-04-20T00:00:00"/>
    <d v="2023-04-20T00:00:00"/>
    <s v="Okay"/>
    <n v="7"/>
    <x v="1"/>
    <x v="3"/>
    <x v="7"/>
    <s v="Lyon"/>
    <s v="Europe→France→Lyon"/>
    <s v="Small Business"/>
    <x v="1"/>
    <x v="8"/>
    <x v="4"/>
    <e v="#REF!"/>
    <x v="507"/>
    <n v="227.02"/>
    <n v="434.72"/>
    <n v="434.72"/>
    <s v="Low"/>
    <n v="9.8000000000000004E-2"/>
    <n v="9.8000000000000004E-2"/>
    <x v="0"/>
    <n v="10"/>
    <n v="3921.1744000000008"/>
    <n v="2270.2000000000003"/>
    <n v="1650.9744000000005"/>
    <n v="0.42104079838938052"/>
  </r>
  <r>
    <s v="ORD-2024-776337"/>
    <x v="405"/>
    <d v="2024-11-12T00:00:00"/>
    <x v="18"/>
    <x v="10"/>
    <s v="2024"/>
    <x v="1"/>
    <d v="2024-11-21T00:00:00"/>
    <d v="2024-11-21T00:00:00"/>
    <s v="Okay"/>
    <n v="9"/>
    <x v="0"/>
    <x v="1"/>
    <x v="4"/>
    <s v="Mumbai"/>
    <s v="Asia→India→Mumbai"/>
    <s v="Corporate"/>
    <x v="4"/>
    <x v="10"/>
    <x v="4"/>
    <e v="#REF!"/>
    <x v="508"/>
    <n v="903.41"/>
    <n v="1860.41"/>
    <n v="1860.41"/>
    <s v="Medium"/>
    <n v="0.108"/>
    <n v="0.108"/>
    <x v="0"/>
    <n v="5"/>
    <n v="8297.4286000000011"/>
    <n v="4517.05"/>
    <n v="3780.3786000000009"/>
    <n v="0.455608451996803"/>
  </r>
  <r>
    <s v="ORD-2023-913592"/>
    <x v="406"/>
    <d v="2023-05-10T00:00:00"/>
    <x v="15"/>
    <x v="5"/>
    <s v="2023"/>
    <x v="8"/>
    <d v="2023-05-14T00:00:00"/>
    <d v="2023-05-14T00:00:00"/>
    <s v="Okay"/>
    <n v="4"/>
    <x v="1"/>
    <x v="1"/>
    <x v="4"/>
    <s v="Delhi"/>
    <s v="Asia→India→Delhi"/>
    <s v="Non-Profit"/>
    <x v="3"/>
    <x v="0"/>
    <x v="5"/>
    <e v="#REF!"/>
    <x v="509"/>
    <n v="622.6"/>
    <n v="833.69"/>
    <n v="833.69"/>
    <s v="Low"/>
    <n v="0.20899999999999999"/>
    <n v="0.20899999999999999"/>
    <x v="0"/>
    <n v="14"/>
    <n v="9232.2830599999998"/>
    <n v="8716.4"/>
    <n v="515.88306000000011"/>
    <n v="5.5878167582959715E-2"/>
  </r>
  <r>
    <s v="ORD-2024-961501"/>
    <x v="263"/>
    <d v="2024-03-02T00:00:00"/>
    <x v="0"/>
    <x v="0"/>
    <s v="2024"/>
    <x v="0"/>
    <d v="2024-03-23T00:00:00"/>
    <d v="2024-03-23T00:00:00"/>
    <s v="Okay"/>
    <n v="21"/>
    <x v="0"/>
    <x v="2"/>
    <x v="10"/>
    <s v="Chicago"/>
    <s v="Americas→USA→Chicago"/>
    <s v="Small Business"/>
    <x v="1"/>
    <x v="9"/>
    <x v="0"/>
    <e v="#REF!"/>
    <x v="510"/>
    <n v="225.01"/>
    <n v="333.48"/>
    <n v="333.48"/>
    <s v="Low"/>
    <n v="0.11899999999999999"/>
    <n v="0.11899999999999999"/>
    <x v="0"/>
    <n v="12"/>
    <n v="3525.5505600000001"/>
    <n v="2700.12"/>
    <n v="825.43056000000024"/>
    <n v="0.23412813004729685"/>
  </r>
  <r>
    <s v="ORD-2024-964950"/>
    <x v="407"/>
    <d v="2024-10-10T00:00:00"/>
    <x v="1"/>
    <x v="1"/>
    <s v="2024"/>
    <x v="1"/>
    <d v="2024-10-11T00:00:00"/>
    <d v="2024-10-11T00:00:00"/>
    <s v="Okay"/>
    <n v="1"/>
    <x v="1"/>
    <x v="3"/>
    <x v="8"/>
    <s v="Manchester"/>
    <s v="Europe→United Kingdom→Manchester"/>
    <s v="Non-Profit"/>
    <x v="3"/>
    <x v="4"/>
    <x v="0"/>
    <e v="#REF!"/>
    <x v="511"/>
    <n v="1389.46"/>
    <n v="1784.7"/>
    <n v="1784.7"/>
    <s v="Medium"/>
    <n v="0.14599999999999999"/>
    <n v="0.14599999999999999"/>
    <x v="0"/>
    <n v="33"/>
    <n v="50296.415399999998"/>
    <n v="45852.18"/>
    <n v="4444.2353999999978"/>
    <n v="8.8360877503011831E-2"/>
  </r>
  <r>
    <s v="ORD-2023-349264"/>
    <x v="408"/>
    <d v="2023-06-01T00:00:00"/>
    <x v="23"/>
    <x v="9"/>
    <s v="2023"/>
    <x v="8"/>
    <d v="2023-06-08T00:00:00"/>
    <d v="2023-06-08T00:00:00"/>
    <s v="Okay"/>
    <n v="7"/>
    <x v="1"/>
    <x v="3"/>
    <x v="6"/>
    <s v="Frankfurt"/>
    <s v="Europe→Germany→Frankfurt"/>
    <s v="Consumer"/>
    <x v="1"/>
    <x v="8"/>
    <x v="3"/>
    <e v="#REF!"/>
    <x v="512"/>
    <n v="804.17"/>
    <n v="1072.29"/>
    <n v="1072.29"/>
    <s v="Low"/>
    <n v="3.2000000000000001E-2"/>
    <n v="3.2000000000000001E-2"/>
    <x v="0"/>
    <n v="5"/>
    <n v="5189.8836000000001"/>
    <n v="4020.85"/>
    <n v="1169.0336000000002"/>
    <n v="0.2252523736755869"/>
  </r>
  <r>
    <s v="ORD-2025-137394"/>
    <x v="409"/>
    <d v="2025-01-04T00:00:00"/>
    <x v="10"/>
    <x v="4"/>
    <s v="2025"/>
    <x v="3"/>
    <d v="2025-01-05T00:00:00"/>
    <d v="2025-01-05T00:00:00"/>
    <s v="Okay"/>
    <n v="1"/>
    <x v="1"/>
    <x v="1"/>
    <x v="4"/>
    <s v="Delhi"/>
    <s v="Asia→India→Delhi"/>
    <s v="Education"/>
    <x v="0"/>
    <x v="2"/>
    <x v="0"/>
    <e v="#REF!"/>
    <x v="513"/>
    <n v="1428.33"/>
    <n v="3028.05"/>
    <n v="3028.05"/>
    <s v="High"/>
    <n v="0"/>
    <n v="0"/>
    <x v="0"/>
    <n v="11"/>
    <n v="33308.550000000003"/>
    <n v="15711.63"/>
    <n v="17596.920000000006"/>
    <n v="0.52830039134096207"/>
  </r>
  <r>
    <s v="ORD-2025-635337"/>
    <x v="117"/>
    <d v="2025-08-05T00:00:00"/>
    <x v="28"/>
    <x v="11"/>
    <s v="2025"/>
    <x v="7"/>
    <d v="2025-08-28T00:00:00"/>
    <d v="2025-08-28T00:00:00"/>
    <s v="Okay"/>
    <n v="23"/>
    <x v="0"/>
    <x v="1"/>
    <x v="4"/>
    <s v="Mumbai"/>
    <s v="Asia→India→Mumbai"/>
    <s v="Non-Profit"/>
    <x v="3"/>
    <x v="13"/>
    <x v="4"/>
    <e v="#REF!"/>
    <x v="514"/>
    <n v="638.54"/>
    <n v="987.24"/>
    <n v="987.24"/>
    <s v="Low"/>
    <n v="0"/>
    <n v="0"/>
    <x v="0"/>
    <n v="11"/>
    <n v="10859.64"/>
    <n v="7023.94"/>
    <n v="3835.7"/>
    <n v="0.35320692030306716"/>
  </r>
  <r>
    <s v="ORD-2023-568013"/>
    <x v="323"/>
    <d v="2023-09-30T00:00:00"/>
    <x v="27"/>
    <x v="6"/>
    <s v="2023"/>
    <x v="10"/>
    <d v="2023-10-30T00:00:00"/>
    <d v="2023-10-30T00:00:00"/>
    <s v="Okay"/>
    <n v="30"/>
    <x v="0"/>
    <x v="1"/>
    <x v="2"/>
    <s v="Tokyo"/>
    <s v="Asia→Japan→Tokyo"/>
    <s v="Enterprise"/>
    <x v="1"/>
    <x v="14"/>
    <x v="1"/>
    <e v="#REF!"/>
    <x v="515"/>
    <n v="649.13"/>
    <n v="975.43"/>
    <n v="975.43"/>
    <s v="Low"/>
    <n v="0.157"/>
    <n v="0.157"/>
    <x v="0"/>
    <n v="27"/>
    <n v="22201.762229999997"/>
    <n v="17526.509999999998"/>
    <n v="4675.2522299999982"/>
    <n v="0.21058023149543473"/>
  </r>
  <r>
    <s v="ORD-2025-828263"/>
    <x v="253"/>
    <d v="2025-05-17T00:00:00"/>
    <x v="8"/>
    <x v="5"/>
    <s v="2025"/>
    <x v="6"/>
    <d v="2025-05-30T00:00:00"/>
    <d v="2025-05-30T00:00:00"/>
    <s v="Okay"/>
    <n v="13"/>
    <x v="0"/>
    <x v="0"/>
    <x v="1"/>
    <s v="Lagos"/>
    <s v="Africa→Nigeria→Lagos"/>
    <s v="Consumer"/>
    <x v="3"/>
    <x v="9"/>
    <x v="6"/>
    <e v="#REF!"/>
    <x v="516"/>
    <n v="66.400000000000006"/>
    <n v="141.43"/>
    <n v="141.43"/>
    <s v="Low"/>
    <n v="0.107"/>
    <n v="0.107"/>
    <x v="0"/>
    <n v="8"/>
    <n v="1010.3759200000001"/>
    <n v="531.20000000000005"/>
    <n v="479.17592000000002"/>
    <n v="0.47425508715607551"/>
  </r>
  <r>
    <s v="ORD-2024-402240"/>
    <x v="372"/>
    <d v="2024-05-01T00:00:00"/>
    <x v="7"/>
    <x v="5"/>
    <s v="2024"/>
    <x v="5"/>
    <d v="2024-05-26T00:00:00"/>
    <d v="2024-05-26T00:00:00"/>
    <s v="Okay"/>
    <n v="25"/>
    <x v="0"/>
    <x v="3"/>
    <x v="6"/>
    <s v="Berlin"/>
    <s v="Europe→Germany→Berlin"/>
    <s v="Non-Profit"/>
    <x v="0"/>
    <x v="5"/>
    <x v="2"/>
    <e v="#REF!"/>
    <x v="517"/>
    <n v="930.71"/>
    <n v="1625.42"/>
    <n v="1625.42"/>
    <s v="Medium"/>
    <n v="0.13800000000000001"/>
    <n v="0.13800000000000001"/>
    <x v="0"/>
    <n v="7"/>
    <n v="9807.7842799999999"/>
    <n v="6514.97"/>
    <n v="3292.8142799999996"/>
    <n v="0.33573477821231196"/>
  </r>
  <r>
    <s v="ORD-2023-125739"/>
    <x v="410"/>
    <d v="2023-05-01T00:00:00"/>
    <x v="15"/>
    <x v="5"/>
    <s v="2023"/>
    <x v="8"/>
    <d v="2023-05-18T00:00:00"/>
    <d v="2023-05-18T00:00:00"/>
    <s v="Okay"/>
    <n v="17"/>
    <x v="0"/>
    <x v="0"/>
    <x v="1"/>
    <s v="Port Harcourt"/>
    <s v="Africa→Nigeria→Port Harcourt"/>
    <s v="Corporate"/>
    <x v="4"/>
    <x v="9"/>
    <x v="0"/>
    <e v="#REF!"/>
    <x v="518"/>
    <n v="327.97"/>
    <n v="299.94"/>
    <n v="299.94"/>
    <s v="Low"/>
    <n v="4.9000000000000002E-2"/>
    <n v="4.9000000000000002E-2"/>
    <x v="0"/>
    <n v="3"/>
    <n v="855.72881999999993"/>
    <n v="983.91000000000008"/>
    <n v="-128.18118000000015"/>
    <n v="-0.14979182306843442"/>
  </r>
  <r>
    <s v="ORD-2024-892879"/>
    <x v="411"/>
    <d v="2024-07-09T00:00:00"/>
    <x v="14"/>
    <x v="8"/>
    <s v="2024"/>
    <x v="9"/>
    <d v="2024-08-08T00:00:00"/>
    <d v="2024-08-08T00:00:00"/>
    <s v="Okay"/>
    <n v="30"/>
    <x v="0"/>
    <x v="3"/>
    <x v="7"/>
    <s v="Marseille"/>
    <s v="Europe→France→Marseille"/>
    <s v="Corporate"/>
    <x v="4"/>
    <x v="1"/>
    <x v="0"/>
    <e v="#REF!"/>
    <x v="519"/>
    <n v="1062.3800000000001"/>
    <n v="1503.96"/>
    <n v="1503.96"/>
    <s v="Medium"/>
    <n v="0.18"/>
    <n v="0.18"/>
    <x v="0"/>
    <n v="6"/>
    <n v="7399.4832000000006"/>
    <n v="6374.2800000000007"/>
    <n v="1025.2031999999999"/>
    <n v="0.13855064905073369"/>
  </r>
  <r>
    <s v="ORD-2023-472050"/>
    <x v="406"/>
    <d v="2023-05-10T00:00:00"/>
    <x v="15"/>
    <x v="5"/>
    <s v="2023"/>
    <x v="8"/>
    <d v="2023-05-27T00:00:00"/>
    <d v="2023-05-27T00:00:00"/>
    <s v="Okay"/>
    <n v="17"/>
    <x v="0"/>
    <x v="1"/>
    <x v="4"/>
    <s v="Mumbai"/>
    <s v="Asia→India→Mumbai"/>
    <s v="Consumer"/>
    <x v="0"/>
    <x v="12"/>
    <x v="4"/>
    <e v="#REF!"/>
    <x v="520"/>
    <n v="1286.1600000000001"/>
    <n v="3101.11"/>
    <n v="3101.11"/>
    <s v="High"/>
    <n v="0.1"/>
    <n v="0.1"/>
    <x v="0"/>
    <n v="23"/>
    <n v="64192.976999999999"/>
    <n v="29581.68"/>
    <n v="34611.296999999999"/>
    <n v="0.53917575749758417"/>
  </r>
  <r>
    <s v="ORD-2024-468615"/>
    <x v="411"/>
    <d v="2024-07-09T00:00:00"/>
    <x v="14"/>
    <x v="8"/>
    <s v="2024"/>
    <x v="9"/>
    <d v="2024-07-12T00:00:00"/>
    <d v="2024-07-12T00:00:00"/>
    <s v="Okay"/>
    <n v="3"/>
    <x v="1"/>
    <x v="1"/>
    <x v="9"/>
    <s v="Shanghai"/>
    <s v="Asia→China→Shanghai"/>
    <s v="Small Business"/>
    <x v="0"/>
    <x v="14"/>
    <x v="6"/>
    <e v="#REF!"/>
    <x v="521"/>
    <n v="748.39"/>
    <n v="979.42"/>
    <n v="979.42"/>
    <s v="Low"/>
    <n v="0"/>
    <n v="0"/>
    <x v="0"/>
    <n v="23"/>
    <n v="22526.66"/>
    <n v="17212.97"/>
    <n v="5313.6899999999987"/>
    <n v="0.23588450307324738"/>
  </r>
  <r>
    <s v="ORD-2024-833375"/>
    <x v="412"/>
    <d v="2024-04-24T00:00:00"/>
    <x v="20"/>
    <x v="7"/>
    <s v="2024"/>
    <x v="5"/>
    <d v="2024-05-10T00:00:00"/>
    <d v="2024-05-10T00:00:00"/>
    <s v="Okay"/>
    <n v="16"/>
    <x v="0"/>
    <x v="0"/>
    <x v="0"/>
    <s v="Kisumu"/>
    <s v="Africa→Kenya→Kisumu"/>
    <s v="Non-Profit"/>
    <x v="1"/>
    <x v="13"/>
    <x v="5"/>
    <e v="#REF!"/>
    <x v="522"/>
    <n v="513.30999999999995"/>
    <n v="1186.26"/>
    <n v="1186.26"/>
    <s v="Low"/>
    <n v="9.4E-2"/>
    <n v="9.4E-2"/>
    <x v="0"/>
    <n v="15"/>
    <n v="16121.273400000002"/>
    <n v="7699.65"/>
    <n v="8421.6234000000022"/>
    <n v="0.52239194702820446"/>
  </r>
  <r>
    <s v="ORD-2024-206311"/>
    <x v="94"/>
    <d v="2024-01-13T00:00:00"/>
    <x v="9"/>
    <x v="4"/>
    <s v="2024"/>
    <x v="0"/>
    <d v="2024-01-15T00:00:00"/>
    <d v="2024-01-15T00:00:00"/>
    <s v="Okay"/>
    <n v="2"/>
    <x v="1"/>
    <x v="2"/>
    <x v="10"/>
    <s v="San Francisco"/>
    <s v="Americas→USA→San Francisco"/>
    <s v="Non-Profit"/>
    <x v="4"/>
    <x v="6"/>
    <x v="0"/>
    <e v="#REF!"/>
    <x v="523"/>
    <n v="1061.3699999999999"/>
    <n v="1938.33"/>
    <n v="1938.33"/>
    <s v="High"/>
    <n v="0.17"/>
    <n v="0.17"/>
    <x v="0"/>
    <n v="4"/>
    <n v="6435.2555999999995"/>
    <n v="4245.4799999999996"/>
    <n v="2189.7755999999999"/>
    <n v="0.34027795259600879"/>
  </r>
  <r>
    <s v="ORD-2024-364080"/>
    <x v="413"/>
    <d v="2024-04-16T00:00:00"/>
    <x v="20"/>
    <x v="7"/>
    <s v="2024"/>
    <x v="5"/>
    <d v="2024-04-27T00:00:00"/>
    <d v="2024-04-27T00:00:00"/>
    <s v="Okay"/>
    <n v="11"/>
    <x v="0"/>
    <x v="0"/>
    <x v="0"/>
    <s v="Nakuru"/>
    <s v="Africa→Kenya→Nakuru"/>
    <s v="Enterprise"/>
    <x v="1"/>
    <x v="14"/>
    <x v="1"/>
    <e v="#REF!"/>
    <x v="524"/>
    <n v="401.3"/>
    <n v="826.47"/>
    <n v="826.47"/>
    <s v="Low"/>
    <n v="0.22500000000000001"/>
    <n v="0.22500000000000001"/>
    <x v="0"/>
    <n v="13"/>
    <n v="8326.6852500000005"/>
    <n v="5216.9000000000005"/>
    <n v="3109.7852499999999"/>
    <n v="0.37347217489696755"/>
  </r>
  <r>
    <s v="ORD-2025-460466"/>
    <x v="414"/>
    <d v="2025-02-07T00:00:00"/>
    <x v="26"/>
    <x v="2"/>
    <s v="2025"/>
    <x v="3"/>
    <d v="2025-02-16T00:00:00"/>
    <d v="2025-02-16T00:00:00"/>
    <s v="Okay"/>
    <n v="9"/>
    <x v="0"/>
    <x v="0"/>
    <x v="1"/>
    <s v="Lagos"/>
    <s v="Africa→Nigeria→Lagos"/>
    <s v="Small Business"/>
    <x v="3"/>
    <x v="0"/>
    <x v="1"/>
    <e v="#REF!"/>
    <x v="525"/>
    <n v="90.68"/>
    <n v="118.17"/>
    <n v="118.17"/>
    <s v="Low"/>
    <n v="0.13500000000000001"/>
    <n v="0.13500000000000001"/>
    <x v="0"/>
    <n v="21"/>
    <n v="2146.5580500000001"/>
    <n v="1904.2800000000002"/>
    <n v="242.27804999999989"/>
    <n v="0.11286815653552899"/>
  </r>
  <r>
    <s v="ORD-2023-700699"/>
    <x v="415"/>
    <d v="2023-01-12T00:00:00"/>
    <x v="5"/>
    <x v="4"/>
    <s v="2023"/>
    <x v="2"/>
    <d v="2023-01-26T00:00:00"/>
    <d v="2023-01-26T00:00:00"/>
    <s v="Okay"/>
    <n v="14"/>
    <x v="0"/>
    <x v="1"/>
    <x v="9"/>
    <s v="Shenzhen"/>
    <s v="Asia→China→Shenzhen"/>
    <s v="Non-Profit"/>
    <x v="0"/>
    <x v="12"/>
    <x v="1"/>
    <e v="#REF!"/>
    <x v="526"/>
    <n v="1083.0899999999999"/>
    <n v="1425.87"/>
    <n v="1425.87"/>
    <s v="Medium"/>
    <n v="0"/>
    <n v="0"/>
    <x v="0"/>
    <n v="8"/>
    <n v="11406.96"/>
    <n v="8664.7199999999993"/>
    <n v="2742.24"/>
    <n v="0.24040059752992909"/>
  </r>
  <r>
    <s v="ORD-2024-713332"/>
    <x v="416"/>
    <d v="2024-06-05T00:00:00"/>
    <x v="17"/>
    <x v="9"/>
    <s v="2024"/>
    <x v="5"/>
    <d v="2024-06-23T00:00:00"/>
    <d v="2024-06-23T00:00:00"/>
    <s v="Okay"/>
    <n v="18"/>
    <x v="0"/>
    <x v="0"/>
    <x v="0"/>
    <s v="Nairobi"/>
    <s v="Africa→Kenya→Nairobi"/>
    <s v="Consumer"/>
    <x v="3"/>
    <x v="14"/>
    <x v="4"/>
    <e v="#REF!"/>
    <x v="527"/>
    <n v="1208.74"/>
    <n v="1594.78"/>
    <n v="1594.78"/>
    <s v="Medium"/>
    <n v="5.8999999999999997E-2"/>
    <n v="5.8999999999999997E-2"/>
    <x v="0"/>
    <n v="39"/>
    <n v="58526.83122"/>
    <n v="47140.86"/>
    <n v="11385.971219999999"/>
    <n v="0.1945427589817838"/>
  </r>
  <r>
    <s v="ORD-2023-640022"/>
    <x v="417"/>
    <d v="2023-08-24T00:00:00"/>
    <x v="25"/>
    <x v="11"/>
    <s v="2023"/>
    <x v="10"/>
    <d v="2023-09-20T00:00:00"/>
    <d v="2023-09-20T00:00:00"/>
    <s v="Okay"/>
    <n v="27"/>
    <x v="0"/>
    <x v="0"/>
    <x v="11"/>
    <s v="Durban"/>
    <s v="Africa→South Africa→Durban"/>
    <s v="Small Business"/>
    <x v="2"/>
    <x v="12"/>
    <x v="1"/>
    <e v="#REF!"/>
    <x v="528"/>
    <n v="1399.64"/>
    <n v="3342.11"/>
    <n v="3342.11"/>
    <s v="High"/>
    <n v="0"/>
    <n v="0"/>
    <x v="0"/>
    <n v="10"/>
    <n v="33421.1"/>
    <n v="13996.400000000001"/>
    <n v="19424.699999999997"/>
    <n v="0.58121067229983447"/>
  </r>
  <r>
    <s v="ORD-2024-532184"/>
    <x v="247"/>
    <d v="2024-01-25T00:00:00"/>
    <x v="9"/>
    <x v="4"/>
    <s v="2024"/>
    <x v="0"/>
    <d v="2024-02-08T00:00:00"/>
    <d v="2024-02-08T00:00:00"/>
    <s v="Okay"/>
    <n v="14"/>
    <x v="0"/>
    <x v="1"/>
    <x v="2"/>
    <s v="Osaka"/>
    <s v="Asia→Japan→Osaka"/>
    <s v="Consumer"/>
    <x v="2"/>
    <x v="2"/>
    <x v="2"/>
    <e v="#REF!"/>
    <x v="529"/>
    <n v="937.16"/>
    <n v="1069.77"/>
    <n v="1069.77"/>
    <s v="Low"/>
    <n v="3.7999999999999999E-2"/>
    <n v="3.7999999999999999E-2"/>
    <x v="0"/>
    <n v="9"/>
    <n v="9262.0686600000008"/>
    <n v="8434.44"/>
    <n v="827.62866000000031"/>
    <n v="8.9356783066645962E-2"/>
  </r>
  <r>
    <s v="ORD-2025-926547"/>
    <x v="418"/>
    <d v="2025-03-11T00:00:00"/>
    <x v="3"/>
    <x v="0"/>
    <s v="2025"/>
    <x v="3"/>
    <d v="2025-03-26T00:00:00"/>
    <d v="2025-03-26T00:00:00"/>
    <s v="Okay"/>
    <n v="15"/>
    <x v="0"/>
    <x v="3"/>
    <x v="6"/>
    <s v="Berlin"/>
    <s v="Europe→Germany→Berlin"/>
    <s v="Small Business"/>
    <x v="1"/>
    <x v="2"/>
    <x v="3"/>
    <e v="#REF!"/>
    <x v="530"/>
    <n v="116.97"/>
    <n v="140.82"/>
    <n v="140.82"/>
    <s v="Low"/>
    <n v="0.122"/>
    <n v="0.122"/>
    <x v="0"/>
    <n v="5"/>
    <n v="618.19979999999987"/>
    <n v="584.85"/>
    <n v="33.349799999999846"/>
    <n v="5.3946636669891926E-2"/>
  </r>
  <r>
    <s v="ORD-2025-778145"/>
    <x v="222"/>
    <d v="2025-04-22T00:00:00"/>
    <x v="19"/>
    <x v="7"/>
    <s v="2025"/>
    <x v="6"/>
    <d v="2025-05-12T00:00:00"/>
    <d v="2025-05-12T00:00:00"/>
    <s v="Okay"/>
    <n v="20"/>
    <x v="0"/>
    <x v="3"/>
    <x v="7"/>
    <s v="Lyon"/>
    <s v="Europe→France→Lyon"/>
    <s v="Enterprise"/>
    <x v="2"/>
    <x v="11"/>
    <x v="5"/>
    <e v="#REF!"/>
    <x v="531"/>
    <n v="59.51"/>
    <n v="67.040000000000006"/>
    <n v="67.040000000000006"/>
    <s v="Low"/>
    <n v="0.114"/>
    <n v="0.114"/>
    <x v="0"/>
    <n v="9"/>
    <n v="534.57695999999999"/>
    <n v="535.59"/>
    <n v="-1.0130400000000463"/>
    <n v="-1.8950311663264469E-3"/>
  </r>
  <r>
    <s v="ORD-2023-525643"/>
    <x v="419"/>
    <d v="2023-08-17T00:00:00"/>
    <x v="25"/>
    <x v="11"/>
    <s v="2023"/>
    <x v="10"/>
    <d v="2023-09-03T00:00:00"/>
    <d v="2023-09-03T00:00:00"/>
    <s v="Okay"/>
    <n v="17"/>
    <x v="0"/>
    <x v="0"/>
    <x v="11"/>
    <s v="Durban"/>
    <s v="Africa→South Africa→Durban"/>
    <s v="Enterprise"/>
    <x v="0"/>
    <x v="8"/>
    <x v="3"/>
    <e v="#REF!"/>
    <x v="532"/>
    <n v="676.37"/>
    <n v="1276.67"/>
    <n v="1276.67"/>
    <s v="Medium"/>
    <n v="6.6000000000000003E-2"/>
    <n v="6.6000000000000003E-2"/>
    <x v="0"/>
    <n v="10"/>
    <n v="11924.0978"/>
    <n v="6763.7"/>
    <n v="5160.3977999999997"/>
    <n v="0.4327705027712872"/>
  </r>
  <r>
    <s v="ORD-2025-312803"/>
    <x v="35"/>
    <d v="2025-06-24T00:00:00"/>
    <x v="16"/>
    <x v="9"/>
    <s v="2025"/>
    <x v="6"/>
    <d v="2025-07-14T00:00:00"/>
    <d v="2025-07-14T00:00:00"/>
    <s v="Okay"/>
    <n v="20"/>
    <x v="0"/>
    <x v="0"/>
    <x v="11"/>
    <s v="Johannesburg"/>
    <s v="Africa→South Africa→Johannesburg"/>
    <s v="Enterprise"/>
    <x v="2"/>
    <x v="1"/>
    <x v="4"/>
    <e v="#REF!"/>
    <x v="533"/>
    <n v="1151.06"/>
    <n v="2821.36"/>
    <n v="2821.36"/>
    <s v="High"/>
    <n v="0.248"/>
    <n v="0.248"/>
    <x v="0"/>
    <n v="20"/>
    <n v="42433.254400000005"/>
    <n v="23021.199999999997"/>
    <n v="19412.054400000008"/>
    <n v="0.45747267501594235"/>
  </r>
  <r>
    <s v="ORD-2025-149156"/>
    <x v="420"/>
    <d v="2025-01-10T00:00:00"/>
    <x v="10"/>
    <x v="4"/>
    <s v="2025"/>
    <x v="3"/>
    <d v="2025-02-06T00:00:00"/>
    <d v="2025-02-06T00:00:00"/>
    <s v="Okay"/>
    <n v="27"/>
    <x v="0"/>
    <x v="2"/>
    <x v="5"/>
    <s v="Brasília"/>
    <s v="Americas→Brazil→Brasília"/>
    <s v="Non-Profit"/>
    <x v="0"/>
    <x v="5"/>
    <x v="4"/>
    <e v="#REF!"/>
    <x v="534"/>
    <n v="725.62"/>
    <n v="1559.19"/>
    <n v="1559.19"/>
    <s v="Medium"/>
    <n v="0.19"/>
    <n v="0.19"/>
    <x v="0"/>
    <n v="12"/>
    <n v="15155.326800000001"/>
    <n v="8707.44"/>
    <n v="6447.8868000000002"/>
    <n v="0.42545349797405885"/>
  </r>
  <r>
    <s v="ORD-2023-215819"/>
    <x v="306"/>
    <d v="2023-07-01T00:00:00"/>
    <x v="24"/>
    <x v="8"/>
    <s v="2023"/>
    <x v="10"/>
    <d v="2023-07-11T00:00:00"/>
    <d v="2023-07-11T00:00:00"/>
    <s v="Okay"/>
    <n v="10"/>
    <x v="0"/>
    <x v="3"/>
    <x v="7"/>
    <s v="Paris"/>
    <s v="Europe→France→Paris"/>
    <s v="Corporate"/>
    <x v="4"/>
    <x v="9"/>
    <x v="2"/>
    <e v="#REF!"/>
    <x v="535"/>
    <n v="479.5"/>
    <n v="656.66"/>
    <n v="656.66"/>
    <s v="Low"/>
    <n v="0.14899999999999999"/>
    <n v="0.14899999999999999"/>
    <x v="0"/>
    <n v="14"/>
    <n v="7823.4472399999995"/>
    <n v="6713"/>
    <n v="1110.4472399999995"/>
    <n v="0.14193835606412289"/>
  </r>
  <r>
    <s v="ORD-2024-353078"/>
    <x v="421"/>
    <d v="2024-08-16T00:00:00"/>
    <x v="21"/>
    <x v="11"/>
    <s v="2024"/>
    <x v="9"/>
    <d v="2024-08-26T00:00:00"/>
    <d v="2024-08-26T00:00:00"/>
    <s v="Okay"/>
    <n v="10"/>
    <x v="0"/>
    <x v="2"/>
    <x v="10"/>
    <s v="Chicago"/>
    <s v="Americas→USA→Chicago"/>
    <s v="Corporate"/>
    <x v="3"/>
    <x v="4"/>
    <x v="4"/>
    <e v="#REF!"/>
    <x v="387"/>
    <n v="1291.7"/>
    <n v="2657.84"/>
    <n v="2657.84"/>
    <s v="High"/>
    <n v="8.6999999999999994E-2"/>
    <n v="8.6999999999999994E-2"/>
    <x v="0"/>
    <n v="21"/>
    <n v="50958.766320000002"/>
    <n v="27125.7"/>
    <n v="23833.066320000002"/>
    <n v="0.46769315745083367"/>
  </r>
  <r>
    <s v="ORD-2023-621393"/>
    <x v="422"/>
    <d v="2023-07-07T00:00:00"/>
    <x v="24"/>
    <x v="8"/>
    <s v="2023"/>
    <x v="10"/>
    <d v="2023-07-13T00:00:00"/>
    <d v="2023-07-13T00:00:00"/>
    <s v="Okay"/>
    <n v="6"/>
    <x v="1"/>
    <x v="0"/>
    <x v="11"/>
    <s v="Cape Town"/>
    <s v="Africa→South Africa→Cape Town"/>
    <s v="Small Business"/>
    <x v="2"/>
    <x v="5"/>
    <x v="6"/>
    <e v="#REF!"/>
    <x v="536"/>
    <n v="612.59"/>
    <n v="1424.74"/>
    <n v="1424.74"/>
    <s v="Medium"/>
    <n v="4.3999999999999997E-2"/>
    <n v="4.3999999999999997E-2"/>
    <x v="0"/>
    <n v="15"/>
    <n v="20430.771599999996"/>
    <n v="9188.85"/>
    <n v="11241.921599999996"/>
    <n v="0.55024459281802152"/>
  </r>
  <r>
    <s v="ORD-2023-974506"/>
    <x v="423"/>
    <d v="2023-12-28T00:00:00"/>
    <x v="4"/>
    <x v="3"/>
    <s v="2023"/>
    <x v="4"/>
    <d v="2024-01-01T00:00:00"/>
    <d v="2024-01-01T00:00:00"/>
    <s v="Okay"/>
    <n v="4"/>
    <x v="1"/>
    <x v="0"/>
    <x v="11"/>
    <s v="Cape Town"/>
    <s v="Africa→South Africa→Cape Town"/>
    <s v="Education"/>
    <x v="3"/>
    <x v="8"/>
    <x v="1"/>
    <e v="#REF!"/>
    <x v="537"/>
    <n v="1141.8"/>
    <n v="2318.7399999999998"/>
    <n v="2318.7399999999998"/>
    <s v="High"/>
    <n v="0.107"/>
    <n v="0.107"/>
    <x v="0"/>
    <n v="32"/>
    <n v="66260.314239999992"/>
    <n v="36537.599999999999"/>
    <n v="29722.714239999994"/>
    <n v="0.44857490612468304"/>
  </r>
  <r>
    <s v="ORD-2023-811823"/>
    <x v="424"/>
    <d v="2023-01-26T00:00:00"/>
    <x v="5"/>
    <x v="4"/>
    <s v="2023"/>
    <x v="2"/>
    <d v="2023-02-15T00:00:00"/>
    <d v="2023-02-15T00:00:00"/>
    <s v="Okay"/>
    <n v="20"/>
    <x v="0"/>
    <x v="3"/>
    <x v="6"/>
    <s v="Berlin"/>
    <s v="Europe→Germany→Berlin"/>
    <s v="Small Business"/>
    <x v="1"/>
    <x v="7"/>
    <x v="2"/>
    <e v="#REF!"/>
    <x v="538"/>
    <n v="492.62"/>
    <n v="366.7"/>
    <n v="366.7"/>
    <s v="Low"/>
    <n v="8.8999999999999996E-2"/>
    <n v="8.8999999999999996E-2"/>
    <x v="0"/>
    <n v="10"/>
    <n v="3340.6370000000002"/>
    <n v="4926.2"/>
    <n v="-1585.5629999999996"/>
    <n v="-0.47462894052840809"/>
  </r>
  <r>
    <s v="ORD-2023-286720"/>
    <x v="425"/>
    <d v="2023-07-08T00:00:00"/>
    <x v="24"/>
    <x v="8"/>
    <s v="2023"/>
    <x v="10"/>
    <d v="2023-07-09T00:00:00"/>
    <d v="2023-07-09T00:00:00"/>
    <s v="Okay"/>
    <n v="1"/>
    <x v="1"/>
    <x v="0"/>
    <x v="0"/>
    <s v="Nairobi"/>
    <s v="Africa→Kenya→Nairobi"/>
    <s v="Consumer"/>
    <x v="1"/>
    <x v="14"/>
    <x v="4"/>
    <e v="#REF!"/>
    <x v="539"/>
    <n v="1258.72"/>
    <n v="2797.41"/>
    <n v="2797.41"/>
    <s v="High"/>
    <n v="0"/>
    <n v="0"/>
    <x v="0"/>
    <n v="7"/>
    <n v="19581.87"/>
    <n v="8811.0400000000009"/>
    <n v="10770.829999999998"/>
    <n v="0.55004093071805704"/>
  </r>
  <r>
    <s v="ORD-2024-626925"/>
    <x v="116"/>
    <d v="2024-06-07T00:00:00"/>
    <x v="17"/>
    <x v="9"/>
    <s v="2024"/>
    <x v="5"/>
    <d v="2024-06-09T00:00:00"/>
    <d v="2024-06-09T00:00:00"/>
    <s v="Okay"/>
    <n v="2"/>
    <x v="1"/>
    <x v="1"/>
    <x v="9"/>
    <s v="Shanghai"/>
    <s v="Asia→China→Shanghai"/>
    <s v="Corporate"/>
    <x v="0"/>
    <x v="7"/>
    <x v="5"/>
    <e v="#REF!"/>
    <x v="540"/>
    <n v="1370.28"/>
    <n v="2209.66"/>
    <n v="2209.66"/>
    <s v="High"/>
    <n v="0.13300000000000001"/>
    <n v="0.13300000000000001"/>
    <x v="0"/>
    <n v="16"/>
    <n v="30652.403519999996"/>
    <n v="21924.48"/>
    <n v="8727.9235199999966"/>
    <n v="0.28473863442079589"/>
  </r>
  <r>
    <s v="ORD-2023-960380"/>
    <x v="426"/>
    <d v="2023-02-11T00:00:00"/>
    <x v="2"/>
    <x v="2"/>
    <s v="2023"/>
    <x v="2"/>
    <d v="2023-02-12T00:00:00"/>
    <d v="2023-02-12T00:00:00"/>
    <s v="Okay"/>
    <n v="1"/>
    <x v="1"/>
    <x v="0"/>
    <x v="1"/>
    <s v="Port Harcourt"/>
    <s v="Africa→Nigeria→Port Harcourt"/>
    <s v="Non-Profit"/>
    <x v="4"/>
    <x v="14"/>
    <x v="6"/>
    <e v="#REF!"/>
    <x v="541"/>
    <n v="944.61"/>
    <n v="839.04"/>
    <n v="839.04"/>
    <s v="Low"/>
    <n v="5.8999999999999997E-2"/>
    <n v="5.8999999999999997E-2"/>
    <x v="0"/>
    <n v="6"/>
    <n v="4737.2198399999997"/>
    <n v="5667.66"/>
    <n v="-930.44016000000011"/>
    <n v="-0.19641059343363726"/>
  </r>
  <r>
    <s v="ORD-2023-453699"/>
    <x v="306"/>
    <d v="2023-07-01T00:00:00"/>
    <x v="24"/>
    <x v="8"/>
    <s v="2023"/>
    <x v="10"/>
    <d v="2023-07-08T00:00:00"/>
    <d v="2023-07-08T00:00:00"/>
    <s v="Okay"/>
    <n v="7"/>
    <x v="1"/>
    <x v="3"/>
    <x v="6"/>
    <s v="Frankfurt"/>
    <s v="Europe→Germany→Frankfurt"/>
    <s v="Small Business"/>
    <x v="3"/>
    <x v="13"/>
    <x v="4"/>
    <e v="#REF!"/>
    <x v="542"/>
    <n v="460.21"/>
    <n v="1139.1500000000001"/>
    <n v="1139.1500000000001"/>
    <s v="Low"/>
    <n v="0.115"/>
    <n v="0.115"/>
    <x v="0"/>
    <n v="14"/>
    <n v="14114.068500000001"/>
    <n v="6442.94"/>
    <n v="7671.1285000000016"/>
    <n v="0.54350937151821255"/>
  </r>
  <r>
    <s v="ORD-2025-960931"/>
    <x v="427"/>
    <d v="2025-08-20T00:00:00"/>
    <x v="28"/>
    <x v="11"/>
    <s v="2025"/>
    <x v="7"/>
    <d v="2025-08-26T00:00:00"/>
    <d v="2025-08-26T00:00:00"/>
    <s v="Okay"/>
    <n v="6"/>
    <x v="1"/>
    <x v="2"/>
    <x v="10"/>
    <s v="New York"/>
    <s v="Americas→USA→New York"/>
    <s v="Corporate"/>
    <x v="0"/>
    <x v="12"/>
    <x v="2"/>
    <e v="#REF!"/>
    <x v="543"/>
    <n v="1304.95"/>
    <n v="1712.03"/>
    <n v="1712.03"/>
    <s v="Medium"/>
    <n v="0.21199999999999999"/>
    <n v="0.21199999999999999"/>
    <x v="0"/>
    <n v="8"/>
    <n v="10792.637119999999"/>
    <n v="10439.6"/>
    <n v="353.03711999999905"/>
    <n v="3.2710922833287949E-2"/>
  </r>
  <r>
    <s v="ORD-2024-419248"/>
    <x v="428"/>
    <d v="2024-03-04T00:00:00"/>
    <x v="0"/>
    <x v="0"/>
    <s v="2024"/>
    <x v="0"/>
    <d v="2024-03-16T00:00:00"/>
    <d v="2024-03-16T00:00:00"/>
    <s v="Okay"/>
    <n v="12"/>
    <x v="0"/>
    <x v="0"/>
    <x v="11"/>
    <s v="Johannesburg"/>
    <s v="Africa→South Africa→Johannesburg"/>
    <s v="Enterprise"/>
    <x v="3"/>
    <x v="12"/>
    <x v="5"/>
    <e v="#REF!"/>
    <x v="544"/>
    <n v="441.08"/>
    <n v="1054.29"/>
    <n v="1054.29"/>
    <s v="Low"/>
    <n v="0.23699999999999999"/>
    <n v="0.23699999999999999"/>
    <x v="0"/>
    <n v="6"/>
    <n v="4826.5396199999996"/>
    <n v="2646.48"/>
    <n v="2180.0596199999995"/>
    <n v="0.45168169985932899"/>
  </r>
  <r>
    <s v="ORD-2023-488227"/>
    <x v="429"/>
    <d v="2023-09-08T00:00:00"/>
    <x v="27"/>
    <x v="6"/>
    <s v="2023"/>
    <x v="10"/>
    <d v="2023-10-02T00:00:00"/>
    <d v="2023-10-02T00:00:00"/>
    <s v="Okay"/>
    <n v="24"/>
    <x v="0"/>
    <x v="2"/>
    <x v="3"/>
    <s v="Toronto"/>
    <s v="Americas→Canada→Toronto"/>
    <s v="Education"/>
    <x v="4"/>
    <x v="8"/>
    <x v="6"/>
    <e v="#REF!"/>
    <x v="545"/>
    <n v="1299.03"/>
    <n v="2451.2199999999998"/>
    <n v="2451.2199999999998"/>
    <s v="High"/>
    <n v="0.20799999999999999"/>
    <n v="0.20799999999999999"/>
    <x v="0"/>
    <n v="8"/>
    <n v="15530.929919999999"/>
    <n v="10392.24"/>
    <n v="5138.6899199999989"/>
    <n v="0.3308681416032041"/>
  </r>
  <r>
    <s v="ORD-2023-472078"/>
    <x v="2"/>
    <d v="2023-02-28T00:00:00"/>
    <x v="2"/>
    <x v="2"/>
    <s v="2023"/>
    <x v="2"/>
    <d v="2023-03-06T00:00:00"/>
    <d v="2023-03-06T00:00:00"/>
    <s v="Okay"/>
    <n v="6"/>
    <x v="1"/>
    <x v="3"/>
    <x v="6"/>
    <s v="Frankfurt"/>
    <s v="Europe→Germany→Frankfurt"/>
    <s v="Small Business"/>
    <x v="2"/>
    <x v="14"/>
    <x v="1"/>
    <e v="#REF!"/>
    <x v="546"/>
    <n v="880.02"/>
    <n v="1251.21"/>
    <n v="1251.21"/>
    <s v="Medium"/>
    <n v="0.123"/>
    <n v="0.123"/>
    <x v="0"/>
    <n v="29"/>
    <n v="31822.023930000003"/>
    <n v="25520.579999999998"/>
    <n v="6301.4439300000049"/>
    <n v="0.19802146915172672"/>
  </r>
  <r>
    <s v="ORD-2024-202877"/>
    <x v="293"/>
    <d v="2024-07-13T00:00:00"/>
    <x v="14"/>
    <x v="8"/>
    <s v="2024"/>
    <x v="9"/>
    <d v="2024-08-03T00:00:00"/>
    <d v="2024-08-03T00:00:00"/>
    <s v="Okay"/>
    <n v="21"/>
    <x v="0"/>
    <x v="2"/>
    <x v="5"/>
    <s v="Rio de Janeiro"/>
    <s v="Americas→Brazil→Rio de Janeiro"/>
    <s v="Corporate"/>
    <x v="2"/>
    <x v="12"/>
    <x v="5"/>
    <e v="#REF!"/>
    <x v="547"/>
    <n v="702.98"/>
    <n v="1104.8"/>
    <n v="1104.8"/>
    <s v="Low"/>
    <n v="0.17499999999999999"/>
    <n v="0.17499999999999999"/>
    <x v="0"/>
    <n v="12"/>
    <n v="10937.519999999999"/>
    <n v="8435.76"/>
    <n v="2501.7599999999984"/>
    <n v="0.22873192460448061"/>
  </r>
  <r>
    <s v="ORD-2024-140633"/>
    <x v="430"/>
    <d v="2024-12-07T00:00:00"/>
    <x v="6"/>
    <x v="3"/>
    <s v="2024"/>
    <x v="1"/>
    <d v="2024-12-26T00:00:00"/>
    <d v="2024-12-26T00:00:00"/>
    <s v="Okay"/>
    <n v="19"/>
    <x v="0"/>
    <x v="3"/>
    <x v="8"/>
    <s v="London"/>
    <s v="Europe→United Kingdom→London"/>
    <s v="Enterprise"/>
    <x v="1"/>
    <x v="14"/>
    <x v="2"/>
    <e v="#REF!"/>
    <x v="548"/>
    <n v="1035.24"/>
    <n v="2383.41"/>
    <n v="2383.41"/>
    <s v="High"/>
    <n v="0.17"/>
    <n v="0.17"/>
    <x v="0"/>
    <n v="15"/>
    <n v="29673.454499999993"/>
    <n v="15528.6"/>
    <n v="14144.854499999992"/>
    <n v="0.47668378145860962"/>
  </r>
  <r>
    <s v="ORD-2025-419532"/>
    <x v="431"/>
    <d v="2025-08-06T00:00:00"/>
    <x v="28"/>
    <x v="11"/>
    <s v="2025"/>
    <x v="7"/>
    <d v="2025-08-23T00:00:00"/>
    <d v="2025-08-23T00:00:00"/>
    <s v="Okay"/>
    <n v="17"/>
    <x v="0"/>
    <x v="2"/>
    <x v="5"/>
    <s v="Brasília"/>
    <s v="Americas→Brazil→Brasília"/>
    <s v="Consumer"/>
    <x v="3"/>
    <x v="8"/>
    <x v="5"/>
    <e v="#REF!"/>
    <x v="549"/>
    <n v="86.64"/>
    <n v="213.06"/>
    <n v="213.06"/>
    <s v="Low"/>
    <n v="0.21199999999999999"/>
    <n v="0.21199999999999999"/>
    <x v="0"/>
    <n v="11"/>
    <n v="1846.8040799999999"/>
    <n v="953.04"/>
    <n v="893.76407999999992"/>
    <n v="0.48395175735154322"/>
  </r>
  <r>
    <s v="ORD-2023-139236"/>
    <x v="432"/>
    <d v="2023-03-03T00:00:00"/>
    <x v="22"/>
    <x v="0"/>
    <s v="2023"/>
    <x v="2"/>
    <d v="2023-03-20T00:00:00"/>
    <d v="2023-03-20T00:00:00"/>
    <s v="Okay"/>
    <n v="17"/>
    <x v="0"/>
    <x v="1"/>
    <x v="2"/>
    <s v="Nagoya"/>
    <s v="Asia→Japan→Nagoya"/>
    <s v="Small Business"/>
    <x v="1"/>
    <x v="14"/>
    <x v="2"/>
    <e v="#REF!"/>
    <x v="550"/>
    <n v="1171.17"/>
    <n v="2030.64"/>
    <n v="2030.64"/>
    <s v="High"/>
    <n v="0.157"/>
    <n v="0.157"/>
    <x v="0"/>
    <n v="11"/>
    <n v="18830.12472"/>
    <n v="12882.87"/>
    <n v="5947.254719999999"/>
    <n v="0.31583724528830415"/>
  </r>
  <r>
    <s v="ORD-2025-337268"/>
    <x v="433"/>
    <d v="2025-02-16T00:00:00"/>
    <x v="26"/>
    <x v="2"/>
    <s v="2025"/>
    <x v="3"/>
    <d v="2025-03-17T00:00:00"/>
    <d v="2025-03-17T00:00:00"/>
    <s v="Okay"/>
    <n v="29"/>
    <x v="0"/>
    <x v="3"/>
    <x v="6"/>
    <s v="Munich"/>
    <s v="Europe→Germany→Munich"/>
    <s v="Consumer"/>
    <x v="0"/>
    <x v="4"/>
    <x v="6"/>
    <e v="#REF!"/>
    <x v="551"/>
    <n v="730.42"/>
    <n v="956.7"/>
    <n v="956.7"/>
    <s v="Low"/>
    <n v="4.2000000000000003E-2"/>
    <n v="4.2000000000000003E-2"/>
    <x v="0"/>
    <n v="22"/>
    <n v="20163.409200000002"/>
    <n v="16069.24"/>
    <n v="4094.1692000000021"/>
    <n v="0.20304945256975698"/>
  </r>
  <r>
    <s v="ORD-2025-332931"/>
    <x v="146"/>
    <d v="2025-02-15T00:00:00"/>
    <x v="26"/>
    <x v="2"/>
    <s v="2025"/>
    <x v="3"/>
    <d v="2025-03-01T00:00:00"/>
    <d v="2025-03-01T00:00:00"/>
    <s v="Okay"/>
    <n v="14"/>
    <x v="0"/>
    <x v="0"/>
    <x v="0"/>
    <s v="Mombasa"/>
    <s v="Africa→Kenya→Mombasa"/>
    <s v="Education"/>
    <x v="4"/>
    <x v="4"/>
    <x v="6"/>
    <e v="#REF!"/>
    <x v="552"/>
    <n v="1162.8599999999999"/>
    <n v="1447.68"/>
    <n v="1447.68"/>
    <s v="Medium"/>
    <n v="8.6999999999999994E-2"/>
    <n v="8.6999999999999994E-2"/>
    <x v="0"/>
    <n v="12"/>
    <n v="15860.782080000001"/>
    <n v="13954.32"/>
    <n v="1906.4620800000012"/>
    <n v="0.12019975247021369"/>
  </r>
  <r>
    <s v="ORD-2024-536442"/>
    <x v="434"/>
    <d v="2024-08-31T00:00:00"/>
    <x v="21"/>
    <x v="11"/>
    <s v="2024"/>
    <x v="9"/>
    <d v="2024-09-26T00:00:00"/>
    <d v="2024-09-26T00:00:00"/>
    <s v="Okay"/>
    <n v="26"/>
    <x v="0"/>
    <x v="1"/>
    <x v="2"/>
    <s v="Tokyo"/>
    <s v="Asia→Japan→Tokyo"/>
    <s v="Education"/>
    <x v="1"/>
    <x v="2"/>
    <x v="3"/>
    <e v="#REF!"/>
    <x v="553"/>
    <n v="1189.03"/>
    <n v="2949.62"/>
    <n v="2949.62"/>
    <s v="High"/>
    <n v="0.125"/>
    <n v="0.125"/>
    <x v="0"/>
    <n v="13"/>
    <n v="33551.927499999998"/>
    <n v="15457.39"/>
    <n v="18094.537499999999"/>
    <n v="0.53929949330034765"/>
  </r>
  <r>
    <s v="ORD-2023-957692"/>
    <x v="239"/>
    <d v="2023-05-07T00:00:00"/>
    <x v="15"/>
    <x v="5"/>
    <s v="2023"/>
    <x v="8"/>
    <d v="2023-05-20T00:00:00"/>
    <d v="2023-05-20T00:00:00"/>
    <s v="Okay"/>
    <n v="13"/>
    <x v="0"/>
    <x v="1"/>
    <x v="4"/>
    <s v="Mumbai"/>
    <s v="Asia→India→Mumbai"/>
    <s v="Enterprise"/>
    <x v="0"/>
    <x v="14"/>
    <x v="6"/>
    <e v="#REF!"/>
    <x v="554"/>
    <n v="1443.28"/>
    <n v="2580.5700000000002"/>
    <n v="2580.5700000000002"/>
    <s v="High"/>
    <n v="0"/>
    <n v="0"/>
    <x v="0"/>
    <n v="18"/>
    <n v="46450.26"/>
    <n v="25979.040000000001"/>
    <n v="20471.22"/>
    <n v="0.4407127107577008"/>
  </r>
  <r>
    <s v="ORD-2025-874124"/>
    <x v="78"/>
    <d v="2025-05-12T00:00:00"/>
    <x v="8"/>
    <x v="5"/>
    <s v="2025"/>
    <x v="6"/>
    <d v="2025-05-12T00:00:00"/>
    <d v="2025-05-21T00:00:00"/>
    <s v="Invalid"/>
    <n v="9"/>
    <x v="0"/>
    <x v="2"/>
    <x v="3"/>
    <s v="Vancouver"/>
    <s v="Americas→Canada→Vancouver"/>
    <s v="Non-Profit"/>
    <x v="3"/>
    <x v="9"/>
    <x v="1"/>
    <e v="#REF!"/>
    <x v="555"/>
    <n v="883.5"/>
    <n v="1978.91"/>
    <n v="1978.91"/>
    <s v="High"/>
    <n v="5.3999999999999999E-2"/>
    <n v="5.3999999999999999E-2"/>
    <x v="0"/>
    <n v="27"/>
    <n v="50545.319219999998"/>
    <n v="23854.5"/>
    <n v="26690.819219999998"/>
    <n v="0.52805718970390547"/>
  </r>
  <r>
    <s v="ORD-2024-687073"/>
    <x v="0"/>
    <d v="2024-03-11T00:00:00"/>
    <x v="0"/>
    <x v="0"/>
    <s v="2024"/>
    <x v="0"/>
    <d v="2024-03-29T00:00:00"/>
    <d v="2024-03-29T00:00:00"/>
    <s v="Okay"/>
    <n v="18"/>
    <x v="0"/>
    <x v="2"/>
    <x v="10"/>
    <s v="New York"/>
    <s v="Americas→USA→New York"/>
    <s v="Corporate"/>
    <x v="0"/>
    <x v="12"/>
    <x v="5"/>
    <e v="#REF!"/>
    <x v="556"/>
    <n v="710.98"/>
    <n v="1481.45"/>
    <n v="1481.45"/>
    <s v="Medium"/>
    <n v="0.21099999999999999"/>
    <n v="0.21099999999999999"/>
    <x v="0"/>
    <n v="9"/>
    <n v="10519.776450000001"/>
    <n v="6398.82"/>
    <n v="4120.9564500000015"/>
    <n v="0.39173422264120461"/>
  </r>
  <r>
    <s v="ORD-2024-555229"/>
    <x v="22"/>
    <d v="2024-05-18T00:00:00"/>
    <x v="7"/>
    <x v="5"/>
    <s v="2024"/>
    <x v="5"/>
    <d v="2024-05-22T00:00:00"/>
    <d v="2024-05-22T00:00:00"/>
    <s v="Okay"/>
    <n v="4"/>
    <x v="1"/>
    <x v="0"/>
    <x v="0"/>
    <s v="Nairobi"/>
    <s v="Africa→Kenya→Nairobi"/>
    <s v="Corporate"/>
    <x v="4"/>
    <x v="10"/>
    <x v="6"/>
    <e v="#REF!"/>
    <x v="557"/>
    <n v="857.42"/>
    <n v="1658.92"/>
    <n v="1658.92"/>
    <s v="Medium"/>
    <n v="0.122"/>
    <n v="0.122"/>
    <x v="0"/>
    <n v="9"/>
    <n v="13108.78584"/>
    <n v="7716.78"/>
    <n v="5392.0058400000007"/>
    <n v="0.41132763215544305"/>
  </r>
  <r>
    <s v="ORD-2024-872291"/>
    <x v="435"/>
    <d v="2024-01-08T00:00:00"/>
    <x v="9"/>
    <x v="4"/>
    <s v="2024"/>
    <x v="0"/>
    <d v="2024-01-12T00:00:00"/>
    <d v="2024-01-12T00:00:00"/>
    <s v="Okay"/>
    <n v="4"/>
    <x v="1"/>
    <x v="1"/>
    <x v="4"/>
    <s v="Bengaluru"/>
    <s v="Asia→India→Bengaluru"/>
    <s v="Corporate"/>
    <x v="4"/>
    <x v="6"/>
    <x v="1"/>
    <e v="#REF!"/>
    <x v="558"/>
    <n v="802.32"/>
    <n v="602.34"/>
    <n v="602.34"/>
    <s v="Low"/>
    <n v="0.12"/>
    <n v="0.12"/>
    <x v="0"/>
    <n v="25"/>
    <n v="13251.48"/>
    <n v="20058"/>
    <n v="-6806.52"/>
    <n v="-0.51364224977134632"/>
  </r>
  <r>
    <s v="ORD-2024-250862"/>
    <x v="40"/>
    <d v="2024-10-25T00:00:00"/>
    <x v="1"/>
    <x v="1"/>
    <s v="2024"/>
    <x v="1"/>
    <d v="2024-11-05T00:00:00"/>
    <d v="2024-11-05T00:00:00"/>
    <s v="Okay"/>
    <n v="11"/>
    <x v="0"/>
    <x v="2"/>
    <x v="10"/>
    <s v="New York"/>
    <s v="Americas→USA→New York"/>
    <s v="Corporate"/>
    <x v="3"/>
    <x v="13"/>
    <x v="0"/>
    <e v="#REF!"/>
    <x v="559"/>
    <n v="446.66"/>
    <n v="527.64"/>
    <n v="527.64"/>
    <s v="Low"/>
    <n v="0.14499999999999999"/>
    <n v="0.14499999999999999"/>
    <x v="0"/>
    <n v="15"/>
    <n v="6766.9829999999993"/>
    <n v="6699.9000000000005"/>
    <n v="67.082999999998719"/>
    <n v="9.9132804087137105E-3"/>
  </r>
  <r>
    <s v="ORD-2024-331226"/>
    <x v="25"/>
    <d v="2024-11-30T00:00:00"/>
    <x v="18"/>
    <x v="10"/>
    <s v="2024"/>
    <x v="1"/>
    <d v="2024-12-19T00:00:00"/>
    <d v="2024-12-19T00:00:00"/>
    <s v="Okay"/>
    <n v="19"/>
    <x v="0"/>
    <x v="0"/>
    <x v="0"/>
    <s v="Kisumu"/>
    <s v="Africa→Kenya→Kisumu"/>
    <s v="Corporate"/>
    <x v="1"/>
    <x v="4"/>
    <x v="3"/>
    <e v="#REF!"/>
    <x v="560"/>
    <n v="1195.98"/>
    <n v="1841.9"/>
    <n v="1841.9"/>
    <s v="Medium"/>
    <n v="5.5E-2"/>
    <n v="5.5E-2"/>
    <x v="0"/>
    <n v="19"/>
    <n v="33071.3145"/>
    <n v="22723.62"/>
    <n v="10347.694500000001"/>
    <n v="0.31289032977506842"/>
  </r>
  <r>
    <s v="ORD-2023-356427"/>
    <x v="290"/>
    <d v="2023-04-13T00:00:00"/>
    <x v="12"/>
    <x v="7"/>
    <s v="2023"/>
    <x v="8"/>
    <d v="2023-05-02T00:00:00"/>
    <d v="2023-05-02T00:00:00"/>
    <s v="Okay"/>
    <n v="19"/>
    <x v="0"/>
    <x v="2"/>
    <x v="3"/>
    <s v="Montreal"/>
    <s v="Americas→Canada→Montreal"/>
    <s v="Consumer"/>
    <x v="3"/>
    <x v="6"/>
    <x v="5"/>
    <e v="#REF!"/>
    <x v="561"/>
    <n v="671.05"/>
    <n v="1645.48"/>
    <n v="1645.48"/>
    <s v="Medium"/>
    <n v="0.13700000000000001"/>
    <n v="0.13700000000000001"/>
    <x v="0"/>
    <n v="6"/>
    <n v="8520.2954399999999"/>
    <n v="4026.2999999999997"/>
    <n v="4493.9954400000006"/>
    <n v="0.52744596377517172"/>
  </r>
  <r>
    <s v="ORD-2025-659650"/>
    <x v="185"/>
    <d v="2025-02-04T00:00:00"/>
    <x v="26"/>
    <x v="2"/>
    <s v="2025"/>
    <x v="3"/>
    <d v="2025-02-08T00:00:00"/>
    <d v="2025-02-08T00:00:00"/>
    <s v="Okay"/>
    <n v="4"/>
    <x v="1"/>
    <x v="3"/>
    <x v="8"/>
    <s v="Manchester"/>
    <s v="Europe→United Kingdom→Manchester"/>
    <s v="Enterprise"/>
    <x v="2"/>
    <x v="4"/>
    <x v="2"/>
    <e v="#REF!"/>
    <x v="562"/>
    <n v="586.21"/>
    <n v="727.22"/>
    <n v="727.22"/>
    <s v="Low"/>
    <n v="6.8000000000000005E-2"/>
    <n v="6.8000000000000005E-2"/>
    <x v="0"/>
    <n v="15"/>
    <n v="10166.535600000001"/>
    <n v="8793.1500000000015"/>
    <n v="1373.3855999999996"/>
    <n v="0.13508884973559721"/>
  </r>
  <r>
    <s v="ORD-2024-207669"/>
    <x v="436"/>
    <d v="2024-01-24T00:00:00"/>
    <x v="9"/>
    <x v="4"/>
    <s v="2024"/>
    <x v="0"/>
    <d v="2024-02-04T00:00:00"/>
    <d v="2024-02-04T00:00:00"/>
    <s v="Okay"/>
    <n v="11"/>
    <x v="0"/>
    <x v="3"/>
    <x v="8"/>
    <s v="Manchester"/>
    <s v="Europe→United Kingdom→Manchester"/>
    <s v="Consumer"/>
    <x v="0"/>
    <x v="5"/>
    <x v="4"/>
    <e v="#REF!"/>
    <x v="563"/>
    <n v="525.34"/>
    <n v="1233.79"/>
    <n v="1233.79"/>
    <s v="Medium"/>
    <n v="0.14299999999999999"/>
    <n v="0.14299999999999999"/>
    <x v="0"/>
    <n v="4"/>
    <n v="4229.4321199999995"/>
    <n v="2101.36"/>
    <n v="2128.0721199999994"/>
    <n v="0.50315788494082736"/>
  </r>
  <r>
    <s v="ORD-2024-979401"/>
    <x v="437"/>
    <d v="2024-02-08T00:00:00"/>
    <x v="31"/>
    <x v="2"/>
    <s v="2024"/>
    <x v="0"/>
    <d v="2024-02-09T00:00:00"/>
    <d v="2024-02-09T00:00:00"/>
    <s v="Okay"/>
    <n v="1"/>
    <x v="1"/>
    <x v="0"/>
    <x v="0"/>
    <s v="Mombasa"/>
    <s v="Africa→Kenya→Mombasa"/>
    <s v="Corporate"/>
    <x v="4"/>
    <x v="9"/>
    <x v="0"/>
    <e v="#REF!"/>
    <x v="564"/>
    <n v="1233.52"/>
    <n v="1543.76"/>
    <n v="1543.76"/>
    <s v="Medium"/>
    <n v="0.126"/>
    <n v="0.126"/>
    <x v="0"/>
    <n v="13"/>
    <n v="17540.201120000002"/>
    <n v="16035.76"/>
    <n v="1504.4411200000013"/>
    <n v="8.5771030201277493E-2"/>
  </r>
  <r>
    <s v="ORD-2025-929414"/>
    <x v="438"/>
    <d v="2025-06-26T00:00:00"/>
    <x v="16"/>
    <x v="9"/>
    <s v="2025"/>
    <x v="6"/>
    <d v="2025-07-11T00:00:00"/>
    <d v="2025-07-11T00:00:00"/>
    <s v="Okay"/>
    <n v="15"/>
    <x v="0"/>
    <x v="0"/>
    <x v="1"/>
    <s v="Port Harcourt"/>
    <s v="Africa→Nigeria→Port Harcourt"/>
    <s v="Small Business"/>
    <x v="1"/>
    <x v="8"/>
    <x v="4"/>
    <e v="#REF!"/>
    <x v="565"/>
    <n v="1170.1500000000001"/>
    <n v="2115.19"/>
    <n v="2115.19"/>
    <s v="High"/>
    <n v="9.1999999999999998E-2"/>
    <n v="9.1999999999999998E-2"/>
    <x v="0"/>
    <n v="23"/>
    <n v="44173.627960000005"/>
    <n v="26913.45"/>
    <n v="17260.177960000005"/>
    <n v="0.39073489674946776"/>
  </r>
  <r>
    <s v="ORD-2024-766980"/>
    <x v="273"/>
    <d v="2024-11-04T00:00:00"/>
    <x v="18"/>
    <x v="10"/>
    <s v="2024"/>
    <x v="1"/>
    <d v="2024-11-07T00:00:00"/>
    <d v="2024-11-07T00:00:00"/>
    <s v="Okay"/>
    <n v="3"/>
    <x v="1"/>
    <x v="3"/>
    <x v="7"/>
    <s v="Lyon"/>
    <s v="Europe→France→Lyon"/>
    <s v="Corporate"/>
    <x v="1"/>
    <x v="7"/>
    <x v="5"/>
    <e v="#REF!"/>
    <x v="566"/>
    <n v="740.68"/>
    <n v="1837.19"/>
    <n v="1837.19"/>
    <s v="Medium"/>
    <n v="0.19700000000000001"/>
    <n v="0.19700000000000001"/>
    <x v="0"/>
    <n v="17"/>
    <n v="25079.480689999997"/>
    <n v="12591.56"/>
    <n v="12487.920689999997"/>
    <n v="0.4979337827748298"/>
  </r>
  <r>
    <s v="ORD-2024-437164"/>
    <x v="439"/>
    <d v="2024-02-20T00:00:00"/>
    <x v="31"/>
    <x v="2"/>
    <s v="2024"/>
    <x v="0"/>
    <d v="2024-02-20T00:00:00"/>
    <d v="2024-02-20T00:00:00"/>
    <s v="Okay"/>
    <n v="0"/>
    <x v="1"/>
    <x v="2"/>
    <x v="10"/>
    <s v="New York"/>
    <s v="Americas→USA→New York"/>
    <s v="Enterprise"/>
    <x v="1"/>
    <x v="0"/>
    <x v="2"/>
    <e v="#REF!"/>
    <x v="567"/>
    <n v="1407.05"/>
    <n v="2858.93"/>
    <n v="2858.93"/>
    <s v="High"/>
    <n v="0"/>
    <n v="0"/>
    <x v="0"/>
    <n v="12"/>
    <n v="34307.159999999996"/>
    <n v="16884.599999999999"/>
    <n v="17422.559999999998"/>
    <n v="0.50784034586366222"/>
  </r>
  <r>
    <s v="ORD-2025-169093"/>
    <x v="440"/>
    <d v="2025-04-13T00:00:00"/>
    <x v="19"/>
    <x v="7"/>
    <s v="2025"/>
    <x v="6"/>
    <d v="2025-04-14T00:00:00"/>
    <d v="2025-04-14T00:00:00"/>
    <s v="Okay"/>
    <n v="1"/>
    <x v="1"/>
    <x v="1"/>
    <x v="2"/>
    <s v="Osaka"/>
    <s v="Asia→Japan→Osaka"/>
    <s v="Enterprise"/>
    <x v="1"/>
    <x v="3"/>
    <x v="0"/>
    <e v="#REF!"/>
    <x v="568"/>
    <n v="138.9"/>
    <n v="289.92"/>
    <n v="289.92"/>
    <s v="Low"/>
    <n v="2.9000000000000001E-2"/>
    <n v="2.9000000000000001E-2"/>
    <x v="0"/>
    <n v="12"/>
    <n v="3378.1478400000001"/>
    <n v="1666.8000000000002"/>
    <n v="1711.3478399999999"/>
    <n v="0.50659353025828491"/>
  </r>
  <r>
    <s v="ORD-2023-868460"/>
    <x v="408"/>
    <d v="2023-06-01T00:00:00"/>
    <x v="23"/>
    <x v="9"/>
    <s v="2023"/>
    <x v="8"/>
    <d v="2023-06-01T00:00:00"/>
    <d v="2023-06-01T00:00:00"/>
    <s v="Okay"/>
    <n v="0"/>
    <x v="1"/>
    <x v="1"/>
    <x v="4"/>
    <s v="Bengaluru"/>
    <s v="Asia→India→Bengaluru"/>
    <s v="Corporate"/>
    <x v="0"/>
    <x v="6"/>
    <x v="6"/>
    <e v="#REF!"/>
    <x v="569"/>
    <n v="669.37"/>
    <n v="997.2"/>
    <n v="997.2"/>
    <s v="Low"/>
    <n v="8.2000000000000003E-2"/>
    <n v="8.2000000000000003E-2"/>
    <x v="0"/>
    <n v="5"/>
    <n v="4577.1480000000001"/>
    <n v="3346.85"/>
    <n v="1230.2980000000002"/>
    <n v="0.26879139586484863"/>
  </r>
  <r>
    <s v="ORD-2025-177994"/>
    <x v="401"/>
    <d v="2025-03-24T00:00:00"/>
    <x v="3"/>
    <x v="0"/>
    <s v="2025"/>
    <x v="3"/>
    <d v="2025-04-04T00:00:00"/>
    <d v="2025-04-04T00:00:00"/>
    <s v="Okay"/>
    <n v="11"/>
    <x v="0"/>
    <x v="1"/>
    <x v="4"/>
    <s v="Mumbai"/>
    <s v="Asia→India→Mumbai"/>
    <s v="Education"/>
    <x v="2"/>
    <x v="1"/>
    <x v="3"/>
    <e v="#REF!"/>
    <x v="570"/>
    <n v="23.83"/>
    <n v="47.29"/>
    <n v="47.29"/>
    <s v="Low"/>
    <n v="6.4000000000000001E-2"/>
    <n v="6.4000000000000001E-2"/>
    <x v="0"/>
    <n v="19"/>
    <n v="841.00536"/>
    <n v="452.77"/>
    <n v="388.23536000000001"/>
    <n v="0.46163244429262618"/>
  </r>
  <r>
    <s v="ORD-2024-355095"/>
    <x v="279"/>
    <d v="2024-01-02T00:00:00"/>
    <x v="9"/>
    <x v="4"/>
    <s v="2024"/>
    <x v="0"/>
    <d v="2024-01-02T00:00:00"/>
    <d v="2024-01-02T00:00:00"/>
    <s v="Okay"/>
    <n v="0"/>
    <x v="1"/>
    <x v="2"/>
    <x v="3"/>
    <s v="Vancouver"/>
    <s v="Americas→Canada→Vancouver"/>
    <s v="Education"/>
    <x v="4"/>
    <x v="8"/>
    <x v="4"/>
    <e v="#REF!"/>
    <x v="571"/>
    <n v="444.41"/>
    <n v="754.24"/>
    <n v="754.24"/>
    <s v="Low"/>
    <n v="0.20699999999999999"/>
    <n v="0.20699999999999999"/>
    <x v="0"/>
    <n v="32"/>
    <n v="19139.594240000002"/>
    <n v="14221.12"/>
    <n v="4918.4742400000014"/>
    <n v="0.25697902360546598"/>
  </r>
  <r>
    <s v="ORD-2023-126505"/>
    <x v="202"/>
    <d v="2023-12-19T00:00:00"/>
    <x v="4"/>
    <x v="3"/>
    <s v="2023"/>
    <x v="4"/>
    <d v="2024-01-01T00:00:00"/>
    <d v="2024-01-01T00:00:00"/>
    <s v="Okay"/>
    <n v="13"/>
    <x v="0"/>
    <x v="2"/>
    <x v="3"/>
    <s v="Toronto"/>
    <s v="Americas→Canada→Toronto"/>
    <s v="Enterprise"/>
    <x v="0"/>
    <x v="11"/>
    <x v="5"/>
    <e v="#REF!"/>
    <x v="572"/>
    <n v="856.1"/>
    <n v="901.48"/>
    <n v="901.48"/>
    <s v="Low"/>
    <n v="5.6000000000000001E-2"/>
    <n v="5.6000000000000001E-2"/>
    <x v="0"/>
    <n v="17"/>
    <n v="14466.95104"/>
    <n v="14553.7"/>
    <n v="-86.748960000000807"/>
    <n v="-5.9963540182134192E-3"/>
  </r>
  <r>
    <s v="ORD-2023-340056"/>
    <x v="441"/>
    <d v="2023-04-26T00:00:00"/>
    <x v="12"/>
    <x v="7"/>
    <s v="2023"/>
    <x v="8"/>
    <d v="2023-04-26T00:00:00"/>
    <d v="2023-04-26T00:00:00"/>
    <s v="Okay"/>
    <n v="0"/>
    <x v="1"/>
    <x v="3"/>
    <x v="7"/>
    <s v="Marseille"/>
    <s v="Europe→France→Marseille"/>
    <s v="Consumer"/>
    <x v="4"/>
    <x v="12"/>
    <x v="0"/>
    <e v="#REF!"/>
    <x v="573"/>
    <n v="81.489999999999995"/>
    <n v="113.08"/>
    <n v="113.08"/>
    <s v="Low"/>
    <n v="0.121"/>
    <n v="0.121"/>
    <x v="0"/>
    <n v="5"/>
    <n v="496.98660000000001"/>
    <n v="407.45"/>
    <n v="89.536600000000021"/>
    <n v="0.18015898215364362"/>
  </r>
  <r>
    <s v="ORD-2025-281413"/>
    <x v="442"/>
    <d v="2025-08-03T00:00:00"/>
    <x v="28"/>
    <x v="11"/>
    <s v="2025"/>
    <x v="7"/>
    <d v="2025-08-16T00:00:00"/>
    <d v="2025-08-16T00:00:00"/>
    <s v="Okay"/>
    <n v="13"/>
    <x v="0"/>
    <x v="2"/>
    <x v="3"/>
    <s v="Montreal"/>
    <s v="Americas→Canada→Montreal"/>
    <s v="Enterprise"/>
    <x v="3"/>
    <x v="7"/>
    <x v="2"/>
    <e v="#REF!"/>
    <x v="574"/>
    <n v="698.66"/>
    <n v="868.62"/>
    <n v="868.62"/>
    <s v="Low"/>
    <n v="7.1999999999999995E-2"/>
    <n v="7.1999999999999995E-2"/>
    <x v="0"/>
    <n v="15"/>
    <n v="12091.190399999999"/>
    <n v="10479.9"/>
    <n v="1611.2903999999999"/>
    <n v="0.13326151906432637"/>
  </r>
  <r>
    <s v="ORD-2023-713614"/>
    <x v="443"/>
    <d v="2023-08-02T00:00:00"/>
    <x v="25"/>
    <x v="11"/>
    <s v="2023"/>
    <x v="10"/>
    <d v="2023-08-19T00:00:00"/>
    <d v="2023-08-19T00:00:00"/>
    <s v="Okay"/>
    <n v="17"/>
    <x v="0"/>
    <x v="2"/>
    <x v="3"/>
    <s v="Vancouver"/>
    <s v="Americas→Canada→Vancouver"/>
    <s v="Corporate"/>
    <x v="1"/>
    <x v="9"/>
    <x v="2"/>
    <e v="#REF!"/>
    <x v="575"/>
    <n v="175.38"/>
    <n v="347.9"/>
    <n v="347.9"/>
    <s v="Low"/>
    <n v="7.1999999999999995E-2"/>
    <n v="7.1999999999999995E-2"/>
    <x v="0"/>
    <n v="43"/>
    <n v="13882.6016"/>
    <n v="7541.34"/>
    <n v="6341.2615999999998"/>
    <n v="0.45677761148169804"/>
  </r>
  <r>
    <s v="ORD-2023-173313"/>
    <x v="251"/>
    <d v="2023-06-15T00:00:00"/>
    <x v="23"/>
    <x v="9"/>
    <s v="2023"/>
    <x v="8"/>
    <d v="2023-07-12T00:00:00"/>
    <d v="2023-07-12T00:00:00"/>
    <s v="Okay"/>
    <n v="27"/>
    <x v="0"/>
    <x v="3"/>
    <x v="8"/>
    <s v="Manchester"/>
    <s v="Europe→United Kingdom→Manchester"/>
    <s v="Consumer"/>
    <x v="4"/>
    <x v="2"/>
    <x v="6"/>
    <e v="#REF!"/>
    <x v="576"/>
    <n v="751.28"/>
    <n v="1111.8800000000001"/>
    <n v="1111.8800000000001"/>
    <s v="Low"/>
    <n v="0.13500000000000001"/>
    <n v="0.13500000000000001"/>
    <x v="0"/>
    <n v="7"/>
    <n v="6732.4334000000008"/>
    <n v="5258.96"/>
    <n v="1473.4734000000008"/>
    <n v="0.21886193482433863"/>
  </r>
  <r>
    <s v="ORD-2024-496601"/>
    <x v="444"/>
    <d v="2024-11-11T00:00:00"/>
    <x v="18"/>
    <x v="10"/>
    <s v="2024"/>
    <x v="1"/>
    <d v="2024-11-24T00:00:00"/>
    <d v="2024-11-24T00:00:00"/>
    <s v="Okay"/>
    <n v="13"/>
    <x v="0"/>
    <x v="3"/>
    <x v="8"/>
    <s v="London"/>
    <s v="Europe→United Kingdom→London"/>
    <s v="Corporate"/>
    <x v="0"/>
    <x v="6"/>
    <x v="2"/>
    <e v="#REF!"/>
    <x v="577"/>
    <n v="164.53"/>
    <n v="327.72"/>
    <n v="327.72"/>
    <s v="Low"/>
    <n v="6.7000000000000004E-2"/>
    <n v="6.7000000000000004E-2"/>
    <x v="0"/>
    <n v="14"/>
    <n v="4280.6786400000001"/>
    <n v="2303.42"/>
    <n v="1977.25864"/>
    <n v="0.46190307805960412"/>
  </r>
  <r>
    <s v="ORD-2025-155182"/>
    <x v="445"/>
    <d v="2025-07-11T00:00:00"/>
    <x v="13"/>
    <x v="8"/>
    <s v="2025"/>
    <x v="7"/>
    <d v="2025-08-03T00:00:00"/>
    <d v="2025-08-03T00:00:00"/>
    <s v="Okay"/>
    <n v="23"/>
    <x v="0"/>
    <x v="0"/>
    <x v="0"/>
    <s v="Nakuru"/>
    <s v="Africa→Kenya→Nakuru"/>
    <s v="Small Business"/>
    <x v="0"/>
    <x v="0"/>
    <x v="3"/>
    <e v="#REF!"/>
    <x v="578"/>
    <n v="389.93"/>
    <n v="486.13"/>
    <n v="486.13"/>
    <s v="Low"/>
    <n v="0.13200000000000001"/>
    <n v="0.13200000000000001"/>
    <x v="0"/>
    <n v="17"/>
    <n v="7173.3342799999991"/>
    <n v="6628.81"/>
    <n v="544.52427999999873"/>
    <n v="7.5909508569562828E-2"/>
  </r>
  <r>
    <s v="ORD-2023-244375"/>
    <x v="446"/>
    <d v="2023-06-03T00:00:00"/>
    <x v="23"/>
    <x v="9"/>
    <s v="2023"/>
    <x v="8"/>
    <d v="2023-07-01T00:00:00"/>
    <d v="2023-07-01T00:00:00"/>
    <s v="Okay"/>
    <n v="28"/>
    <x v="0"/>
    <x v="2"/>
    <x v="5"/>
    <s v="Brasília"/>
    <s v="Americas→Brazil→Brasília"/>
    <s v="Small Business"/>
    <x v="2"/>
    <x v="8"/>
    <x v="0"/>
    <e v="#REF!"/>
    <x v="579"/>
    <n v="860.4"/>
    <n v="2066.6"/>
    <n v="2066.6"/>
    <s v="High"/>
    <n v="0.01"/>
    <n v="0.01"/>
    <x v="0"/>
    <n v="3"/>
    <n v="6137.8019999999988"/>
    <n v="2581.1999999999998"/>
    <n v="3556.601999999999"/>
    <n v="0.57945857491004105"/>
  </r>
  <r>
    <s v="ORD-2023-856322"/>
    <x v="171"/>
    <d v="2023-01-29T00:00:00"/>
    <x v="5"/>
    <x v="4"/>
    <s v="2023"/>
    <x v="2"/>
    <d v="2023-02-06T00:00:00"/>
    <d v="2023-02-06T00:00:00"/>
    <s v="Okay"/>
    <n v="8"/>
    <x v="0"/>
    <x v="2"/>
    <x v="5"/>
    <s v="Brasília"/>
    <s v="Americas→Brazil→Brasília"/>
    <s v="Corporate"/>
    <x v="2"/>
    <x v="14"/>
    <x v="5"/>
    <e v="#REF!"/>
    <x v="580"/>
    <n v="41.84"/>
    <n v="86.2"/>
    <n v="86.2"/>
    <s v="Low"/>
    <n v="0.22600000000000001"/>
    <n v="0.22600000000000001"/>
    <x v="0"/>
    <n v="27"/>
    <n v="1801.4076000000002"/>
    <n v="1129.68"/>
    <n v="671.72760000000017"/>
    <n v="0.37289039970742882"/>
  </r>
  <r>
    <s v="ORD-2024-594527"/>
    <x v="331"/>
    <d v="2024-09-04T00:00:00"/>
    <x v="29"/>
    <x v="6"/>
    <s v="2024"/>
    <x v="9"/>
    <d v="2024-09-04T00:00:00"/>
    <d v="2024-09-13T00:00:00"/>
    <s v="Invalid"/>
    <n v="9"/>
    <x v="0"/>
    <x v="1"/>
    <x v="2"/>
    <s v="Osaka"/>
    <s v="Asia→Japan→Osaka"/>
    <s v="Corporate"/>
    <x v="4"/>
    <x v="8"/>
    <x v="4"/>
    <e v="#REF!"/>
    <x v="581"/>
    <n v="1368.17"/>
    <n v="2307.75"/>
    <n v="2307.75"/>
    <s v="High"/>
    <n v="0.16300000000000001"/>
    <n v="0.16300000000000001"/>
    <x v="0"/>
    <n v="21"/>
    <n v="40563.321749999996"/>
    <n v="28731.57"/>
    <n v="11831.751749999996"/>
    <n v="0.29168596750831921"/>
  </r>
  <r>
    <s v="ORD-2024-689872"/>
    <x v="447"/>
    <d v="2024-08-03T00:00:00"/>
    <x v="21"/>
    <x v="11"/>
    <s v="2024"/>
    <x v="9"/>
    <d v="2024-08-09T00:00:00"/>
    <d v="2024-08-09T00:00:00"/>
    <s v="Okay"/>
    <n v="6"/>
    <x v="1"/>
    <x v="0"/>
    <x v="0"/>
    <s v="Mombasa"/>
    <s v="Africa→Kenya→Mombasa"/>
    <s v="Consumer"/>
    <x v="2"/>
    <x v="10"/>
    <x v="4"/>
    <e v="#REF!"/>
    <x v="582"/>
    <n v="643.21"/>
    <n v="1112.81"/>
    <n v="1112.81"/>
    <s v="Low"/>
    <n v="0.14099999999999999"/>
    <n v="0.14099999999999999"/>
    <x v="0"/>
    <n v="4"/>
    <n v="3823.6151599999998"/>
    <n v="2572.84"/>
    <n v="1250.7751599999997"/>
    <n v="0.32711847496702562"/>
  </r>
  <r>
    <s v="ORD-2025-246692"/>
    <x v="448"/>
    <d v="2025-04-17T00:00:00"/>
    <x v="19"/>
    <x v="7"/>
    <s v="2025"/>
    <x v="6"/>
    <d v="2025-04-17T00:00:00"/>
    <d v="2025-04-17T00:00:00"/>
    <s v="Okay"/>
    <n v="0"/>
    <x v="1"/>
    <x v="2"/>
    <x v="5"/>
    <s v="São Paulo"/>
    <s v="Americas→Brazil→São Paulo"/>
    <s v="Corporate"/>
    <x v="3"/>
    <x v="4"/>
    <x v="3"/>
    <e v="#REF!"/>
    <x v="583"/>
    <n v="719.41"/>
    <n v="1125.99"/>
    <n v="1125.99"/>
    <s v="Low"/>
    <n v="4.1000000000000002E-2"/>
    <n v="4.1000000000000002E-2"/>
    <x v="0"/>
    <n v="21"/>
    <n v="22676.312610000001"/>
    <n v="15107.609999999999"/>
    <n v="7568.7026100000021"/>
    <n v="0.33377131194876403"/>
  </r>
  <r>
    <s v="ORD-2023-378676"/>
    <x v="449"/>
    <d v="2023-05-03T00:00:00"/>
    <x v="15"/>
    <x v="5"/>
    <s v="2023"/>
    <x v="8"/>
    <d v="2023-05-16T00:00:00"/>
    <d v="2023-05-16T00:00:00"/>
    <s v="Okay"/>
    <n v="13"/>
    <x v="0"/>
    <x v="2"/>
    <x v="10"/>
    <s v="New York"/>
    <s v="Americas→USA→New York"/>
    <s v="Corporate"/>
    <x v="2"/>
    <x v="4"/>
    <x v="3"/>
    <e v="#REF!"/>
    <x v="584"/>
    <n v="64.5"/>
    <n v="123.62"/>
    <n v="123.62"/>
    <s v="Low"/>
    <n v="0"/>
    <n v="0"/>
    <x v="0"/>
    <n v="3"/>
    <n v="370.86"/>
    <n v="193.5"/>
    <n v="177.36"/>
    <n v="0.47823976702798904"/>
  </r>
  <r>
    <s v="ORD-2024-243988"/>
    <x v="450"/>
    <d v="2024-03-13T00:00:00"/>
    <x v="0"/>
    <x v="0"/>
    <s v="2024"/>
    <x v="0"/>
    <d v="2024-04-06T00:00:00"/>
    <d v="2024-04-06T00:00:00"/>
    <s v="Okay"/>
    <n v="24"/>
    <x v="0"/>
    <x v="0"/>
    <x v="1"/>
    <s v="Abuja"/>
    <s v="Africa→Nigeria→Abuja"/>
    <s v="Consumer"/>
    <x v="3"/>
    <x v="4"/>
    <x v="0"/>
    <e v="#REF!"/>
    <x v="585"/>
    <n v="1232.78"/>
    <n v="1731.75"/>
    <n v="1731.75"/>
    <s v="Medium"/>
    <n v="9.2999999999999999E-2"/>
    <n v="9.2999999999999999E-2"/>
    <x v="0"/>
    <n v="16"/>
    <n v="25131.155999999999"/>
    <n v="19724.48"/>
    <n v="5406.6759999999995"/>
    <n v="0.21513837246484005"/>
  </r>
  <r>
    <s v="ORD-2024-572312"/>
    <x v="249"/>
    <d v="2024-06-16T00:00:00"/>
    <x v="17"/>
    <x v="9"/>
    <s v="2024"/>
    <x v="5"/>
    <d v="2024-06-21T00:00:00"/>
    <d v="2024-06-21T00:00:00"/>
    <s v="Okay"/>
    <n v="5"/>
    <x v="1"/>
    <x v="1"/>
    <x v="2"/>
    <s v="Tokyo"/>
    <s v="Asia→Japan→Tokyo"/>
    <s v="Small Business"/>
    <x v="3"/>
    <x v="9"/>
    <x v="3"/>
    <e v="#REF!"/>
    <x v="586"/>
    <n v="1367.13"/>
    <n v="3062.01"/>
    <n v="3062.01"/>
    <s v="High"/>
    <n v="0.10299999999999999"/>
    <n v="0.10299999999999999"/>
    <x v="0"/>
    <n v="25"/>
    <n v="68665.574250000005"/>
    <n v="34178.25"/>
    <n v="34487.324250000005"/>
    <n v="0.50225057645971705"/>
  </r>
  <r>
    <s v="ORD-2025-281062"/>
    <x v="146"/>
    <d v="2025-02-15T00:00:00"/>
    <x v="26"/>
    <x v="2"/>
    <s v="2025"/>
    <x v="3"/>
    <d v="2025-02-27T00:00:00"/>
    <d v="2025-02-27T00:00:00"/>
    <s v="Okay"/>
    <n v="12"/>
    <x v="0"/>
    <x v="3"/>
    <x v="7"/>
    <s v="Lyon"/>
    <s v="Europe→France→Lyon"/>
    <s v="Non-Profit"/>
    <x v="4"/>
    <x v="11"/>
    <x v="6"/>
    <e v="#REF!"/>
    <x v="587"/>
    <n v="1027.26"/>
    <n v="2200.41"/>
    <n v="2200.41"/>
    <s v="High"/>
    <n v="8.7999999999999995E-2"/>
    <n v="8.7999999999999995E-2"/>
    <x v="0"/>
    <n v="6"/>
    <n v="12040.64352"/>
    <n v="6163.5599999999995"/>
    <n v="5877.0835200000001"/>
    <n v="0.48810377204822358"/>
  </r>
  <r>
    <s v="ORD-2023-727290"/>
    <x v="451"/>
    <d v="2023-04-03T00:00:00"/>
    <x v="12"/>
    <x v="7"/>
    <s v="2023"/>
    <x v="8"/>
    <d v="2023-04-16T00:00:00"/>
    <d v="2023-04-16T00:00:00"/>
    <s v="Okay"/>
    <n v="13"/>
    <x v="0"/>
    <x v="3"/>
    <x v="7"/>
    <s v="Marseille"/>
    <s v="Europe→France→Marseille"/>
    <s v="Non-Profit"/>
    <x v="2"/>
    <x v="12"/>
    <x v="6"/>
    <e v="#REF!"/>
    <x v="588"/>
    <n v="790.54"/>
    <n v="601.49"/>
    <n v="601.49"/>
    <s v="Low"/>
    <n v="0"/>
    <n v="0"/>
    <x v="0"/>
    <n v="15"/>
    <n v="9022.35"/>
    <n v="11858.099999999999"/>
    <n v="-2835.7499999999982"/>
    <n v="-0.31430281467688553"/>
  </r>
  <r>
    <s v="ORD-2025-993993"/>
    <x v="388"/>
    <d v="2025-08-30T00:00:00"/>
    <x v="28"/>
    <x v="11"/>
    <s v="2025"/>
    <x v="7"/>
    <d v="2025-09-22T00:00:00"/>
    <d v="2025-09-22T00:00:00"/>
    <s v="Okay"/>
    <n v="23"/>
    <x v="0"/>
    <x v="3"/>
    <x v="7"/>
    <s v="Marseille"/>
    <s v="Europe→France→Marseille"/>
    <s v="Corporate"/>
    <x v="4"/>
    <x v="6"/>
    <x v="0"/>
    <e v="#REF!"/>
    <x v="589"/>
    <n v="663.9"/>
    <n v="947.77"/>
    <n v="947.77"/>
    <s v="Low"/>
    <n v="0.17399999999999999"/>
    <n v="0.17399999999999999"/>
    <x v="0"/>
    <n v="15"/>
    <n v="11742.8703"/>
    <n v="9958.5"/>
    <n v="1784.3703000000005"/>
    <n v="0.1519535049280073"/>
  </r>
  <r>
    <s v="ORD-2023-619493"/>
    <x v="452"/>
    <d v="2023-02-26T00:00:00"/>
    <x v="2"/>
    <x v="2"/>
    <s v="2023"/>
    <x v="2"/>
    <d v="2023-02-26T00:00:00"/>
    <d v="2023-03-06T00:00:00"/>
    <s v="Invalid"/>
    <n v="8"/>
    <x v="0"/>
    <x v="2"/>
    <x v="10"/>
    <s v="San Francisco"/>
    <s v="Americas→USA→San Francisco"/>
    <s v="Non-Profit"/>
    <x v="1"/>
    <x v="4"/>
    <x v="2"/>
    <e v="#REF!"/>
    <x v="590"/>
    <n v="1015.91"/>
    <n v="2331.48"/>
    <n v="2331.48"/>
    <s v="High"/>
    <n v="0.14599999999999999"/>
    <n v="0.14599999999999999"/>
    <x v="0"/>
    <n v="26"/>
    <n v="51768.181920000003"/>
    <n v="26413.66"/>
    <n v="25354.521920000003"/>
    <n v="0.48977037592669626"/>
  </r>
  <r>
    <s v="ORD-2024-947056"/>
    <x v="453"/>
    <d v="2024-07-31T00:00:00"/>
    <x v="14"/>
    <x v="8"/>
    <s v="2024"/>
    <x v="9"/>
    <d v="2024-08-15T00:00:00"/>
    <d v="2024-08-15T00:00:00"/>
    <s v="Okay"/>
    <n v="15"/>
    <x v="0"/>
    <x v="1"/>
    <x v="2"/>
    <s v="Tokyo"/>
    <s v="Asia→Japan→Tokyo"/>
    <s v="Corporate"/>
    <x v="2"/>
    <x v="9"/>
    <x v="5"/>
    <e v="#REF!"/>
    <x v="591"/>
    <n v="1252.52"/>
    <n v="1417.24"/>
    <n v="1417.24"/>
    <s v="Medium"/>
    <n v="0.192"/>
    <n v="0.192"/>
    <x v="0"/>
    <n v="5"/>
    <n v="5725.6496000000006"/>
    <n v="6262.6"/>
    <n v="-536.95039999999972"/>
    <n v="-9.3779821943696953E-2"/>
  </r>
  <r>
    <s v="ORD-2025-856556"/>
    <x v="325"/>
    <d v="2025-06-15T00:00:00"/>
    <x v="16"/>
    <x v="9"/>
    <s v="2025"/>
    <x v="6"/>
    <d v="2025-07-12T00:00:00"/>
    <d v="2025-07-12T00:00:00"/>
    <s v="Okay"/>
    <n v="27"/>
    <x v="0"/>
    <x v="3"/>
    <x v="7"/>
    <s v="Marseille"/>
    <s v="Europe→France→Marseille"/>
    <s v="Consumer"/>
    <x v="4"/>
    <x v="0"/>
    <x v="6"/>
    <e v="#REF!"/>
    <x v="592"/>
    <n v="318.83"/>
    <n v="699.5"/>
    <n v="699.5"/>
    <s v="Low"/>
    <n v="0.08"/>
    <n v="0.08"/>
    <x v="0"/>
    <n v="13"/>
    <n v="8366.02"/>
    <n v="4144.79"/>
    <n v="4221.2300000000005"/>
    <n v="0.50456848059172699"/>
  </r>
  <r>
    <s v="ORD-2024-442776"/>
    <x v="24"/>
    <d v="2024-06-30T00:00:00"/>
    <x v="17"/>
    <x v="9"/>
    <s v="2024"/>
    <x v="5"/>
    <d v="2024-07-21T00:00:00"/>
    <d v="2024-07-21T00:00:00"/>
    <s v="Okay"/>
    <n v="21"/>
    <x v="0"/>
    <x v="0"/>
    <x v="0"/>
    <s v="Kisumu"/>
    <s v="Africa→Kenya→Kisumu"/>
    <s v="Small Business"/>
    <x v="0"/>
    <x v="11"/>
    <x v="4"/>
    <e v="#REF!"/>
    <x v="593"/>
    <n v="753.43"/>
    <n v="1787.2"/>
    <n v="1787.2"/>
    <s v="Medium"/>
    <n v="7.2999999999999995E-2"/>
    <n v="7.2999999999999995E-2"/>
    <x v="0"/>
    <n v="9"/>
    <n v="14910.609600000002"/>
    <n v="6780.87"/>
    <n v="8129.7396000000017"/>
    <n v="0.54523187301476939"/>
  </r>
  <r>
    <s v="ORD-2025-705398"/>
    <x v="454"/>
    <d v="2025-02-15T00:00:00"/>
    <x v="26"/>
    <x v="2"/>
    <s v="2025"/>
    <x v="3"/>
    <d v="2025-02-15T00:00:00"/>
    <d v="2025-02-24T00:00:00"/>
    <s v="Invalid"/>
    <n v="9"/>
    <x v="0"/>
    <x v="2"/>
    <x v="3"/>
    <s v="Toronto"/>
    <s v="Americas→Canada→Toronto"/>
    <s v="Small Business"/>
    <x v="0"/>
    <x v="14"/>
    <x v="0"/>
    <e v="#REF!"/>
    <x v="594"/>
    <n v="1133.47"/>
    <n v="1698.75"/>
    <n v="1698.75"/>
    <s v="Medium"/>
    <n v="4.2999999999999997E-2"/>
    <n v="4.2999999999999997E-2"/>
    <x v="0"/>
    <n v="5"/>
    <n v="8128.5187499999993"/>
    <n v="5667.35"/>
    <n v="2461.1687499999989"/>
    <n v="0.30278194904821976"/>
  </r>
  <r>
    <s v="ORD-2023-689428"/>
    <x v="455"/>
    <d v="2023-01-07T00:00:00"/>
    <x v="5"/>
    <x v="4"/>
    <s v="2023"/>
    <x v="2"/>
    <d v="2023-01-30T00:00:00"/>
    <d v="2023-01-30T00:00:00"/>
    <s v="Okay"/>
    <n v="23"/>
    <x v="0"/>
    <x v="0"/>
    <x v="11"/>
    <s v="Cape Town"/>
    <s v="Africa→South Africa→Cape Town"/>
    <s v="Consumer"/>
    <x v="1"/>
    <x v="8"/>
    <x v="1"/>
    <e v="#REF!"/>
    <x v="595"/>
    <n v="299.02"/>
    <n v="724.7"/>
    <n v="724.7"/>
    <s v="Low"/>
    <n v="0.14000000000000001"/>
    <n v="0.14000000000000001"/>
    <x v="0"/>
    <n v="5"/>
    <n v="3116.21"/>
    <n v="1495.1"/>
    <n v="1621.1100000000001"/>
    <n v="0.52021847051386139"/>
  </r>
  <r>
    <s v="ORD-2025-683247"/>
    <x v="402"/>
    <d v="2025-03-10T00:00:00"/>
    <x v="3"/>
    <x v="0"/>
    <s v="2025"/>
    <x v="3"/>
    <d v="2025-04-04T00:00:00"/>
    <d v="2025-04-04T00:00:00"/>
    <s v="Okay"/>
    <n v="25"/>
    <x v="0"/>
    <x v="1"/>
    <x v="2"/>
    <s v="Osaka"/>
    <s v="Asia→Japan→Osaka"/>
    <s v="Corporate"/>
    <x v="4"/>
    <x v="10"/>
    <x v="1"/>
    <e v="#REF!"/>
    <x v="596"/>
    <n v="783.72"/>
    <n v="1355.94"/>
    <n v="1355.94"/>
    <s v="Medium"/>
    <n v="0.187"/>
    <n v="0.187"/>
    <x v="0"/>
    <n v="4"/>
    <n v="4409.5168800000001"/>
    <n v="3134.88"/>
    <n v="1274.63688"/>
    <n v="0.28906497348525856"/>
  </r>
  <r>
    <s v="ORD-2024-585443"/>
    <x v="456"/>
    <d v="2024-08-15T00:00:00"/>
    <x v="21"/>
    <x v="11"/>
    <s v="2024"/>
    <x v="9"/>
    <d v="2024-08-15T00:00:00"/>
    <d v="2024-08-24T00:00:00"/>
    <s v="Invalid"/>
    <n v="9"/>
    <x v="0"/>
    <x v="2"/>
    <x v="5"/>
    <s v="Rio de Janeiro"/>
    <s v="Americas→Brazil→Rio de Janeiro"/>
    <s v="Consumer"/>
    <x v="4"/>
    <x v="12"/>
    <x v="5"/>
    <e v="#REF!"/>
    <x v="597"/>
    <n v="165.3"/>
    <n v="275.07"/>
    <n v="275.07"/>
    <s v="Low"/>
    <n v="0.13300000000000001"/>
    <n v="0.13300000000000001"/>
    <x v="0"/>
    <n v="25"/>
    <n v="5962.1422499999999"/>
    <n v="4132.5"/>
    <n v="1829.6422499999999"/>
    <n v="0.30687665159280625"/>
  </r>
  <r>
    <s v="ORD-2024-907733"/>
    <x v="307"/>
    <d v="2024-03-09T00:00:00"/>
    <x v="0"/>
    <x v="0"/>
    <s v="2024"/>
    <x v="0"/>
    <d v="2024-03-22T00:00:00"/>
    <d v="2024-03-22T00:00:00"/>
    <s v="Okay"/>
    <n v="13"/>
    <x v="0"/>
    <x v="3"/>
    <x v="8"/>
    <s v="Manchester"/>
    <s v="Europe→United Kingdom→Manchester"/>
    <s v="Consumer"/>
    <x v="1"/>
    <x v="6"/>
    <x v="4"/>
    <e v="#REF!"/>
    <x v="598"/>
    <n v="985.45"/>
    <n v="1802.44"/>
    <n v="1802.44"/>
    <s v="Medium"/>
    <n v="8.9999999999999993E-3"/>
    <n v="8.9999999999999993E-3"/>
    <x v="0"/>
    <n v="19"/>
    <n v="33938.142760000002"/>
    <n v="18723.55"/>
    <n v="15214.592760000003"/>
    <n v="0.44830363486867486"/>
  </r>
  <r>
    <s v="ORD-2024-550400"/>
    <x v="396"/>
    <d v="2024-08-19T00:00:00"/>
    <x v="21"/>
    <x v="11"/>
    <s v="2024"/>
    <x v="9"/>
    <d v="2024-09-02T00:00:00"/>
    <d v="2024-09-02T00:00:00"/>
    <s v="Okay"/>
    <n v="14"/>
    <x v="0"/>
    <x v="2"/>
    <x v="3"/>
    <s v="Toronto"/>
    <s v="Americas→Canada→Toronto"/>
    <s v="Consumer"/>
    <x v="3"/>
    <x v="0"/>
    <x v="1"/>
    <e v="#REF!"/>
    <x v="599"/>
    <n v="1337.01"/>
    <n v="1269.78"/>
    <n v="1269.78"/>
    <s v="Medium"/>
    <n v="0.16"/>
    <n v="0.16"/>
    <x v="0"/>
    <n v="7"/>
    <n v="7466.3063999999986"/>
    <n v="9359.07"/>
    <n v="-1892.7636000000011"/>
    <n v="-0.25350735672996244"/>
  </r>
  <r>
    <s v="ORD-2025-189846"/>
    <x v="457"/>
    <d v="2025-08-11T00:00:00"/>
    <x v="28"/>
    <x v="11"/>
    <s v="2025"/>
    <x v="7"/>
    <d v="2025-08-28T00:00:00"/>
    <d v="2025-08-28T00:00:00"/>
    <s v="Okay"/>
    <n v="17"/>
    <x v="0"/>
    <x v="3"/>
    <x v="7"/>
    <s v="Paris"/>
    <s v="Europe→France→Paris"/>
    <s v="Education"/>
    <x v="1"/>
    <x v="9"/>
    <x v="2"/>
    <e v="#REF!"/>
    <x v="600"/>
    <n v="416.16"/>
    <n v="571.9"/>
    <n v="571.9"/>
    <s v="Low"/>
    <n v="7.0999999999999994E-2"/>
    <n v="7.0999999999999994E-2"/>
    <x v="0"/>
    <n v="2"/>
    <n v="1062.5902000000001"/>
    <n v="832.32"/>
    <n v="230.27020000000005"/>
    <n v="0.21670649701079497"/>
  </r>
  <r>
    <s v="ORD-2025-752192"/>
    <x v="217"/>
    <d v="2025-05-16T00:00:00"/>
    <x v="8"/>
    <x v="5"/>
    <s v="2025"/>
    <x v="6"/>
    <d v="2025-05-18T00:00:00"/>
    <d v="2025-05-18T00:00:00"/>
    <s v="Okay"/>
    <n v="2"/>
    <x v="1"/>
    <x v="1"/>
    <x v="2"/>
    <s v="Tokyo"/>
    <s v="Asia→Japan→Tokyo"/>
    <s v="Enterprise"/>
    <x v="0"/>
    <x v="1"/>
    <x v="1"/>
    <e v="#REF!"/>
    <x v="601"/>
    <n v="1144.3800000000001"/>
    <n v="2755.04"/>
    <n v="2755.04"/>
    <s v="High"/>
    <n v="0.15"/>
    <n v="0.15"/>
    <x v="0"/>
    <n v="17"/>
    <n v="39810.328000000001"/>
    <n v="19454.460000000003"/>
    <n v="20355.867999999999"/>
    <n v="0.51132128326096682"/>
  </r>
  <r>
    <s v="ORD-2023-294716"/>
    <x v="458"/>
    <d v="2023-04-10T00:00:00"/>
    <x v="12"/>
    <x v="7"/>
    <s v="2023"/>
    <x v="8"/>
    <d v="2023-04-25T00:00:00"/>
    <d v="2023-04-25T00:00:00"/>
    <s v="Okay"/>
    <n v="15"/>
    <x v="0"/>
    <x v="3"/>
    <x v="8"/>
    <s v="London"/>
    <s v="Europe→United Kingdom→London"/>
    <s v="Small Business"/>
    <x v="0"/>
    <x v="14"/>
    <x v="1"/>
    <e v="#REF!"/>
    <x v="602"/>
    <n v="405.66"/>
    <n v="962.51"/>
    <n v="962.51"/>
    <s v="Low"/>
    <n v="0.19"/>
    <n v="0.19"/>
    <x v="0"/>
    <n v="7"/>
    <n v="5457.4317000000001"/>
    <n v="2839.6200000000003"/>
    <n v="2617.8116999999997"/>
    <n v="0.47967832561239376"/>
  </r>
  <r>
    <s v="ORD-2023-552115"/>
    <x v="459"/>
    <d v="2023-09-17T00:00:00"/>
    <x v="27"/>
    <x v="6"/>
    <s v="2023"/>
    <x v="10"/>
    <d v="2023-10-02T00:00:00"/>
    <d v="2023-10-02T00:00:00"/>
    <s v="Okay"/>
    <n v="15"/>
    <x v="0"/>
    <x v="2"/>
    <x v="5"/>
    <s v="Rio de Janeiro"/>
    <s v="Americas→Brazil→Rio de Janeiro"/>
    <s v="Small Business"/>
    <x v="0"/>
    <x v="5"/>
    <x v="4"/>
    <e v="#REF!"/>
    <x v="603"/>
    <n v="689.33"/>
    <n v="668.27"/>
    <n v="668.27"/>
    <s v="Low"/>
    <n v="0.186"/>
    <n v="0.186"/>
    <x v="0"/>
    <n v="13"/>
    <n v="7071.6331400000008"/>
    <n v="8961.2900000000009"/>
    <n v="-1889.6568600000001"/>
    <n v="-0.26721647214861033"/>
  </r>
  <r>
    <s v="ORD-2023-107265"/>
    <x v="460"/>
    <d v="2023-04-22T00:00:00"/>
    <x v="12"/>
    <x v="7"/>
    <s v="2023"/>
    <x v="8"/>
    <d v="2023-05-14T00:00:00"/>
    <d v="2023-05-14T00:00:00"/>
    <s v="Okay"/>
    <n v="22"/>
    <x v="0"/>
    <x v="1"/>
    <x v="2"/>
    <s v="Nagoya"/>
    <s v="Asia→Japan→Nagoya"/>
    <s v="Enterprise"/>
    <x v="0"/>
    <x v="8"/>
    <x v="6"/>
    <e v="#REF!"/>
    <x v="604"/>
    <n v="1209.22"/>
    <n v="1404.33"/>
    <n v="1404.33"/>
    <s v="Medium"/>
    <n v="0.10299999999999999"/>
    <n v="0.10299999999999999"/>
    <x v="0"/>
    <n v="11"/>
    <n v="13856.52411"/>
    <n v="13301.42"/>
    <n v="555.10411000000022"/>
    <n v="4.0060848275751328E-2"/>
  </r>
  <r>
    <s v="ORD-2025-262434"/>
    <x v="111"/>
    <d v="2025-06-19T00:00:00"/>
    <x v="16"/>
    <x v="9"/>
    <s v="2025"/>
    <x v="6"/>
    <d v="2025-06-21T00:00:00"/>
    <d v="2025-06-21T00:00:00"/>
    <s v="Okay"/>
    <n v="2"/>
    <x v="1"/>
    <x v="0"/>
    <x v="11"/>
    <s v="Johannesburg"/>
    <s v="Africa→South Africa→Johannesburg"/>
    <s v="Small Business"/>
    <x v="5"/>
    <x v="10"/>
    <x v="3"/>
    <e v="#REF!"/>
    <x v="605"/>
    <n v="1466.27"/>
    <n v="3589.89"/>
    <n v="3589.89"/>
    <s v="High"/>
    <n v="9.7000000000000003E-2"/>
    <n v="9.7000000000000003E-2"/>
    <x v="0"/>
    <n v="9"/>
    <n v="29175.036029999999"/>
    <n v="13196.43"/>
    <n v="15978.606029999999"/>
    <n v="0.54768076425234147"/>
  </r>
  <r>
    <s v="ORD-2024-266562"/>
    <x v="461"/>
    <d v="2024-11-27T00:00:00"/>
    <x v="18"/>
    <x v="10"/>
    <s v="2024"/>
    <x v="1"/>
    <d v="2024-12-24T00:00:00"/>
    <d v="2024-12-24T00:00:00"/>
    <s v="Okay"/>
    <n v="27"/>
    <x v="0"/>
    <x v="0"/>
    <x v="0"/>
    <s v="Mombasa"/>
    <s v="Africa→Kenya→Mombasa"/>
    <s v="Corporate"/>
    <x v="3"/>
    <x v="5"/>
    <x v="1"/>
    <e v="#REF!"/>
    <x v="606"/>
    <n v="143.33000000000001"/>
    <n v="233.51"/>
    <n v="233.51"/>
    <s v="Low"/>
    <n v="0.16300000000000001"/>
    <n v="0.16300000000000001"/>
    <x v="0"/>
    <n v="14"/>
    <n v="2736.27018"/>
    <n v="2006.6200000000001"/>
    <n v="729.65017999999986"/>
    <n v="0.26665867476580835"/>
  </r>
  <r>
    <s v="ORD-2024-838925"/>
    <x v="10"/>
    <d v="2024-01-27T00:00:00"/>
    <x v="9"/>
    <x v="4"/>
    <s v="2024"/>
    <x v="0"/>
    <d v="2024-01-27T00:00:00"/>
    <d v="2024-02-04T00:00:00"/>
    <s v="Invalid"/>
    <n v="8"/>
    <x v="0"/>
    <x v="0"/>
    <x v="11"/>
    <s v="Cape Town"/>
    <s v="Africa→South Africa→Cape Town"/>
    <s v="Enterprise"/>
    <x v="4"/>
    <x v="7"/>
    <x v="0"/>
    <e v="#REF!"/>
    <x v="607"/>
    <n v="109.75"/>
    <n v="124.25"/>
    <n v="124.25"/>
    <s v="Low"/>
    <n v="0.12"/>
    <n v="0.12"/>
    <x v="0"/>
    <n v="19"/>
    <n v="2077.46"/>
    <n v="2085.25"/>
    <n v="-7.7899999999999636"/>
    <n v="-3.7497713554051405E-3"/>
  </r>
  <r>
    <s v="ORD-2023-664790"/>
    <x v="387"/>
    <d v="2023-04-16T00:00:00"/>
    <x v="12"/>
    <x v="7"/>
    <s v="2023"/>
    <x v="8"/>
    <d v="2023-04-23T00:00:00"/>
    <d v="2023-04-23T00:00:00"/>
    <s v="Okay"/>
    <n v="7"/>
    <x v="1"/>
    <x v="2"/>
    <x v="10"/>
    <s v="Austin"/>
    <s v="Americas→USA→Austin"/>
    <s v="Corporate"/>
    <x v="3"/>
    <x v="7"/>
    <x v="1"/>
    <e v="#REF!"/>
    <x v="608"/>
    <n v="1099.1500000000001"/>
    <n v="1431.37"/>
    <n v="1431.37"/>
    <s v="Medium"/>
    <n v="0.104"/>
    <n v="0.104"/>
    <x v="0"/>
    <n v="8"/>
    <n v="10260.060159999999"/>
    <n v="8793.2000000000007"/>
    <n v="1466.8601599999984"/>
    <n v="0.14296798821109433"/>
  </r>
  <r>
    <s v="ORD-2024-331408"/>
    <x v="145"/>
    <d v="2024-02-01T00:00:00"/>
    <x v="31"/>
    <x v="2"/>
    <s v="2024"/>
    <x v="0"/>
    <d v="2024-02-01T00:00:00"/>
    <d v="2024-02-01T00:00:00"/>
    <s v="Okay"/>
    <n v="0"/>
    <x v="1"/>
    <x v="2"/>
    <x v="10"/>
    <s v="Austin"/>
    <s v="Americas→USA→Austin"/>
    <s v="Consumer"/>
    <x v="3"/>
    <x v="10"/>
    <x v="1"/>
    <e v="#REF!"/>
    <x v="609"/>
    <n v="714.43"/>
    <n v="1595.52"/>
    <n v="1595.52"/>
    <s v="Medium"/>
    <n v="0.19400000000000001"/>
    <n v="0.19400000000000001"/>
    <x v="0"/>
    <n v="14"/>
    <n v="18003.847679999999"/>
    <n v="10002.019999999999"/>
    <n v="8001.8276800000003"/>
    <n v="0.44445097638151093"/>
  </r>
  <r>
    <s v="ORD-2024-741404"/>
    <x v="462"/>
    <d v="2024-10-19T00:00:00"/>
    <x v="1"/>
    <x v="1"/>
    <s v="2024"/>
    <x v="1"/>
    <d v="2024-11-06T00:00:00"/>
    <d v="2024-11-06T00:00:00"/>
    <s v="Okay"/>
    <n v="18"/>
    <x v="0"/>
    <x v="2"/>
    <x v="10"/>
    <s v="Chicago"/>
    <s v="Americas→USA→Chicago"/>
    <s v="Education"/>
    <x v="5"/>
    <x v="0"/>
    <x v="5"/>
    <e v="#REF!"/>
    <x v="610"/>
    <n v="942.02"/>
    <n v="1028.46"/>
    <n v="1028.46"/>
    <s v="Low"/>
    <n v="0"/>
    <n v="0"/>
    <x v="0"/>
    <n v="9"/>
    <n v="9256.14"/>
    <n v="8478.18"/>
    <n v="777.95999999999913"/>
    <n v="8.4047994088248354E-2"/>
  </r>
  <r>
    <s v="ORD-2024-341535"/>
    <x v="463"/>
    <d v="2024-06-25T00:00:00"/>
    <x v="17"/>
    <x v="9"/>
    <s v="2024"/>
    <x v="5"/>
    <d v="2024-06-30T00:00:00"/>
    <d v="2024-06-30T00:00:00"/>
    <s v="Okay"/>
    <n v="5"/>
    <x v="1"/>
    <x v="0"/>
    <x v="0"/>
    <s v="Kisumu"/>
    <s v="Africa→Kenya→Kisumu"/>
    <s v="Education"/>
    <x v="4"/>
    <x v="12"/>
    <x v="2"/>
    <e v="#REF!"/>
    <x v="611"/>
    <n v="1323.55"/>
    <n v="3230.35"/>
    <n v="3230.35"/>
    <s v="High"/>
    <n v="2.1999999999999999E-2"/>
    <n v="2.1999999999999999E-2"/>
    <x v="0"/>
    <n v="26"/>
    <n v="82141.339799999987"/>
    <n v="34412.299999999996"/>
    <n v="47729.039799999991"/>
    <n v="0.58105991351263542"/>
  </r>
  <r>
    <s v="ORD-2023-451931"/>
    <x v="203"/>
    <d v="2023-07-30T00:00:00"/>
    <x v="24"/>
    <x v="8"/>
    <s v="2023"/>
    <x v="10"/>
    <d v="2023-08-19T00:00:00"/>
    <d v="2023-08-19T00:00:00"/>
    <s v="Okay"/>
    <n v="20"/>
    <x v="0"/>
    <x v="3"/>
    <x v="7"/>
    <s v="Paris"/>
    <s v="Europe→France→Paris"/>
    <s v="Enterprise"/>
    <x v="2"/>
    <x v="3"/>
    <x v="2"/>
    <e v="#REF!"/>
    <x v="612"/>
    <n v="1418.51"/>
    <n v="2789.61"/>
    <n v="2789.61"/>
    <s v="High"/>
    <n v="0.17100000000000001"/>
    <n v="0.17100000000000001"/>
    <x v="0"/>
    <n v="8"/>
    <n v="18500.693520000001"/>
    <n v="11348.08"/>
    <n v="7152.6135200000008"/>
    <n v="0.38661326464695689"/>
  </r>
  <r>
    <s v="ORD-2025-532859"/>
    <x v="418"/>
    <d v="2025-03-11T00:00:00"/>
    <x v="3"/>
    <x v="0"/>
    <s v="2025"/>
    <x v="3"/>
    <d v="2025-03-27T00:00:00"/>
    <d v="2025-03-27T00:00:00"/>
    <s v="Okay"/>
    <n v="16"/>
    <x v="0"/>
    <x v="1"/>
    <x v="2"/>
    <s v="Tokyo"/>
    <s v="Asia→Japan→Tokyo"/>
    <s v="Enterprise"/>
    <x v="3"/>
    <x v="5"/>
    <x v="1"/>
    <e v="#REF!"/>
    <x v="613"/>
    <n v="1317.58"/>
    <n v="1897.74"/>
    <n v="1897.74"/>
    <s v="Medium"/>
    <n v="8.1000000000000003E-2"/>
    <n v="8.1000000000000003E-2"/>
    <x v="0"/>
    <n v="6"/>
    <n v="10464.138360000001"/>
    <n v="7905.48"/>
    <n v="2558.6583600000013"/>
    <n v="0.24451687009230266"/>
  </r>
  <r>
    <s v="ORD-2023-502205"/>
    <x v="327"/>
    <d v="2023-10-09T00:00:00"/>
    <x v="32"/>
    <x v="1"/>
    <s v="2023"/>
    <x v="4"/>
    <d v="2023-10-11T00:00:00"/>
    <d v="2023-10-11T00:00:00"/>
    <s v="Okay"/>
    <n v="2"/>
    <x v="1"/>
    <x v="0"/>
    <x v="1"/>
    <s v="Port Harcourt"/>
    <s v="Africa→Nigeria→Port Harcourt"/>
    <s v="Education"/>
    <x v="2"/>
    <x v="11"/>
    <x v="2"/>
    <e v="#REF!"/>
    <x v="614"/>
    <n v="391.16"/>
    <n v="902.47"/>
    <n v="902.47"/>
    <s v="Low"/>
    <n v="4.0000000000000001E-3"/>
    <n v="4.0000000000000001E-3"/>
    <x v="0"/>
    <n v="12"/>
    <n v="10786.32144"/>
    <n v="4693.92"/>
    <n v="6092.4014399999996"/>
    <n v="0.56482661618139207"/>
  </r>
  <r>
    <s v="ORD-2024-930679"/>
    <x v="55"/>
    <d v="2024-12-17T00:00:00"/>
    <x v="6"/>
    <x v="3"/>
    <s v="2024"/>
    <x v="1"/>
    <d v="2025-01-16T00:00:00"/>
    <d v="2025-01-16T00:00:00"/>
    <s v="Okay"/>
    <n v="30"/>
    <x v="0"/>
    <x v="3"/>
    <x v="8"/>
    <s v="Manchester"/>
    <s v="Europe→United Kingdom→Manchester"/>
    <s v="Corporate"/>
    <x v="0"/>
    <x v="14"/>
    <x v="5"/>
    <e v="#REF!"/>
    <x v="615"/>
    <n v="722.87"/>
    <n v="-33.659999999999997"/>
    <n v="33.659999999999997"/>
    <s v="Low"/>
    <n v="0.10199999999999999"/>
    <n v="0.10199999999999999"/>
    <x v="0"/>
    <n v="28"/>
    <n v="846.34703999999988"/>
    <n v="20240.36"/>
    <n v="-19394.01296"/>
    <n v="-22.914965189693348"/>
  </r>
  <r>
    <s v="ORD-2025-150713"/>
    <x v="445"/>
    <d v="2025-07-11T00:00:00"/>
    <x v="13"/>
    <x v="8"/>
    <s v="2025"/>
    <x v="7"/>
    <d v="2025-07-16T00:00:00"/>
    <d v="2025-07-16T00:00:00"/>
    <s v="Okay"/>
    <n v="5"/>
    <x v="1"/>
    <x v="3"/>
    <x v="8"/>
    <s v="London"/>
    <s v="Europe→United Kingdom→London"/>
    <s v="Enterprise"/>
    <x v="1"/>
    <x v="11"/>
    <x v="1"/>
    <e v="#REF!"/>
    <x v="616"/>
    <n v="930.03"/>
    <n v="1086.68"/>
    <n v="1086.68"/>
    <s v="Low"/>
    <n v="0.109"/>
    <n v="0.109"/>
    <x v="0"/>
    <n v="26"/>
    <n v="25174.028880000002"/>
    <n v="24180.78"/>
    <n v="993.24888000000283"/>
    <n v="3.9455300728168656E-2"/>
  </r>
  <r>
    <s v="ORD-2024-756884"/>
    <x v="464"/>
    <d v="2024-10-13T00:00:00"/>
    <x v="1"/>
    <x v="1"/>
    <s v="2024"/>
    <x v="1"/>
    <d v="2024-10-24T00:00:00"/>
    <d v="2024-10-24T00:00:00"/>
    <s v="Okay"/>
    <n v="11"/>
    <x v="0"/>
    <x v="3"/>
    <x v="7"/>
    <s v="Paris"/>
    <s v="Europe→France→Paris"/>
    <s v="Education"/>
    <x v="3"/>
    <x v="9"/>
    <x v="0"/>
    <e v="#REF!"/>
    <x v="617"/>
    <n v="816.7"/>
    <n v="1010.75"/>
    <n v="1010.75"/>
    <s v="Low"/>
    <n v="4.7E-2"/>
    <n v="4.7E-2"/>
    <x v="0"/>
    <n v="43"/>
    <n v="41419.524249999995"/>
    <n v="35118.1"/>
    <n v="6301.4242499999964"/>
    <n v="0.15213656757537472"/>
  </r>
  <r>
    <s v="ORD-2023-755337"/>
    <x v="429"/>
    <d v="2023-09-08T00:00:00"/>
    <x v="27"/>
    <x v="6"/>
    <s v="2023"/>
    <x v="10"/>
    <d v="2023-09-14T00:00:00"/>
    <d v="2023-09-14T00:00:00"/>
    <s v="Okay"/>
    <n v="6"/>
    <x v="1"/>
    <x v="0"/>
    <x v="0"/>
    <s v="Nakuru"/>
    <s v="Africa→Kenya→Nakuru"/>
    <s v="Education"/>
    <x v="4"/>
    <x v="2"/>
    <x v="6"/>
    <e v="#REF!"/>
    <x v="618"/>
    <n v="251.03"/>
    <n v="411.48"/>
    <n v="411.48"/>
    <s v="Low"/>
    <n v="0.16500000000000001"/>
    <n v="0.16500000000000001"/>
    <x v="0"/>
    <n v="3"/>
    <n v="1030.7574"/>
    <n v="753.09"/>
    <n v="277.66739999999993"/>
    <n v="0.26938191275658069"/>
  </r>
  <r>
    <s v="ORD-2025-907040"/>
    <x v="448"/>
    <d v="2025-04-17T00:00:00"/>
    <x v="19"/>
    <x v="7"/>
    <s v="2025"/>
    <x v="6"/>
    <d v="2025-05-03T00:00:00"/>
    <d v="2025-05-03T00:00:00"/>
    <s v="Okay"/>
    <n v="16"/>
    <x v="0"/>
    <x v="2"/>
    <x v="5"/>
    <s v="Rio de Janeiro"/>
    <s v="Americas→Brazil→Rio de Janeiro"/>
    <s v="Consumer"/>
    <x v="2"/>
    <x v="1"/>
    <x v="2"/>
    <e v="#REF!"/>
    <x v="619"/>
    <n v="168.68"/>
    <n v="413.34"/>
    <n v="413.34"/>
    <s v="Low"/>
    <n v="0.186"/>
    <n v="0.186"/>
    <x v="0"/>
    <n v="7"/>
    <n v="2355.2113199999999"/>
    <n v="1180.76"/>
    <n v="1174.4513199999999"/>
    <n v="0.49866069767361682"/>
  </r>
  <r>
    <s v="ORD-2024-817997"/>
    <x v="465"/>
    <d v="2024-07-28T00:00:00"/>
    <x v="14"/>
    <x v="8"/>
    <s v="2024"/>
    <x v="9"/>
    <d v="2024-08-23T00:00:00"/>
    <d v="2024-08-23T00:00:00"/>
    <s v="Okay"/>
    <n v="26"/>
    <x v="0"/>
    <x v="1"/>
    <x v="4"/>
    <s v="Hyderabad"/>
    <s v="Asia→India→Hyderabad"/>
    <s v="Corporate"/>
    <x v="0"/>
    <x v="1"/>
    <x v="2"/>
    <e v="#REF!"/>
    <x v="620"/>
    <n v="1339.24"/>
    <n v="1558.89"/>
    <n v="1558.89"/>
    <s v="Medium"/>
    <n v="0.192"/>
    <n v="0.192"/>
    <x v="0"/>
    <n v="24"/>
    <n v="30229.994880000002"/>
    <n v="32141.760000000002"/>
    <n v="-1911.76512"/>
    <n v="-6.3240669659021781E-2"/>
  </r>
  <r>
    <s v="ORD-2025-649633"/>
    <x v="466"/>
    <d v="2025-07-19T00:00:00"/>
    <x v="13"/>
    <x v="8"/>
    <s v="2025"/>
    <x v="7"/>
    <d v="2025-07-31T00:00:00"/>
    <d v="2025-07-31T00:00:00"/>
    <s v="Okay"/>
    <n v="12"/>
    <x v="0"/>
    <x v="0"/>
    <x v="0"/>
    <s v="Nairobi"/>
    <s v="Africa→Kenya→Nairobi"/>
    <s v="Small Business"/>
    <x v="2"/>
    <x v="7"/>
    <x v="6"/>
    <e v="#REF!"/>
    <x v="621"/>
    <n v="619.64"/>
    <n v="861.16"/>
    <n v="861.16"/>
    <s v="Low"/>
    <n v="0.113"/>
    <n v="0.113"/>
    <x v="0"/>
    <n v="14"/>
    <n v="10693.88488"/>
    <n v="8674.9599999999991"/>
    <n v="2018.9248800000005"/>
    <n v="0.18879246435276761"/>
  </r>
  <r>
    <s v="ORD-2023-885216"/>
    <x v="242"/>
    <d v="2023-08-02T00:00:00"/>
    <x v="25"/>
    <x v="11"/>
    <s v="2023"/>
    <x v="10"/>
    <d v="2023-08-02T00:00:00"/>
    <d v="2023-08-10T00:00:00"/>
    <s v="Invalid"/>
    <n v="8"/>
    <x v="0"/>
    <x v="1"/>
    <x v="9"/>
    <s v="Shanghai"/>
    <s v="Asia→China→Shanghai"/>
    <s v="Non-Profit"/>
    <x v="4"/>
    <x v="1"/>
    <x v="2"/>
    <e v="#REF!"/>
    <x v="622"/>
    <n v="1021.97"/>
    <n v="2296.25"/>
    <n v="2296.25"/>
    <s v="High"/>
    <n v="0.161"/>
    <n v="0.161"/>
    <x v="0"/>
    <n v="26"/>
    <n v="50090.397499999999"/>
    <n v="26571.22"/>
    <n v="23519.177499999998"/>
    <n v="0.46953465482081669"/>
  </r>
  <r>
    <s v="ORD-2023-561823"/>
    <x v="112"/>
    <d v="2023-11-19T00:00:00"/>
    <x v="30"/>
    <x v="10"/>
    <s v="2023"/>
    <x v="4"/>
    <d v="2023-12-12T00:00:00"/>
    <d v="2023-12-12T00:00:00"/>
    <s v="Okay"/>
    <n v="23"/>
    <x v="0"/>
    <x v="1"/>
    <x v="4"/>
    <s v="Delhi"/>
    <s v="Asia→India→Delhi"/>
    <s v="Small Business"/>
    <x v="4"/>
    <x v="0"/>
    <x v="2"/>
    <e v="#REF!"/>
    <x v="623"/>
    <n v="1349.04"/>
    <n v="2636.6"/>
    <n v="2636.6"/>
    <s v="High"/>
    <n v="0.114"/>
    <n v="0.114"/>
    <x v="0"/>
    <n v="14"/>
    <n v="32704.386400000003"/>
    <n v="18886.559999999998"/>
    <n v="13817.826400000005"/>
    <n v="0.42250682312143928"/>
  </r>
  <r>
    <s v="ORD-2023-249805"/>
    <x v="81"/>
    <d v="2023-12-22T00:00:00"/>
    <x v="4"/>
    <x v="3"/>
    <s v="2023"/>
    <x v="4"/>
    <d v="2024-01-16T00:00:00"/>
    <d v="2024-01-16T00:00:00"/>
    <s v="Okay"/>
    <n v="25"/>
    <x v="0"/>
    <x v="1"/>
    <x v="4"/>
    <s v="Hyderabad"/>
    <s v="Asia→India→Hyderabad"/>
    <s v="Small Business"/>
    <x v="0"/>
    <x v="8"/>
    <x v="0"/>
    <e v="#REF!"/>
    <x v="624"/>
    <n v="1346.81"/>
    <n v="978.09"/>
    <n v="978.09"/>
    <s v="Low"/>
    <n v="0.159"/>
    <n v="0.159"/>
    <x v="0"/>
    <n v="17"/>
    <n v="13983.752729999998"/>
    <n v="22895.77"/>
    <n v="-8912.0172700000021"/>
    <n v="-0.6373122753293996"/>
  </r>
  <r>
    <s v="ORD-2023-548934"/>
    <x v="242"/>
    <d v="2023-08-03T00:00:00"/>
    <x v="25"/>
    <x v="11"/>
    <s v="2023"/>
    <x v="10"/>
    <d v="2023-08-30T00:00:00"/>
    <d v="2023-08-30T00:00:00"/>
    <s v="Okay"/>
    <n v="27"/>
    <x v="0"/>
    <x v="1"/>
    <x v="9"/>
    <s v="Shanghai"/>
    <s v="Asia→China→Shanghai"/>
    <s v="Consumer"/>
    <x v="3"/>
    <x v="13"/>
    <x v="5"/>
    <e v="#REF!"/>
    <x v="625"/>
    <n v="226.04"/>
    <n v="545.72"/>
    <n v="545.72"/>
    <s v="Low"/>
    <n v="0.151"/>
    <n v="0.151"/>
    <x v="0"/>
    <n v="11"/>
    <n v="5096.4790800000001"/>
    <n v="2486.44"/>
    <n v="2610.03908"/>
    <n v="0.51212592831834014"/>
  </r>
  <r>
    <s v="ORD-2023-921939"/>
    <x v="44"/>
    <d v="2023-06-23T00:00:00"/>
    <x v="23"/>
    <x v="9"/>
    <s v="2023"/>
    <x v="8"/>
    <d v="2023-07-18T00:00:00"/>
    <d v="2023-07-18T00:00:00"/>
    <s v="Okay"/>
    <n v="25"/>
    <x v="0"/>
    <x v="2"/>
    <x v="3"/>
    <s v="Vancouver"/>
    <s v="Americas→Canada→Vancouver"/>
    <s v="Enterprise"/>
    <x v="1"/>
    <x v="13"/>
    <x v="3"/>
    <e v="#REF!"/>
    <x v="626"/>
    <n v="807.02"/>
    <n v="1435.54"/>
    <n v="1435.54"/>
    <s v="Medium"/>
    <n v="0"/>
    <n v="0"/>
    <x v="0"/>
    <n v="23"/>
    <n v="33017.42"/>
    <n v="18561.46"/>
    <n v="14455.96"/>
    <n v="0.43782827368098415"/>
  </r>
  <r>
    <s v="ORD-2023-961864"/>
    <x v="141"/>
    <d v="2023-12-07T00:00:00"/>
    <x v="4"/>
    <x v="3"/>
    <s v="2023"/>
    <x v="4"/>
    <d v="2024-01-02T00:00:00"/>
    <d v="2024-01-02T00:00:00"/>
    <s v="Okay"/>
    <n v="26"/>
    <x v="0"/>
    <x v="3"/>
    <x v="6"/>
    <s v="Frankfurt"/>
    <s v="Europe→Germany→Frankfurt"/>
    <s v="Enterprise"/>
    <x v="3"/>
    <x v="6"/>
    <x v="0"/>
    <e v="#REF!"/>
    <x v="627"/>
    <n v="1071.99"/>
    <n v="2397.3000000000002"/>
    <n v="2397.3000000000002"/>
    <s v="High"/>
    <n v="6.2E-2"/>
    <n v="6.2E-2"/>
    <x v="0"/>
    <n v="18"/>
    <n v="40476.013200000001"/>
    <n v="19295.82"/>
    <n v="21180.193200000002"/>
    <n v="0.52327765324476183"/>
  </r>
  <r>
    <s v="ORD-2023-455933"/>
    <x v="112"/>
    <d v="2023-11-19T00:00:00"/>
    <x v="30"/>
    <x v="10"/>
    <s v="2023"/>
    <x v="4"/>
    <d v="2023-12-19T00:00:00"/>
    <d v="2023-12-19T00:00:00"/>
    <s v="Okay"/>
    <n v="30"/>
    <x v="0"/>
    <x v="1"/>
    <x v="2"/>
    <s v="Nagoya"/>
    <s v="Asia→Japan→Nagoya"/>
    <s v="Consumer"/>
    <x v="0"/>
    <x v="15"/>
    <x v="3"/>
    <e v="#REF!"/>
    <x v="628"/>
    <n v="807.11"/>
    <n v="1853.86"/>
    <n v="1853.86"/>
    <s v="Medium"/>
    <n v="0.13900000000000001"/>
    <n v="0.13900000000000001"/>
    <x v="0"/>
    <n v="8"/>
    <n v="12769.38768"/>
    <n v="6456.88"/>
    <n v="6312.5076799999997"/>
    <n v="0.49434693645388639"/>
  </r>
  <r>
    <s v="ORD-2025-728935"/>
    <x v="467"/>
    <d v="2025-02-28T00:00:00"/>
    <x v="26"/>
    <x v="2"/>
    <s v="2025"/>
    <x v="3"/>
    <d v="2025-03-10T00:00:00"/>
    <d v="2025-03-10T00:00:00"/>
    <s v="Okay"/>
    <n v="10"/>
    <x v="0"/>
    <x v="1"/>
    <x v="2"/>
    <s v="Osaka"/>
    <s v="Asia→Japan→Osaka"/>
    <s v="Education"/>
    <x v="3"/>
    <x v="13"/>
    <x v="4"/>
    <e v="#REF!"/>
    <x v="629"/>
    <n v="51.86"/>
    <n v="45.98"/>
    <n v="45.98"/>
    <s v="Low"/>
    <n v="0.17299999999999999"/>
    <n v="0.17299999999999999"/>
    <x v="0"/>
    <n v="7"/>
    <n v="266.17821999999995"/>
    <n v="363.02"/>
    <n v="-96.841780000000028"/>
    <n v="-0.3638230806412337"/>
  </r>
  <r>
    <m/>
    <x v="468"/>
    <m/>
    <x v="33"/>
    <x v="12"/>
    <m/>
    <x v="11"/>
    <m/>
    <m/>
    <m/>
    <m/>
    <x v="2"/>
    <x v="4"/>
    <x v="12"/>
    <m/>
    <m/>
    <m/>
    <x v="6"/>
    <x v="16"/>
    <x v="7"/>
    <m/>
    <x v="630"/>
    <m/>
    <m/>
    <m/>
    <m/>
    <m/>
    <m/>
    <x v="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9A538A-C01E-478A-8775-CAE32E5F0B0D}" name="PivotTable2"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8" firstHeaderRow="1" firstDataRow="1" firstDataCol="1"/>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axis="axisRow" showAll="0">
      <items count="36">
        <item x="12"/>
        <item x="20"/>
        <item x="19"/>
        <item x="25"/>
        <item x="21"/>
        <item x="28"/>
        <item x="4"/>
        <item x="6"/>
        <item x="2"/>
        <item x="31"/>
        <item x="26"/>
        <item m="1" x="34"/>
        <item x="5"/>
        <item x="9"/>
        <item x="10"/>
        <item x="24"/>
        <item x="14"/>
        <item x="13"/>
        <item x="23"/>
        <item x="17"/>
        <item x="16"/>
        <item x="22"/>
        <item x="0"/>
        <item x="3"/>
        <item x="15"/>
        <item x="7"/>
        <item x="8"/>
        <item x="30"/>
        <item x="18"/>
        <item x="32"/>
        <item x="1"/>
        <item x="27"/>
        <item x="29"/>
        <item x="11"/>
        <item x="33"/>
        <item t="default"/>
      </items>
    </pivotField>
    <pivotField showAll="0">
      <items count="14">
        <item x="4"/>
        <item x="2"/>
        <item x="0"/>
        <item x="7"/>
        <item x="5"/>
        <item x="9"/>
        <item x="8"/>
        <item x="11"/>
        <item x="6"/>
        <item x="1"/>
        <item x="10"/>
        <item x="3"/>
        <item x="12"/>
        <item t="default"/>
      </items>
    </pivotField>
    <pivotField showAll="0"/>
    <pivotField axis="axisRow" showAll="0">
      <items count="14">
        <item m="1" x="12"/>
        <item x="2"/>
        <item x="0"/>
        <item x="3"/>
        <item x="8"/>
        <item x="5"/>
        <item x="6"/>
        <item x="10"/>
        <item x="9"/>
        <item x="7"/>
        <item x="4"/>
        <item x="1"/>
        <item x="11"/>
        <item t="default"/>
      </items>
    </pivotField>
    <pivotField showAll="0"/>
    <pivotField showAll="0"/>
    <pivotField showAll="0"/>
    <pivotField showAll="0"/>
    <pivotField showAll="0"/>
    <pivotField showAll="0">
      <items count="6">
        <item x="0"/>
        <item x="2"/>
        <item x="1"/>
        <item x="3"/>
        <item h="1" x="4"/>
        <item t="default"/>
      </items>
    </pivotField>
    <pivotField axis="axisRow" showAll="0">
      <items count="15">
        <item x="5"/>
        <item sd="0" x="3"/>
        <item sd="0" x="9"/>
        <item sd="0" x="7"/>
        <item sd="0" x="6"/>
        <item sd="0" x="4"/>
        <item sd="0" x="2"/>
        <item sd="0" x="0"/>
        <item sd="0" x="1"/>
        <item m="1" x="13"/>
        <item sd="0" x="11"/>
        <item sd="0" x="8"/>
        <item sd="0"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3">
    <field x="13"/>
    <field x="3"/>
    <field x="6"/>
  </rowFields>
  <rowItems count="45">
    <i>
      <x/>
    </i>
    <i r="1">
      <x v="2"/>
    </i>
    <i r="2">
      <x v="6"/>
    </i>
    <i r="1">
      <x v="4"/>
    </i>
    <i r="2">
      <x v="8"/>
    </i>
    <i r="1">
      <x v="6"/>
    </i>
    <i r="2">
      <x v="10"/>
    </i>
    <i r="1">
      <x v="8"/>
    </i>
    <i r="2">
      <x v="1"/>
    </i>
    <i r="1">
      <x v="9"/>
    </i>
    <i r="2">
      <x v="2"/>
    </i>
    <i r="1">
      <x v="14"/>
    </i>
    <i r="2">
      <x v="3"/>
    </i>
    <i r="1">
      <x v="15"/>
    </i>
    <i r="2">
      <x v="7"/>
    </i>
    <i r="1">
      <x v="18"/>
    </i>
    <i r="2">
      <x v="4"/>
    </i>
    <i r="1">
      <x v="19"/>
    </i>
    <i r="2">
      <x v="5"/>
    </i>
    <i r="1">
      <x v="23"/>
    </i>
    <i r="2">
      <x v="3"/>
    </i>
    <i r="1">
      <x v="24"/>
    </i>
    <i r="2">
      <x v="4"/>
    </i>
    <i r="1">
      <x v="25"/>
    </i>
    <i r="2">
      <x v="5"/>
    </i>
    <i r="1">
      <x v="26"/>
    </i>
    <i r="2">
      <x v="6"/>
    </i>
    <i r="1">
      <x v="31"/>
    </i>
    <i r="2">
      <x v="7"/>
    </i>
    <i r="1">
      <x v="32"/>
    </i>
    <i r="2">
      <x v="8"/>
    </i>
    <i r="1">
      <x v="33"/>
    </i>
    <i r="2">
      <x v="9"/>
    </i>
    <i>
      <x v="1"/>
    </i>
    <i>
      <x v="2"/>
    </i>
    <i>
      <x v="3"/>
    </i>
    <i>
      <x v="4"/>
    </i>
    <i>
      <x v="5"/>
    </i>
    <i>
      <x v="6"/>
    </i>
    <i>
      <x v="7"/>
    </i>
    <i>
      <x v="8"/>
    </i>
    <i>
      <x v="10"/>
    </i>
    <i>
      <x v="11"/>
    </i>
    <i>
      <x v="12"/>
    </i>
    <i t="grand">
      <x/>
    </i>
  </rowItems>
  <colItems count="1">
    <i/>
  </colItems>
  <dataFields count="1">
    <dataField name="Sum of GrossRevenu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F97FF-B01F-4FF0-A810-AEDF9F03052C}" name="PivotTable3"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axis="axisRow" showAll="0" sortType="descending">
      <items count="9">
        <item sd="0" x="6"/>
        <item sd="0" x="0"/>
        <item sd="0" x="4"/>
        <item sd="0" x="5"/>
        <item x="2"/>
        <item sd="0" x="3"/>
        <item sd="0" x="1"/>
        <item h="1" x="7"/>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2">
    <field x="19"/>
    <field x="21"/>
  </rowFields>
  <rowItems count="38">
    <i>
      <x v="2"/>
    </i>
    <i>
      <x v="4"/>
    </i>
    <i r="1">
      <x v="368"/>
    </i>
    <i r="1">
      <x v="356"/>
    </i>
    <i r="1">
      <x v="407"/>
    </i>
    <i r="1">
      <x v="397"/>
    </i>
    <i r="1">
      <x v="399"/>
    </i>
    <i r="1">
      <x v="428"/>
    </i>
    <i r="1">
      <x v="431"/>
    </i>
    <i r="1">
      <x v="367"/>
    </i>
    <i r="1">
      <x v="394"/>
    </i>
    <i r="1">
      <x v="392"/>
    </i>
    <i r="1">
      <x v="414"/>
    </i>
    <i r="1">
      <x v="435"/>
    </i>
    <i r="1">
      <x v="415"/>
    </i>
    <i r="1">
      <x v="389"/>
    </i>
    <i r="1">
      <x v="382"/>
    </i>
    <i r="1">
      <x v="398"/>
    </i>
    <i r="1">
      <x v="358"/>
    </i>
    <i r="1">
      <x v="390"/>
    </i>
    <i r="1">
      <x v="418"/>
    </i>
    <i r="1">
      <x v="421"/>
    </i>
    <i r="1">
      <x v="376"/>
    </i>
    <i r="1">
      <x v="404"/>
    </i>
    <i r="1">
      <x v="384"/>
    </i>
    <i r="1">
      <x v="426"/>
    </i>
    <i r="1">
      <x v="372"/>
    </i>
    <i r="1">
      <x v="411"/>
    </i>
    <i r="1">
      <x v="377"/>
    </i>
    <i r="1">
      <x v="408"/>
    </i>
    <i r="1">
      <x v="354"/>
    </i>
    <i r="1">
      <x v="434"/>
    </i>
    <i>
      <x v="1"/>
    </i>
    <i>
      <x v="6"/>
    </i>
    <i>
      <x/>
    </i>
    <i>
      <x v="5"/>
    </i>
    <i>
      <x v="3"/>
    </i>
    <i t="grand">
      <x/>
    </i>
  </rowItems>
  <colItems count="1">
    <i/>
  </colItems>
  <dataFields count="1">
    <dataField name="Sum of GrossRevenue" fld="30" showDataAs="percentOfTotal" baseField="19" baseItem="68" numFmtId="10"/>
  </dataFields>
  <formats count="3">
    <format dxfId="2">
      <pivotArea collapsedLevelsAreSubtotals="1" fieldPosition="0">
        <references count="2">
          <reference field="19" count="1" selected="0">
            <x v="4"/>
          </reference>
          <reference field="21" count="69">
            <x v="353"/>
            <x v="355"/>
            <x v="356"/>
            <x v="357"/>
            <x v="358"/>
            <x v="359"/>
            <x v="360"/>
            <x v="361"/>
            <x v="362"/>
            <x v="364"/>
            <x v="365"/>
            <x v="366"/>
            <x v="367"/>
            <x v="368"/>
            <x v="369"/>
            <x v="371"/>
            <x v="373"/>
            <x v="375"/>
            <x v="376"/>
            <x v="378"/>
            <x v="379"/>
            <x v="380"/>
            <x v="381"/>
            <x v="382"/>
            <x v="383"/>
            <x v="385"/>
            <x v="386"/>
            <x v="387"/>
            <x v="388"/>
            <x v="389"/>
            <x v="390"/>
            <x v="392"/>
            <x v="393"/>
            <x v="394"/>
            <x v="395"/>
            <x v="396"/>
            <x v="397"/>
            <x v="398"/>
            <x v="399"/>
            <x v="401"/>
            <x v="402"/>
            <x v="403"/>
            <x v="404"/>
            <x v="405"/>
            <x v="406"/>
            <x v="407"/>
            <x v="409"/>
            <x v="410"/>
            <x v="412"/>
            <x v="413"/>
            <x v="414"/>
            <x v="415"/>
            <x v="416"/>
            <x v="417"/>
            <x v="418"/>
            <x v="419"/>
            <x v="421"/>
            <x v="422"/>
            <x v="423"/>
            <x v="425"/>
            <x v="427"/>
            <x v="428"/>
            <x v="429"/>
            <x v="430"/>
            <x v="431"/>
            <x v="432"/>
            <x v="435"/>
            <x v="436"/>
            <x v="437"/>
          </reference>
        </references>
      </pivotArea>
    </format>
    <format dxfId="1">
      <pivotArea collapsedLevelsAreSubtotals="1" fieldPosition="0">
        <references count="2">
          <reference field="19" count="1" selected="0">
            <x v="4"/>
          </reference>
          <reference field="21" count="13">
            <x v="363"/>
            <x v="370"/>
            <x v="372"/>
            <x v="374"/>
            <x v="377"/>
            <x v="384"/>
            <x v="400"/>
            <x v="408"/>
            <x v="411"/>
            <x v="420"/>
            <x v="424"/>
            <x v="426"/>
            <x v="433"/>
          </reference>
        </references>
      </pivotArea>
    </format>
    <format dxfId="0">
      <pivotArea collapsedLevelsAreSubtotals="1" fieldPosition="0">
        <references count="2">
          <reference field="19" count="1" selected="0">
            <x v="4"/>
          </reference>
          <reference field="21" count="4">
            <x v="354"/>
            <x v="391"/>
            <x v="434"/>
            <x v="43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CDAB3-C817-4E63-BB43-E7B5E6394408}" name="PivotTable13"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0" firstHeaderRow="0" firstDataRow="1" firstDataCol="1"/>
  <pivotFields count="37">
    <pivotField dataField="1"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axis="axisRow"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8"/>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Count of OrderID" fld="0" subtotal="count" baseField="0" baseItem="0"/>
    <dataField name="Sum of GrossProfit" fld="3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369429-D370-4BD5-AE17-4F8E29EC1528}" name="PivotTable14"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axis="axisRow"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axis="axisCol"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5">
    <i>
      <x/>
    </i>
    <i>
      <x v="1"/>
    </i>
    <i>
      <x v="2"/>
    </i>
    <i>
      <x v="3"/>
    </i>
    <i t="grand">
      <x/>
    </i>
  </rowItems>
  <colFields count="1">
    <field x="17"/>
  </colFields>
  <colItems count="3">
    <i>
      <x v="3"/>
    </i>
    <i>
      <x v="4"/>
    </i>
    <i t="grand">
      <x/>
    </i>
  </colItems>
  <dataFields count="1">
    <dataField name="Sum of GrossRevenu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A0F7D3-BD48-4020-A289-54AFF4182413}" name="PivotTable15"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rowPageCount="2" colPageCount="1"/>
  <pivotFields count="37">
    <pivotField dataField="1"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axis="axisRow" showAll="0">
      <items count="4">
        <item x="1"/>
        <item x="0"/>
        <item h="1" x="2"/>
        <item t="default"/>
      </items>
    </pivotField>
    <pivotField showAll="0">
      <items count="6">
        <item x="0"/>
        <item x="2"/>
        <item x="1"/>
        <item x="3"/>
        <item h="1" x="4"/>
        <item t="default"/>
      </items>
    </pivotField>
    <pivotField axis="axisPage"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axis="axisPage" multipleItemSelectionAllowed="1"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1"/>
  </rowFields>
  <rowItems count="3">
    <i>
      <x/>
    </i>
    <i>
      <x v="1"/>
    </i>
    <i t="grand">
      <x/>
    </i>
  </rowItems>
  <colItems count="1">
    <i/>
  </colItems>
  <pageFields count="2">
    <pageField fld="13" hier="-1"/>
    <pageField fld="19"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41259D-3B8F-4129-ADCA-C084E9F5C90D}" name="PivotTable16"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dataField="1" showAll="0"/>
    <pivotField axis="axisRow" showAll="0">
      <items count="4">
        <item x="1"/>
        <item x="0"/>
        <item h="1" x="2"/>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8"/>
  </rowFields>
  <rowItems count="2">
    <i>
      <x v="1"/>
    </i>
    <i t="grand">
      <x/>
    </i>
  </rowItems>
  <colItems count="1">
    <i/>
  </colItems>
  <dataFields count="1">
    <dataField name="Count of New Discount%"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0BC535-606B-4D8C-9FA3-7096F5384D9C}" name="PivotTable22"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Margin%" fld="3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4C52BB-4443-4BF5-9A17-20C8DCEFCAF3}" name="PivotTable21"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GrossProfit"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891D1A-FC72-412F-AA4F-172648E160B3}" name="PivotTable20"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GrossRevenu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BA6E64-F0BC-49B2-9ACD-EE5EA3337694}" name="PivotTable17"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GrossRevenue" fld="3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84B585-4F3D-45FC-AE87-3C3EBB44CE80}" name="PivotTable23"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axis="axisRow"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13">
    <i>
      <x/>
    </i>
    <i>
      <x v="1"/>
    </i>
    <i>
      <x v="2"/>
    </i>
    <i>
      <x v="3"/>
    </i>
    <i>
      <x v="4"/>
    </i>
    <i>
      <x v="5"/>
    </i>
    <i>
      <x v="6"/>
    </i>
    <i>
      <x v="7"/>
    </i>
    <i>
      <x v="8"/>
    </i>
    <i>
      <x v="9"/>
    </i>
    <i>
      <x v="10"/>
    </i>
    <i>
      <x v="11"/>
    </i>
    <i t="grand">
      <x/>
    </i>
  </rowItems>
  <colItems count="1">
    <i/>
  </colItems>
  <dataFields count="1">
    <dataField name="Sum of GrossRevenue" fld="3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C9F5DF-495F-44C0-8A53-01E7C8C60CD7}" name="PivotTable24"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axis="axisRow"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axis="axisRow"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2">
    <field x="12"/>
    <field x="17"/>
  </rowFields>
  <rowItems count="13">
    <i>
      <x/>
    </i>
    <i r="1">
      <x v="3"/>
    </i>
    <i r="1">
      <x v="4"/>
    </i>
    <i>
      <x v="1"/>
    </i>
    <i r="1">
      <x v="3"/>
    </i>
    <i r="1">
      <x v="4"/>
    </i>
    <i>
      <x v="2"/>
    </i>
    <i r="1">
      <x v="3"/>
    </i>
    <i r="1">
      <x v="4"/>
    </i>
    <i>
      <x v="3"/>
    </i>
    <i r="1">
      <x v="3"/>
    </i>
    <i r="1">
      <x v="4"/>
    </i>
    <i t="grand">
      <x/>
    </i>
  </rowItems>
  <colItems count="1">
    <i/>
  </colItems>
  <dataFields count="1">
    <dataField name="Sum of GrossProfit" fld="32"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BDF38E-9F8D-431C-863E-BDC7F7AA3B17}" name="PivotTable25"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37">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showAll="0"/>
    <pivotField showAll="0"/>
    <pivotField showAll="0">
      <items count="14">
        <item x="4"/>
        <item x="2"/>
        <item x="0"/>
        <item x="7"/>
        <item x="5"/>
        <item x="9"/>
        <item x="8"/>
        <item x="11"/>
        <item x="6"/>
        <item x="1"/>
        <item x="10"/>
        <item x="3"/>
        <item x="12"/>
        <item t="default"/>
      </items>
    </pivotField>
    <pivotField showAll="0"/>
    <pivotField showAll="0"/>
    <pivotField showAll="0"/>
    <pivotField showAll="0"/>
    <pivotField showAll="0"/>
    <pivotField showAll="0"/>
    <pivotField showAll="0"/>
    <pivotField showAll="0">
      <items count="6">
        <item x="0"/>
        <item x="2"/>
        <item x="1"/>
        <item x="3"/>
        <item h="1" x="4"/>
        <item t="default"/>
      </items>
    </pivotField>
    <pivotField showAll="0">
      <items count="15">
        <item x="5"/>
        <item x="3"/>
        <item x="9"/>
        <item x="7"/>
        <item x="6"/>
        <item x="4"/>
        <item x="2"/>
        <item x="0"/>
        <item x="1"/>
        <item m="1" x="13"/>
        <item x="11"/>
        <item x="8"/>
        <item x="10"/>
        <item x="12"/>
        <item t="default"/>
      </items>
    </pivotField>
    <pivotField showAll="0"/>
    <pivotField showAll="0"/>
    <pivotField showAll="0"/>
    <pivotField showAll="0">
      <items count="8">
        <item h="1" x="4"/>
        <item h="1" x="3"/>
        <item h="1" x="2"/>
        <item x="1"/>
        <item x="0"/>
        <item h="1" x="5"/>
        <item h="1" x="6"/>
        <item t="default"/>
      </items>
    </pivotField>
    <pivotField showAll="0">
      <items count="18">
        <item x="8"/>
        <item x="5"/>
        <item x="0"/>
        <item x="14"/>
        <item x="6"/>
        <item x="9"/>
        <item x="3"/>
        <item x="10"/>
        <item x="2"/>
        <item x="1"/>
        <item x="11"/>
        <item x="4"/>
        <item x="12"/>
        <item x="13"/>
        <item x="7"/>
        <item x="15"/>
        <item h="1" x="16"/>
        <item t="default"/>
      </items>
    </pivotField>
    <pivotField showAll="0">
      <items count="9">
        <item x="6"/>
        <item x="0"/>
        <item x="4"/>
        <item x="5"/>
        <item x="2"/>
        <item x="3"/>
        <item x="1"/>
        <item h="1" x="7"/>
        <item t="default"/>
      </items>
    </pivotField>
    <pivotField showAll="0"/>
    <pivotField axis="axisRow" showAll="0" measureFilter="1">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1"/>
  </rowFields>
  <rowItems count="11">
    <i>
      <x v="23"/>
    </i>
    <i>
      <x v="114"/>
    </i>
    <i>
      <x v="171"/>
    </i>
    <i>
      <x v="207"/>
    </i>
    <i>
      <x v="226"/>
    </i>
    <i>
      <x v="247"/>
    </i>
    <i>
      <x v="248"/>
    </i>
    <i>
      <x v="349"/>
    </i>
    <i>
      <x v="356"/>
    </i>
    <i>
      <x v="368"/>
    </i>
    <i t="grand">
      <x/>
    </i>
  </rowItems>
  <colItems count="1">
    <i/>
  </colItems>
  <dataFields count="1">
    <dataField name="Sum of GrossRevenue" fld="30"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1D585-FD3C-40C8-98F1-6B0C9E6B98A8}" sourceName="Region">
  <pivotTables>
    <pivotTable tabId="10" name="PivotTable14"/>
    <pivotTable tabId="8" name="PivotTable3"/>
    <pivotTable tabId="7" name="PivotTable2"/>
    <pivotTable tabId="14" name="PivotTable17"/>
    <pivotTable tabId="14" name="PivotTable20"/>
    <pivotTable tabId="14" name="PivotTable21"/>
    <pivotTable tabId="14" name="PivotTable22"/>
    <pivotTable tabId="12" name="PivotTable16"/>
    <pivotTable tabId="17" name="PivotTable24"/>
    <pivotTable tabId="16" name="PivotTable23"/>
    <pivotTable tabId="9" name="PivotTable13"/>
    <pivotTable tabId="11" name="PivotTable15"/>
    <pivotTable tabId="18" name="PivotTable25"/>
  </pivotTables>
  <data>
    <tabular pivotCacheId="1460669266">
      <items count="5">
        <i x="0" s="1"/>
        <i x="2" s="1"/>
        <i x="1"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07953F1-EA91-46DD-AF03-347F28E4AE54}" sourceName="Channel">
  <pivotTables>
    <pivotTable tabId="10" name="PivotTable14"/>
    <pivotTable tabId="8" name="PivotTable3"/>
    <pivotTable tabId="7" name="PivotTable2"/>
    <pivotTable tabId="14" name="PivotTable17"/>
    <pivotTable tabId="14" name="PivotTable20"/>
    <pivotTable tabId="14" name="PivotTable21"/>
    <pivotTable tabId="14" name="PivotTable22"/>
    <pivotTable tabId="12" name="PivotTable16"/>
    <pivotTable tabId="17" name="PivotTable24"/>
    <pivotTable tabId="16" name="PivotTable23"/>
    <pivotTable tabId="9" name="PivotTable13"/>
    <pivotTable tabId="11" name="PivotTable15"/>
    <pivotTable tabId="18" name="PivotTable25"/>
  </pivotTables>
  <data>
    <tabular pivotCacheId="1460669266">
      <items count="7">
        <i x="4"/>
        <i x="3"/>
        <i x="2"/>
        <i x="1" s="1"/>
        <i x="0" s="1"/>
        <i x="5"/>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C3B81F-575A-452C-B4EA-380B8A0F58D7}" sourceName="Month">
  <pivotTables>
    <pivotTable tabId="9" name="PivotTable13"/>
    <pivotTable tabId="8" name="PivotTable3"/>
    <pivotTable tabId="10" name="PivotTable14"/>
    <pivotTable tabId="7" name="PivotTable2"/>
    <pivotTable tabId="14" name="PivotTable17"/>
    <pivotTable tabId="14" name="PivotTable20"/>
    <pivotTable tabId="14" name="PivotTable21"/>
    <pivotTable tabId="14" name="PivotTable22"/>
    <pivotTable tabId="12" name="PivotTable16"/>
    <pivotTable tabId="17" name="PivotTable24"/>
    <pivotTable tabId="16" name="PivotTable23"/>
    <pivotTable tabId="11" name="PivotTable15"/>
    <pivotTable tabId="18" name="PivotTable25"/>
  </pivotTables>
  <data>
    <tabular pivotCacheId="1460669266">
      <items count="13">
        <i x="4" s="1"/>
        <i x="2" s="1"/>
        <i x="0" s="1"/>
        <i x="7" s="1"/>
        <i x="5" s="1"/>
        <i x="9" s="1"/>
        <i x="8" s="1"/>
        <i x="11" s="1"/>
        <i x="6" s="1"/>
        <i x="1" s="1"/>
        <i x="10" s="1"/>
        <i x="3"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4B4BA96-5F3D-4F73-AF06-562DCA134DE4}" sourceName="Salesperson">
  <pivotTables>
    <pivotTable tabId="9" name="PivotTable13"/>
    <pivotTable tabId="8" name="PivotTable3"/>
    <pivotTable tabId="10" name="PivotTable14"/>
    <pivotTable tabId="7" name="PivotTable2"/>
    <pivotTable tabId="14" name="PivotTable17"/>
    <pivotTable tabId="14" name="PivotTable20"/>
    <pivotTable tabId="14" name="PivotTable21"/>
    <pivotTable tabId="14" name="PivotTable22"/>
    <pivotTable tabId="12" name="PivotTable16"/>
    <pivotTable tabId="17" name="PivotTable24"/>
    <pivotTable tabId="16" name="PivotTable23"/>
    <pivotTable tabId="11" name="PivotTable15"/>
    <pivotTable tabId="18" name="PivotTable25"/>
  </pivotTables>
  <data>
    <tabular pivotCacheId="1460669266">
      <items count="17">
        <i x="8" s="1"/>
        <i x="5" s="1"/>
        <i x="0" s="1"/>
        <i x="14" s="1"/>
        <i x="6" s="1"/>
        <i x="9" s="1"/>
        <i x="3" s="1"/>
        <i x="10" s="1"/>
        <i x="2" s="1"/>
        <i x="1" s="1"/>
        <i x="11" s="1"/>
        <i x="4" s="1"/>
        <i x="12" s="1"/>
        <i x="13" s="1"/>
        <i x="7" s="1"/>
        <i x="15" s="1"/>
        <i x="1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0B8D1474-C7F6-4DD2-9524-6C49E3791DA9}" sourceName="ProductCategory">
  <pivotTables>
    <pivotTable tabId="8" name="PivotTable3"/>
    <pivotTable tabId="10" name="PivotTable14"/>
    <pivotTable tabId="7" name="PivotTable2"/>
    <pivotTable tabId="14" name="PivotTable17"/>
    <pivotTable tabId="14" name="PivotTable20"/>
    <pivotTable tabId="14" name="PivotTable21"/>
    <pivotTable tabId="14" name="PivotTable22"/>
    <pivotTable tabId="12" name="PivotTable16"/>
    <pivotTable tabId="17" name="PivotTable24"/>
    <pivotTable tabId="16" name="PivotTable23"/>
    <pivotTable tabId="9" name="PivotTable13"/>
    <pivotTable tabId="11" name="PivotTable15"/>
    <pivotTable tabId="18" name="PivotTable25"/>
  </pivotTables>
  <data>
    <tabular pivotCacheId="1460669266">
      <items count="8">
        <i x="6" s="1"/>
        <i x="0" s="1"/>
        <i x="4" s="1"/>
        <i x="5" s="1"/>
        <i x="2" s="1"/>
        <i x="3" s="1"/>
        <i x="1" s="1"/>
        <i x="7"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6E30A10-70B3-4AFD-A2CF-6B76B987D7AE}" sourceName="Country">
  <pivotTables>
    <pivotTable tabId="7" name="PivotTable2"/>
    <pivotTable tabId="8" name="PivotTable3"/>
    <pivotTable tabId="10" name="PivotTable14"/>
    <pivotTable tabId="14" name="PivotTable17"/>
    <pivotTable tabId="14" name="PivotTable20"/>
    <pivotTable tabId="14" name="PivotTable21"/>
    <pivotTable tabId="14" name="PivotTable22"/>
    <pivotTable tabId="12" name="PivotTable16"/>
    <pivotTable tabId="17" name="PivotTable24"/>
    <pivotTable tabId="16" name="PivotTable23"/>
    <pivotTable tabId="9" name="PivotTable13"/>
    <pivotTable tabId="11" name="PivotTable15"/>
    <pivotTable tabId="18" name="PivotTable25"/>
  </pivotTables>
  <data>
    <tabular pivotCacheId="1460669266">
      <items count="14">
        <i x="5" s="1"/>
        <i x="3" s="1"/>
        <i x="9" s="1"/>
        <i x="7" s="1"/>
        <i x="6" s="1"/>
        <i x="4" s="1"/>
        <i x="2" s="1"/>
        <i x="0" s="1"/>
        <i x="1" s="1"/>
        <i x="11" s="1"/>
        <i x="8" s="1"/>
        <i x="10" s="1"/>
        <i x="13"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11FA303-22A9-4B4B-A9A6-57A8DE335CF8}"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BC19D1F2-E1CD-4B1A-AD74-580C2B6032F9}" cache="Slicer_ProductCategory" caption="Product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5992F53-6AE9-4043-A9F0-B83FC51D2703}" cache="Slicer_Month" caption="Month" rowHeight="241300"/>
  <slicer name="Salesperson" xr10:uid="{3F1834EB-6606-436F-991F-ECBFD76A16AD}" cache="Slicer_Salesperson" caption="Salesper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9558FD-6C29-47B3-BCD5-C472362EEE44}" cache="Slicer_Region" caption="Region" rowHeight="241300"/>
  <slicer name="Channel" xr10:uid="{53D6EE4B-95CC-48C3-AEEE-E5782F819406}" cache="Slicer_Channel" caption="Channel"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E73BD3A-51F9-47BE-BCA0-963F4FD0D2DC}" cache="Slicer_Region" caption="Region" rowHeight="241300"/>
  <slicer name="Channel 1" xr10:uid="{5A545386-8F1C-48A4-B615-DAE260E6BB37}" cache="Slicer_Channel" caption="Channel" rowHeight="241300"/>
  <slicer name="Month 1" xr10:uid="{F071479D-BD2F-4900-BA01-A3DAD85B1F04}" cache="Slicer_Month" caption="Month" rowHeight="241300"/>
  <slicer name="Salesperson 1" xr10:uid="{778BA933-C888-4FB1-849B-D001DDBB225B}" cache="Slicer_Salesperson" caption="Salesperson" rowHeight="241300"/>
  <slicer name="ProductCategory 1" xr10:uid="{B3AC4867-BAAB-4FCF-93BF-7EED1A88805B}" cache="Slicer_ProductCategory" caption="ProductCategory" rowHeight="241300"/>
  <slicer name="Country 1" xr10:uid="{ED0146E8-AB47-4387-A641-C16123A7E645}" cache="Slicer_Country" caption="Country"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E015-C03C-45C0-9EC3-D65CA6FD6E79}">
  <dimension ref="A1:O633"/>
  <sheetViews>
    <sheetView workbookViewId="0">
      <selection activeCell="E624" sqref="E624"/>
    </sheetView>
  </sheetViews>
  <sheetFormatPr defaultRowHeight="14.5" x14ac:dyDescent="0.35"/>
  <cols>
    <col min="1" max="1" width="15.90625" bestFit="1" customWidth="1"/>
    <col min="2" max="2" width="10.08984375" bestFit="1" customWidth="1"/>
    <col min="3" max="3" width="12.36328125" bestFit="1" customWidth="1"/>
    <col min="4" max="4" width="8.453125" bestFit="1" customWidth="1"/>
    <col min="5" max="5" width="14.1796875" bestFit="1" customWidth="1"/>
    <col min="6" max="6" width="12.453125" bestFit="1" customWidth="1"/>
    <col min="7" max="7" width="16.36328125" bestFit="1" customWidth="1"/>
    <col min="8" max="8" width="11.1796875" bestFit="1" customWidth="1"/>
    <col min="9" max="9" width="10.81640625" bestFit="1" customWidth="1"/>
    <col min="10" max="10" width="15" bestFit="1" customWidth="1"/>
    <col min="11" max="11" width="9.81640625" bestFit="1" customWidth="1"/>
    <col min="12" max="12" width="8.08984375" bestFit="1" customWidth="1"/>
    <col min="13" max="13" width="8.453125" bestFit="1" customWidth="1"/>
    <col min="14" max="14" width="10.81640625" bestFit="1" customWidth="1"/>
    <col min="15" max="15" width="8.179687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8">
        <v>45362</v>
      </c>
      <c r="C2" s="8">
        <v>45388</v>
      </c>
      <c r="D2" t="s">
        <v>646</v>
      </c>
      <c r="E2" t="s">
        <v>650</v>
      </c>
      <c r="F2" t="s">
        <v>662</v>
      </c>
      <c r="G2" t="s">
        <v>701</v>
      </c>
      <c r="H2" t="s">
        <v>707</v>
      </c>
      <c r="I2" t="s">
        <v>712</v>
      </c>
      <c r="J2" t="s">
        <v>727</v>
      </c>
      <c r="K2" t="s">
        <v>734</v>
      </c>
      <c r="L2">
        <v>279.24</v>
      </c>
      <c r="M2">
        <v>608.9</v>
      </c>
      <c r="N2">
        <v>0.112</v>
      </c>
      <c r="O2">
        <v>9</v>
      </c>
    </row>
    <row r="3" spans="1:15" x14ac:dyDescent="0.35">
      <c r="A3" t="s">
        <v>16</v>
      </c>
      <c r="B3" s="8">
        <v>45588</v>
      </c>
      <c r="C3" s="8">
        <v>45587</v>
      </c>
      <c r="D3" t="s">
        <v>646</v>
      </c>
      <c r="E3" t="s">
        <v>651</v>
      </c>
      <c r="F3" t="s">
        <v>663</v>
      </c>
      <c r="G3" t="s">
        <v>702</v>
      </c>
      <c r="H3" t="s">
        <v>708</v>
      </c>
      <c r="I3" t="s">
        <v>713</v>
      </c>
      <c r="J3" t="s">
        <v>728</v>
      </c>
      <c r="K3" t="s">
        <v>735</v>
      </c>
      <c r="L3">
        <v>1084.3900000000001</v>
      </c>
      <c r="M3">
        <v>759.33</v>
      </c>
      <c r="N3">
        <v>0.23699999999999999</v>
      </c>
      <c r="O3">
        <v>31</v>
      </c>
    </row>
    <row r="4" spans="1:15" x14ac:dyDescent="0.35">
      <c r="A4" t="s">
        <v>17</v>
      </c>
      <c r="B4" s="8">
        <v>44985</v>
      </c>
      <c r="C4" s="8">
        <v>45010</v>
      </c>
      <c r="D4" t="s">
        <v>646</v>
      </c>
      <c r="E4" t="s">
        <v>650</v>
      </c>
      <c r="F4" t="s">
        <v>664</v>
      </c>
      <c r="G4" t="s">
        <v>701</v>
      </c>
      <c r="H4" t="s">
        <v>707</v>
      </c>
      <c r="I4" t="s">
        <v>714</v>
      </c>
      <c r="J4" t="s">
        <v>729</v>
      </c>
      <c r="K4" t="s">
        <v>736</v>
      </c>
      <c r="L4">
        <v>1460.76</v>
      </c>
      <c r="M4">
        <v>-30.66</v>
      </c>
      <c r="N4">
        <v>0.13100000000000001</v>
      </c>
      <c r="O4">
        <v>12</v>
      </c>
    </row>
    <row r="5" spans="1:15" x14ac:dyDescent="0.35">
      <c r="A5" t="s">
        <v>18</v>
      </c>
      <c r="B5" s="8">
        <v>45745</v>
      </c>
      <c r="C5" s="8">
        <v>45749</v>
      </c>
      <c r="D5" t="s">
        <v>646</v>
      </c>
      <c r="E5" t="s">
        <v>651</v>
      </c>
      <c r="F5" t="s">
        <v>665</v>
      </c>
      <c r="G5" t="s">
        <v>703</v>
      </c>
      <c r="H5" t="s">
        <v>709</v>
      </c>
      <c r="I5" t="s">
        <v>715</v>
      </c>
      <c r="J5" t="s">
        <v>730</v>
      </c>
      <c r="K5" t="s">
        <v>737</v>
      </c>
      <c r="L5">
        <v>259.93</v>
      </c>
      <c r="M5">
        <v>255.94</v>
      </c>
      <c r="N5">
        <v>7.1999999999999995E-2</v>
      </c>
      <c r="O5">
        <v>22</v>
      </c>
    </row>
    <row r="6" spans="1:15" x14ac:dyDescent="0.35">
      <c r="A6" t="s">
        <v>19</v>
      </c>
      <c r="B6" s="8">
        <v>45266</v>
      </c>
      <c r="C6" s="8">
        <v>45291</v>
      </c>
      <c r="D6" t="s">
        <v>647</v>
      </c>
      <c r="E6" t="s">
        <v>652</v>
      </c>
      <c r="F6" t="s">
        <v>666</v>
      </c>
      <c r="G6" t="s">
        <v>704</v>
      </c>
      <c r="H6" t="s">
        <v>707</v>
      </c>
      <c r="I6" t="s">
        <v>716</v>
      </c>
      <c r="J6" t="s">
        <v>728</v>
      </c>
      <c r="K6" t="s">
        <v>738</v>
      </c>
      <c r="L6">
        <v>663.03</v>
      </c>
      <c r="M6">
        <v>813.51</v>
      </c>
      <c r="N6">
        <v>0.10199999999999999</v>
      </c>
      <c r="O6">
        <v>15</v>
      </c>
    </row>
    <row r="7" spans="1:15" x14ac:dyDescent="0.35">
      <c r="A7" t="s">
        <v>20</v>
      </c>
      <c r="B7" s="8">
        <v>44928</v>
      </c>
      <c r="C7" s="8">
        <v>44931</v>
      </c>
      <c r="D7" t="s">
        <v>648</v>
      </c>
      <c r="E7" t="s">
        <v>653</v>
      </c>
      <c r="F7" t="s">
        <v>667</v>
      </c>
      <c r="G7" t="s">
        <v>701</v>
      </c>
      <c r="H7" t="s">
        <v>710</v>
      </c>
      <c r="I7" t="s">
        <v>717</v>
      </c>
      <c r="J7" t="s">
        <v>731</v>
      </c>
      <c r="K7" t="s">
        <v>739</v>
      </c>
      <c r="L7">
        <v>315.87</v>
      </c>
      <c r="M7">
        <v>591.67999999999995</v>
      </c>
      <c r="N7">
        <v>0</v>
      </c>
      <c r="O7">
        <v>7</v>
      </c>
    </row>
    <row r="8" spans="1:15" x14ac:dyDescent="0.35">
      <c r="A8" t="s">
        <v>21</v>
      </c>
      <c r="B8" s="8">
        <v>45653</v>
      </c>
      <c r="C8" s="8">
        <v>45671</v>
      </c>
      <c r="D8" t="s">
        <v>647</v>
      </c>
      <c r="E8" t="s">
        <v>654</v>
      </c>
      <c r="F8" t="s">
        <v>668</v>
      </c>
      <c r="G8" t="s">
        <v>705</v>
      </c>
      <c r="H8" t="s">
        <v>709</v>
      </c>
      <c r="I8" t="s">
        <v>718</v>
      </c>
      <c r="J8" t="s">
        <v>732</v>
      </c>
      <c r="K8" t="s">
        <v>740</v>
      </c>
      <c r="L8">
        <v>586.07000000000005</v>
      </c>
      <c r="M8">
        <v>845.97</v>
      </c>
      <c r="N8">
        <v>0.14699999999999999</v>
      </c>
      <c r="O8">
        <v>4</v>
      </c>
    </row>
    <row r="9" spans="1:15" x14ac:dyDescent="0.35">
      <c r="A9" t="s">
        <v>22</v>
      </c>
      <c r="B9" s="8">
        <v>44941</v>
      </c>
      <c r="C9" s="8">
        <v>44939</v>
      </c>
      <c r="D9" t="s">
        <v>646</v>
      </c>
      <c r="E9" t="s">
        <v>651</v>
      </c>
      <c r="F9" t="s">
        <v>669</v>
      </c>
      <c r="G9" t="s">
        <v>702</v>
      </c>
      <c r="H9" t="s">
        <v>708</v>
      </c>
      <c r="I9" t="s">
        <v>719</v>
      </c>
      <c r="J9" t="s">
        <v>728</v>
      </c>
      <c r="K9" t="s">
        <v>741</v>
      </c>
      <c r="L9">
        <v>28.38</v>
      </c>
      <c r="M9">
        <v>47.22</v>
      </c>
      <c r="N9">
        <v>0.19400000000000001</v>
      </c>
      <c r="O9">
        <v>18</v>
      </c>
    </row>
    <row r="10" spans="1:15" x14ac:dyDescent="0.35">
      <c r="A10" t="s">
        <v>23</v>
      </c>
      <c r="B10" s="8">
        <v>45416</v>
      </c>
      <c r="C10" s="8">
        <v>45441</v>
      </c>
      <c r="D10" t="s">
        <v>646</v>
      </c>
      <c r="E10" t="s">
        <v>651</v>
      </c>
      <c r="F10" t="s">
        <v>669</v>
      </c>
      <c r="G10" t="s">
        <v>703</v>
      </c>
      <c r="H10" t="s">
        <v>709</v>
      </c>
      <c r="I10" t="s">
        <v>719</v>
      </c>
      <c r="J10" t="s">
        <v>732</v>
      </c>
      <c r="K10" t="s">
        <v>742</v>
      </c>
      <c r="L10">
        <v>1295.3399999999999</v>
      </c>
      <c r="M10">
        <v>2530.81</v>
      </c>
      <c r="N10">
        <v>3.1E-2</v>
      </c>
      <c r="O10">
        <v>6</v>
      </c>
    </row>
    <row r="11" spans="1:15" x14ac:dyDescent="0.35">
      <c r="A11" t="s">
        <v>24</v>
      </c>
      <c r="B11" s="8">
        <v>45798</v>
      </c>
      <c r="C11" s="8">
        <v>45817</v>
      </c>
      <c r="D11" t="s">
        <v>648</v>
      </c>
      <c r="E11" t="s">
        <v>655</v>
      </c>
      <c r="F11" t="s">
        <v>670</v>
      </c>
      <c r="G11" t="s">
        <v>703</v>
      </c>
      <c r="H11" t="s">
        <v>708</v>
      </c>
      <c r="I11" t="s">
        <v>720</v>
      </c>
      <c r="J11" t="s">
        <v>727</v>
      </c>
      <c r="K11" t="s">
        <v>743</v>
      </c>
      <c r="L11">
        <v>1331.38</v>
      </c>
      <c r="M11">
        <v>2309.56</v>
      </c>
      <c r="N11">
        <v>0.14899999999999999</v>
      </c>
      <c r="O11">
        <v>31</v>
      </c>
    </row>
    <row r="12" spans="1:15" x14ac:dyDescent="0.35">
      <c r="A12" t="s">
        <v>25</v>
      </c>
      <c r="B12" s="8">
        <v>45319</v>
      </c>
      <c r="C12" s="8">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5">
      <c r="A13" t="s">
        <v>26</v>
      </c>
      <c r="B13" s="8">
        <v>45660</v>
      </c>
      <c r="C13" s="8">
        <v>45680</v>
      </c>
      <c r="D13" t="s">
        <v>647</v>
      </c>
      <c r="E13" t="s">
        <v>652</v>
      </c>
      <c r="F13" t="s">
        <v>666</v>
      </c>
      <c r="G13" t="s">
        <v>701</v>
      </c>
      <c r="H13" t="s">
        <v>710</v>
      </c>
      <c r="I13" t="s">
        <v>721</v>
      </c>
      <c r="J13" t="s">
        <v>730</v>
      </c>
      <c r="K13" t="s">
        <v>745</v>
      </c>
      <c r="L13">
        <v>908.6</v>
      </c>
      <c r="M13">
        <v>691.37</v>
      </c>
      <c r="N13">
        <v>0.25</v>
      </c>
      <c r="O13">
        <v>20</v>
      </c>
    </row>
    <row r="14" spans="1:15" x14ac:dyDescent="0.35">
      <c r="A14" t="s">
        <v>27</v>
      </c>
      <c r="B14" s="8">
        <v>45722</v>
      </c>
      <c r="C14" s="8">
        <v>45747</v>
      </c>
      <c r="D14" t="s">
        <v>648</v>
      </c>
      <c r="E14" t="s">
        <v>655</v>
      </c>
      <c r="F14" t="s">
        <v>672</v>
      </c>
      <c r="G14" t="s">
        <v>703</v>
      </c>
      <c r="H14" t="s">
        <v>708</v>
      </c>
      <c r="I14" t="s">
        <v>713</v>
      </c>
      <c r="J14" t="s">
        <v>727</v>
      </c>
      <c r="K14" t="s">
        <v>746</v>
      </c>
      <c r="L14">
        <v>331.57</v>
      </c>
      <c r="M14">
        <v>548.4</v>
      </c>
      <c r="N14">
        <v>9.4E-2</v>
      </c>
      <c r="O14">
        <v>10</v>
      </c>
    </row>
    <row r="15" spans="1:15" x14ac:dyDescent="0.35">
      <c r="A15" t="s">
        <v>28</v>
      </c>
      <c r="B15" s="8">
        <v>45311</v>
      </c>
      <c r="C15" s="8">
        <v>45335</v>
      </c>
      <c r="D15" t="s">
        <v>649</v>
      </c>
      <c r="E15" t="s">
        <v>657</v>
      </c>
      <c r="F15" t="s">
        <v>673</v>
      </c>
      <c r="G15" t="s">
        <v>701</v>
      </c>
      <c r="H15" t="s">
        <v>707</v>
      </c>
      <c r="I15" t="s">
        <v>722</v>
      </c>
      <c r="J15" t="s">
        <v>728</v>
      </c>
      <c r="K15" t="s">
        <v>747</v>
      </c>
      <c r="L15">
        <v>643.53</v>
      </c>
      <c r="M15">
        <v>1439.01</v>
      </c>
      <c r="N15">
        <v>0</v>
      </c>
      <c r="O15">
        <v>15</v>
      </c>
    </row>
    <row r="16" spans="1:15" x14ac:dyDescent="0.35">
      <c r="A16" t="s">
        <v>29</v>
      </c>
      <c r="B16" s="8">
        <v>45901</v>
      </c>
      <c r="C16" s="8">
        <v>45930</v>
      </c>
      <c r="D16" t="s">
        <v>648</v>
      </c>
      <c r="E16" t="s">
        <v>655</v>
      </c>
      <c r="F16" t="s">
        <v>672</v>
      </c>
      <c r="G16" t="s">
        <v>702</v>
      </c>
      <c r="H16" t="s">
        <v>707</v>
      </c>
      <c r="I16" t="s">
        <v>723</v>
      </c>
      <c r="J16" t="s">
        <v>733</v>
      </c>
      <c r="K16" t="s">
        <v>748</v>
      </c>
      <c r="L16">
        <v>780.59</v>
      </c>
      <c r="M16">
        <v>631.57000000000005</v>
      </c>
      <c r="N16">
        <v>0</v>
      </c>
      <c r="O16">
        <v>12</v>
      </c>
    </row>
    <row r="17" spans="1:15" x14ac:dyDescent="0.35">
      <c r="A17" t="s">
        <v>30</v>
      </c>
      <c r="B17" s="8">
        <v>45039</v>
      </c>
      <c r="C17" s="8">
        <v>45038</v>
      </c>
      <c r="D17" t="s">
        <v>646</v>
      </c>
      <c r="E17" t="s">
        <v>650</v>
      </c>
      <c r="F17" t="s">
        <v>664</v>
      </c>
      <c r="G17" t="s">
        <v>705</v>
      </c>
      <c r="H17" t="s">
        <v>711</v>
      </c>
      <c r="I17" t="s">
        <v>718</v>
      </c>
      <c r="J17" t="s">
        <v>731</v>
      </c>
      <c r="K17" t="s">
        <v>749</v>
      </c>
      <c r="L17">
        <v>756.51</v>
      </c>
      <c r="M17">
        <v>850.8</v>
      </c>
      <c r="N17">
        <v>7.3999999999999996E-2</v>
      </c>
      <c r="O17">
        <v>9</v>
      </c>
    </row>
    <row r="18" spans="1:15" x14ac:dyDescent="0.35">
      <c r="A18" t="s">
        <v>31</v>
      </c>
      <c r="B18" s="8">
        <v>45636</v>
      </c>
      <c r="C18" s="8">
        <v>45665</v>
      </c>
      <c r="D18" t="s">
        <v>649</v>
      </c>
      <c r="E18" t="s">
        <v>657</v>
      </c>
      <c r="F18" t="s">
        <v>673</v>
      </c>
      <c r="G18" t="s">
        <v>705</v>
      </c>
      <c r="H18" t="s">
        <v>707</v>
      </c>
      <c r="I18" t="s">
        <v>723</v>
      </c>
      <c r="J18" t="s">
        <v>728</v>
      </c>
      <c r="K18" t="s">
        <v>750</v>
      </c>
      <c r="L18">
        <v>891.08</v>
      </c>
      <c r="M18">
        <v>1040.0999999999999</v>
      </c>
      <c r="N18">
        <v>0.109</v>
      </c>
      <c r="O18">
        <v>28</v>
      </c>
    </row>
    <row r="19" spans="1:15" x14ac:dyDescent="0.35">
      <c r="A19" t="s">
        <v>32</v>
      </c>
      <c r="B19" s="8">
        <v>45908</v>
      </c>
      <c r="C19" s="8">
        <v>45916</v>
      </c>
      <c r="D19" t="s">
        <v>647</v>
      </c>
      <c r="E19" t="s">
        <v>652</v>
      </c>
      <c r="F19" t="s">
        <v>666</v>
      </c>
      <c r="G19" t="s">
        <v>701</v>
      </c>
      <c r="H19" t="s">
        <v>710</v>
      </c>
      <c r="I19" t="s">
        <v>712</v>
      </c>
      <c r="J19" t="s">
        <v>730</v>
      </c>
      <c r="K19" t="s">
        <v>751</v>
      </c>
      <c r="L19">
        <v>1225.57</v>
      </c>
      <c r="M19">
        <v>2705.57</v>
      </c>
      <c r="N19">
        <v>0.183</v>
      </c>
      <c r="O19">
        <v>16</v>
      </c>
    </row>
    <row r="20" spans="1:15" x14ac:dyDescent="0.35">
      <c r="A20" t="s">
        <v>33</v>
      </c>
      <c r="B20" s="8">
        <v>45858</v>
      </c>
      <c r="C20" s="8">
        <v>45874</v>
      </c>
      <c r="D20" t="s">
        <v>648</v>
      </c>
      <c r="E20" t="s">
        <v>655</v>
      </c>
      <c r="F20" t="s">
        <v>672</v>
      </c>
      <c r="G20" t="s">
        <v>706</v>
      </c>
      <c r="H20" t="s">
        <v>709</v>
      </c>
      <c r="I20" t="s">
        <v>715</v>
      </c>
      <c r="J20" t="s">
        <v>733</v>
      </c>
      <c r="K20" t="s">
        <v>752</v>
      </c>
      <c r="L20">
        <v>1068.17</v>
      </c>
      <c r="M20">
        <v>2375.37</v>
      </c>
      <c r="N20">
        <v>0.109</v>
      </c>
      <c r="O20">
        <v>18</v>
      </c>
    </row>
    <row r="21" spans="1:15" x14ac:dyDescent="0.35">
      <c r="A21" t="s">
        <v>34</v>
      </c>
      <c r="B21" s="8">
        <v>45798</v>
      </c>
      <c r="C21" s="8">
        <v>45796</v>
      </c>
      <c r="D21" t="s">
        <v>649</v>
      </c>
      <c r="E21" t="s">
        <v>658</v>
      </c>
      <c r="F21" t="s">
        <v>674</v>
      </c>
      <c r="G21" t="s">
        <v>706</v>
      </c>
      <c r="H21" t="s">
        <v>708</v>
      </c>
      <c r="I21" t="s">
        <v>724</v>
      </c>
      <c r="J21" t="s">
        <v>731</v>
      </c>
      <c r="K21" t="s">
        <v>753</v>
      </c>
      <c r="L21">
        <v>1015.16</v>
      </c>
      <c r="M21">
        <v>2148.14</v>
      </c>
      <c r="N21">
        <v>3.7999999999999999E-2</v>
      </c>
      <c r="O21">
        <v>19</v>
      </c>
    </row>
    <row r="22" spans="1:15" x14ac:dyDescent="0.35">
      <c r="A22" t="s">
        <v>35</v>
      </c>
      <c r="B22" s="8">
        <v>45498</v>
      </c>
      <c r="C22" s="8">
        <v>45497</v>
      </c>
      <c r="D22" t="s">
        <v>646</v>
      </c>
      <c r="E22" t="s">
        <v>650</v>
      </c>
      <c r="F22" t="s">
        <v>675</v>
      </c>
      <c r="G22" t="s">
        <v>703</v>
      </c>
      <c r="H22" t="s">
        <v>711</v>
      </c>
      <c r="I22" t="s">
        <v>713</v>
      </c>
      <c r="J22" t="s">
        <v>731</v>
      </c>
      <c r="K22" t="s">
        <v>754</v>
      </c>
      <c r="L22">
        <v>1494.4</v>
      </c>
      <c r="M22">
        <v>3661.07</v>
      </c>
      <c r="N22">
        <v>7.1999999999999995E-2</v>
      </c>
      <c r="O22">
        <v>7</v>
      </c>
    </row>
    <row r="23" spans="1:15" x14ac:dyDescent="0.35">
      <c r="A23" t="s">
        <v>36</v>
      </c>
      <c r="B23" s="8">
        <v>45057</v>
      </c>
      <c r="C23" s="8">
        <v>45074</v>
      </c>
      <c r="D23" t="s">
        <v>647</v>
      </c>
      <c r="E23" t="s">
        <v>659</v>
      </c>
      <c r="F23" t="s">
        <v>676</v>
      </c>
      <c r="G23" t="s">
        <v>706</v>
      </c>
      <c r="H23" t="s">
        <v>709</v>
      </c>
      <c r="I23" t="s">
        <v>718</v>
      </c>
      <c r="J23" t="s">
        <v>729</v>
      </c>
      <c r="K23" t="s">
        <v>755</v>
      </c>
      <c r="L23">
        <v>1331.19</v>
      </c>
      <c r="M23">
        <v>2903.09</v>
      </c>
      <c r="N23">
        <v>0.14299999999999999</v>
      </c>
      <c r="O23">
        <v>8</v>
      </c>
    </row>
    <row r="24" spans="1:15" x14ac:dyDescent="0.35">
      <c r="A24" t="s">
        <v>37</v>
      </c>
      <c r="B24" s="8">
        <v>45822</v>
      </c>
      <c r="C24" s="8">
        <v>45837</v>
      </c>
      <c r="D24" t="s">
        <v>646</v>
      </c>
      <c r="E24" t="s">
        <v>651</v>
      </c>
      <c r="F24" t="s">
        <v>663</v>
      </c>
      <c r="G24" t="s">
        <v>704</v>
      </c>
      <c r="H24" t="s">
        <v>709</v>
      </c>
      <c r="I24" t="s">
        <v>724</v>
      </c>
      <c r="J24" t="s">
        <v>733</v>
      </c>
      <c r="K24" t="s">
        <v>756</v>
      </c>
      <c r="L24">
        <v>730.99</v>
      </c>
      <c r="M24">
        <v>1242.8399999999999</v>
      </c>
      <c r="N24">
        <v>0.12</v>
      </c>
      <c r="O24">
        <v>10</v>
      </c>
    </row>
    <row r="25" spans="1:15" x14ac:dyDescent="0.35">
      <c r="A25" t="s">
        <v>38</v>
      </c>
      <c r="B25" s="8">
        <v>45430</v>
      </c>
      <c r="C25" s="8">
        <v>45435</v>
      </c>
      <c r="D25" t="s">
        <v>648</v>
      </c>
      <c r="E25" t="s">
        <v>660</v>
      </c>
      <c r="F25" t="s">
        <v>677</v>
      </c>
      <c r="G25" t="s">
        <v>706</v>
      </c>
      <c r="H25" t="s">
        <v>707</v>
      </c>
      <c r="I25" t="s">
        <v>722</v>
      </c>
      <c r="J25" t="s">
        <v>731</v>
      </c>
      <c r="K25" t="s">
        <v>757</v>
      </c>
      <c r="L25">
        <v>1274.5899999999999</v>
      </c>
      <c r="M25">
        <v>2553.69</v>
      </c>
      <c r="N25">
        <v>0.01</v>
      </c>
      <c r="O25">
        <v>8</v>
      </c>
    </row>
    <row r="26" spans="1:15" x14ac:dyDescent="0.35">
      <c r="A26" t="s">
        <v>39</v>
      </c>
      <c r="B26" s="8">
        <v>44964</v>
      </c>
      <c r="C26" s="8">
        <v>44969</v>
      </c>
      <c r="D26" t="s">
        <v>648</v>
      </c>
      <c r="E26" t="s">
        <v>655</v>
      </c>
      <c r="F26" t="s">
        <v>670</v>
      </c>
      <c r="G26" t="s">
        <v>702</v>
      </c>
      <c r="H26" t="s">
        <v>708</v>
      </c>
      <c r="I26" t="s">
        <v>725</v>
      </c>
      <c r="J26" t="s">
        <v>727</v>
      </c>
      <c r="K26" t="s">
        <v>758</v>
      </c>
      <c r="L26">
        <v>948.55</v>
      </c>
      <c r="M26">
        <v>2089.16</v>
      </c>
      <c r="N26">
        <v>7.0000000000000001E-3</v>
      </c>
      <c r="O26">
        <v>12</v>
      </c>
    </row>
    <row r="27" spans="1:15" x14ac:dyDescent="0.35">
      <c r="A27" t="s">
        <v>40</v>
      </c>
      <c r="B27" s="8">
        <v>45473</v>
      </c>
      <c r="C27" s="8">
        <v>45487</v>
      </c>
      <c r="D27" t="s">
        <v>648</v>
      </c>
      <c r="E27" t="s">
        <v>655</v>
      </c>
      <c r="F27" t="s">
        <v>672</v>
      </c>
      <c r="G27" t="s">
        <v>702</v>
      </c>
      <c r="H27" t="s">
        <v>707</v>
      </c>
      <c r="I27" t="s">
        <v>712</v>
      </c>
      <c r="J27" t="s">
        <v>733</v>
      </c>
      <c r="K27" t="s">
        <v>759</v>
      </c>
      <c r="L27">
        <v>1491.85</v>
      </c>
      <c r="M27">
        <v>2583.02</v>
      </c>
      <c r="N27">
        <v>0.16800000000000001</v>
      </c>
      <c r="O27">
        <v>4</v>
      </c>
    </row>
    <row r="28" spans="1:15" x14ac:dyDescent="0.35">
      <c r="A28" t="s">
        <v>41</v>
      </c>
      <c r="B28" s="8">
        <v>45626</v>
      </c>
      <c r="C28" s="8">
        <v>45656</v>
      </c>
      <c r="D28" t="s">
        <v>649</v>
      </c>
      <c r="E28" t="s">
        <v>657</v>
      </c>
      <c r="F28" t="s">
        <v>673</v>
      </c>
      <c r="G28" t="s">
        <v>704</v>
      </c>
      <c r="H28" t="s">
        <v>709</v>
      </c>
      <c r="I28" t="s">
        <v>721</v>
      </c>
      <c r="J28" t="s">
        <v>728</v>
      </c>
      <c r="K28" t="s">
        <v>760</v>
      </c>
      <c r="L28">
        <v>117.64</v>
      </c>
      <c r="M28">
        <v>175.67</v>
      </c>
      <c r="N28">
        <v>0</v>
      </c>
      <c r="O28">
        <v>10</v>
      </c>
    </row>
    <row r="29" spans="1:15" x14ac:dyDescent="0.35">
      <c r="A29" t="s">
        <v>42</v>
      </c>
      <c r="B29" s="8">
        <v>45492</v>
      </c>
      <c r="C29" s="8">
        <v>45492</v>
      </c>
      <c r="D29" t="s">
        <v>646</v>
      </c>
      <c r="E29" t="s">
        <v>650</v>
      </c>
      <c r="F29" t="s">
        <v>662</v>
      </c>
      <c r="G29" t="s">
        <v>705</v>
      </c>
      <c r="H29" t="s">
        <v>707</v>
      </c>
      <c r="I29" t="s">
        <v>720</v>
      </c>
      <c r="J29" t="s">
        <v>730</v>
      </c>
      <c r="K29" t="s">
        <v>761</v>
      </c>
      <c r="L29">
        <v>857.24</v>
      </c>
      <c r="M29">
        <v>758.23</v>
      </c>
      <c r="N29">
        <v>0.125</v>
      </c>
      <c r="O29">
        <v>6</v>
      </c>
    </row>
    <row r="30" spans="1:15" x14ac:dyDescent="0.35">
      <c r="A30" t="s">
        <v>43</v>
      </c>
      <c r="B30" s="8">
        <v>45030</v>
      </c>
      <c r="C30" s="8">
        <v>45060</v>
      </c>
      <c r="D30" t="s">
        <v>646</v>
      </c>
      <c r="E30" t="s">
        <v>650</v>
      </c>
      <c r="F30" t="s">
        <v>678</v>
      </c>
      <c r="G30" t="s">
        <v>704</v>
      </c>
      <c r="H30" t="s">
        <v>709</v>
      </c>
      <c r="I30" t="s">
        <v>724</v>
      </c>
      <c r="J30" t="s">
        <v>730</v>
      </c>
      <c r="K30" t="s">
        <v>762</v>
      </c>
      <c r="L30">
        <v>209.25</v>
      </c>
      <c r="M30">
        <v>434.8</v>
      </c>
      <c r="N30">
        <v>0</v>
      </c>
      <c r="O30">
        <v>9</v>
      </c>
    </row>
    <row r="31" spans="1:15" x14ac:dyDescent="0.35">
      <c r="A31" t="s">
        <v>44</v>
      </c>
      <c r="B31" s="8">
        <v>45754</v>
      </c>
      <c r="C31" s="8">
        <v>45758</v>
      </c>
      <c r="D31" t="s">
        <v>649</v>
      </c>
      <c r="E31" t="s">
        <v>657</v>
      </c>
      <c r="F31" t="s">
        <v>679</v>
      </c>
      <c r="G31" t="s">
        <v>702</v>
      </c>
      <c r="H31" t="s">
        <v>707</v>
      </c>
      <c r="I31" t="s">
        <v>718</v>
      </c>
      <c r="J31" t="s">
        <v>729</v>
      </c>
      <c r="K31" t="s">
        <v>763</v>
      </c>
      <c r="L31">
        <v>754.77</v>
      </c>
      <c r="M31">
        <v>1666.18</v>
      </c>
      <c r="N31">
        <v>0.13900000000000001</v>
      </c>
      <c r="O31">
        <v>14</v>
      </c>
    </row>
    <row r="32" spans="1:15" x14ac:dyDescent="0.35">
      <c r="A32" t="s">
        <v>45</v>
      </c>
      <c r="B32" s="8">
        <v>45653</v>
      </c>
      <c r="C32" s="8">
        <v>45672</v>
      </c>
      <c r="D32" t="s">
        <v>647</v>
      </c>
      <c r="E32" t="s">
        <v>654</v>
      </c>
      <c r="F32" t="s">
        <v>680</v>
      </c>
      <c r="G32" t="s">
        <v>703</v>
      </c>
      <c r="H32" t="s">
        <v>710</v>
      </c>
      <c r="I32" t="s">
        <v>715</v>
      </c>
      <c r="J32" t="s">
        <v>727</v>
      </c>
      <c r="K32" t="s">
        <v>764</v>
      </c>
      <c r="L32">
        <v>495.59</v>
      </c>
      <c r="M32">
        <v>631.78</v>
      </c>
      <c r="N32">
        <v>8.6999999999999994E-2</v>
      </c>
      <c r="O32">
        <v>17</v>
      </c>
    </row>
    <row r="33" spans="1:15" x14ac:dyDescent="0.35">
      <c r="A33" t="s">
        <v>46</v>
      </c>
      <c r="B33" s="8">
        <v>44980</v>
      </c>
      <c r="C33" s="8">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5">
      <c r="A34" t="s">
        <v>47</v>
      </c>
      <c r="B34" s="8">
        <v>45862</v>
      </c>
      <c r="C34" s="8">
        <v>45875</v>
      </c>
      <c r="D34" t="s">
        <v>646</v>
      </c>
      <c r="E34" t="s">
        <v>661</v>
      </c>
      <c r="F34" t="s">
        <v>682</v>
      </c>
      <c r="G34" t="s">
        <v>702</v>
      </c>
      <c r="H34" t="s">
        <v>709</v>
      </c>
      <c r="I34" t="s">
        <v>726</v>
      </c>
      <c r="J34" t="s">
        <v>729</v>
      </c>
      <c r="K34" t="s">
        <v>766</v>
      </c>
      <c r="L34">
        <v>1463.9</v>
      </c>
      <c r="M34">
        <v>2633.02</v>
      </c>
      <c r="N34">
        <v>8.4000000000000005E-2</v>
      </c>
      <c r="O34">
        <v>4</v>
      </c>
    </row>
    <row r="35" spans="1:15" x14ac:dyDescent="0.35">
      <c r="A35" t="s">
        <v>48</v>
      </c>
      <c r="B35" s="8">
        <v>45400</v>
      </c>
      <c r="C35" s="8">
        <v>45420</v>
      </c>
      <c r="D35" t="s">
        <v>649</v>
      </c>
      <c r="E35" t="s">
        <v>658</v>
      </c>
      <c r="F35" t="s">
        <v>683</v>
      </c>
      <c r="G35" t="s">
        <v>703</v>
      </c>
      <c r="I35" t="s">
        <v>726</v>
      </c>
      <c r="J35" t="s">
        <v>731</v>
      </c>
      <c r="K35" t="s">
        <v>767</v>
      </c>
      <c r="L35">
        <v>645.33000000000004</v>
      </c>
      <c r="M35">
        <v>1321.85</v>
      </c>
      <c r="N35">
        <v>0</v>
      </c>
      <c r="O35">
        <v>10</v>
      </c>
    </row>
    <row r="36" spans="1:15" x14ac:dyDescent="0.35">
      <c r="A36" t="s">
        <v>49</v>
      </c>
      <c r="B36" s="8">
        <v>45527</v>
      </c>
      <c r="C36" s="8">
        <v>45525</v>
      </c>
      <c r="D36" t="s">
        <v>646</v>
      </c>
      <c r="E36" t="s">
        <v>661</v>
      </c>
      <c r="F36" t="s">
        <v>682</v>
      </c>
      <c r="G36" t="s">
        <v>702</v>
      </c>
      <c r="H36" t="s">
        <v>707</v>
      </c>
      <c r="I36" t="s">
        <v>718</v>
      </c>
      <c r="J36" t="s">
        <v>727</v>
      </c>
      <c r="K36" t="s">
        <v>768</v>
      </c>
      <c r="L36">
        <v>1432.52</v>
      </c>
      <c r="M36">
        <v>3036.87</v>
      </c>
      <c r="N36">
        <v>0</v>
      </c>
      <c r="O36">
        <v>9</v>
      </c>
    </row>
    <row r="37" spans="1:15" x14ac:dyDescent="0.35">
      <c r="A37" t="s">
        <v>50</v>
      </c>
      <c r="B37" s="8">
        <v>45012</v>
      </c>
      <c r="C37" s="8">
        <v>45038</v>
      </c>
      <c r="D37" t="s">
        <v>647</v>
      </c>
      <c r="E37" t="s">
        <v>654</v>
      </c>
      <c r="F37" t="s">
        <v>680</v>
      </c>
      <c r="G37" t="s">
        <v>703</v>
      </c>
      <c r="H37" t="s">
        <v>709</v>
      </c>
      <c r="I37" t="s">
        <v>713</v>
      </c>
      <c r="J37" t="s">
        <v>728</v>
      </c>
      <c r="K37" t="s">
        <v>769</v>
      </c>
      <c r="L37">
        <v>178.53</v>
      </c>
      <c r="M37">
        <v>199.37</v>
      </c>
      <c r="N37">
        <v>0.10100000000000001</v>
      </c>
      <c r="O37">
        <v>37</v>
      </c>
    </row>
    <row r="38" spans="1:15" x14ac:dyDescent="0.35">
      <c r="A38" t="s">
        <v>51</v>
      </c>
      <c r="B38" s="8">
        <v>45358</v>
      </c>
      <c r="C38" s="8">
        <v>45376</v>
      </c>
      <c r="D38" t="s">
        <v>649</v>
      </c>
      <c r="E38" t="s">
        <v>656</v>
      </c>
      <c r="F38" t="s">
        <v>684</v>
      </c>
      <c r="G38" t="s">
        <v>701</v>
      </c>
      <c r="H38" t="s">
        <v>708</v>
      </c>
      <c r="I38" t="s">
        <v>717</v>
      </c>
      <c r="J38" t="s">
        <v>727</v>
      </c>
      <c r="K38" t="s">
        <v>770</v>
      </c>
      <c r="L38">
        <v>712.84</v>
      </c>
      <c r="M38">
        <v>927.51</v>
      </c>
      <c r="N38">
        <v>0.24299999999999999</v>
      </c>
      <c r="O38">
        <v>27</v>
      </c>
    </row>
    <row r="39" spans="1:15" x14ac:dyDescent="0.35">
      <c r="A39" t="s">
        <v>52</v>
      </c>
      <c r="B39" s="8">
        <v>45832</v>
      </c>
      <c r="C39" s="8">
        <v>45848</v>
      </c>
      <c r="D39" t="s">
        <v>647</v>
      </c>
      <c r="E39" t="s">
        <v>659</v>
      </c>
      <c r="F39" t="s">
        <v>685</v>
      </c>
      <c r="G39" t="s">
        <v>706</v>
      </c>
      <c r="H39" t="s">
        <v>711</v>
      </c>
      <c r="I39" t="s">
        <v>725</v>
      </c>
      <c r="J39" t="s">
        <v>727</v>
      </c>
      <c r="K39" t="s">
        <v>771</v>
      </c>
      <c r="L39">
        <v>757.19</v>
      </c>
      <c r="M39">
        <v>1735.41</v>
      </c>
      <c r="N39">
        <v>0.13600000000000001</v>
      </c>
      <c r="O39">
        <v>8</v>
      </c>
    </row>
    <row r="40" spans="1:15" x14ac:dyDescent="0.35">
      <c r="A40" t="s">
        <v>53</v>
      </c>
      <c r="B40" s="8">
        <v>45401</v>
      </c>
      <c r="C40" s="8">
        <v>45418</v>
      </c>
      <c r="D40" t="s">
        <v>646</v>
      </c>
      <c r="E40" t="s">
        <v>651</v>
      </c>
      <c r="F40" t="s">
        <v>663</v>
      </c>
      <c r="G40" t="s">
        <v>703</v>
      </c>
      <c r="H40" t="s">
        <v>708</v>
      </c>
      <c r="I40" t="s">
        <v>720</v>
      </c>
      <c r="J40" t="s">
        <v>728</v>
      </c>
      <c r="K40" t="s">
        <v>772</v>
      </c>
      <c r="L40">
        <v>865.33</v>
      </c>
      <c r="M40">
        <v>1395.64</v>
      </c>
      <c r="N40">
        <v>0.17499999999999999</v>
      </c>
      <c r="O40">
        <v>13</v>
      </c>
    </row>
    <row r="41" spans="1:15" x14ac:dyDescent="0.35">
      <c r="A41" t="s">
        <v>54</v>
      </c>
      <c r="B41" s="8">
        <v>45094</v>
      </c>
      <c r="C41" s="8">
        <v>45101</v>
      </c>
      <c r="D41" t="s">
        <v>648</v>
      </c>
      <c r="E41" t="s">
        <v>660</v>
      </c>
      <c r="F41" t="s">
        <v>686</v>
      </c>
      <c r="G41" t="s">
        <v>701</v>
      </c>
      <c r="H41" t="s">
        <v>707</v>
      </c>
      <c r="I41" t="s">
        <v>714</v>
      </c>
      <c r="J41" t="s">
        <v>728</v>
      </c>
      <c r="K41" t="s">
        <v>773</v>
      </c>
      <c r="L41">
        <v>313.99</v>
      </c>
      <c r="M41">
        <v>454.42</v>
      </c>
      <c r="N41">
        <v>0.129</v>
      </c>
      <c r="O41">
        <v>9</v>
      </c>
    </row>
    <row r="42" spans="1:15" x14ac:dyDescent="0.35">
      <c r="A42" t="s">
        <v>55</v>
      </c>
      <c r="B42" s="8">
        <v>45531</v>
      </c>
      <c r="C42" s="8">
        <v>45554</v>
      </c>
      <c r="D42" t="s">
        <v>649</v>
      </c>
      <c r="E42" t="s">
        <v>656</v>
      </c>
      <c r="F42" t="s">
        <v>671</v>
      </c>
      <c r="G42" t="s">
        <v>705</v>
      </c>
      <c r="H42" t="s">
        <v>711</v>
      </c>
      <c r="I42" t="s">
        <v>726</v>
      </c>
      <c r="J42" t="s">
        <v>732</v>
      </c>
      <c r="K42" t="s">
        <v>774</v>
      </c>
      <c r="L42">
        <v>1024.01</v>
      </c>
      <c r="M42">
        <v>1580.97</v>
      </c>
      <c r="N42">
        <v>3.6999999999999998E-2</v>
      </c>
      <c r="O42">
        <v>27</v>
      </c>
    </row>
    <row r="43" spans="1:15" x14ac:dyDescent="0.35">
      <c r="A43" t="s">
        <v>56</v>
      </c>
      <c r="B43" s="8">
        <v>45302</v>
      </c>
      <c r="C43" s="8">
        <v>45324</v>
      </c>
      <c r="D43" t="s">
        <v>646</v>
      </c>
      <c r="E43" t="s">
        <v>661</v>
      </c>
      <c r="F43" t="s">
        <v>687</v>
      </c>
      <c r="G43" t="s">
        <v>704</v>
      </c>
      <c r="H43" t="s">
        <v>708</v>
      </c>
      <c r="I43" t="s">
        <v>723</v>
      </c>
      <c r="J43" t="s">
        <v>729</v>
      </c>
      <c r="K43" t="s">
        <v>775</v>
      </c>
      <c r="L43">
        <v>1206.2</v>
      </c>
      <c r="M43">
        <v>1759.79</v>
      </c>
      <c r="N43">
        <v>0</v>
      </c>
      <c r="O43">
        <v>6</v>
      </c>
    </row>
    <row r="44" spans="1:15" x14ac:dyDescent="0.35">
      <c r="A44" t="s">
        <v>57</v>
      </c>
      <c r="B44" s="8">
        <v>45590</v>
      </c>
      <c r="C44" s="8">
        <v>45610</v>
      </c>
      <c r="D44" t="s">
        <v>646</v>
      </c>
      <c r="E44" t="s">
        <v>650</v>
      </c>
      <c r="F44" t="s">
        <v>675</v>
      </c>
      <c r="G44" t="s">
        <v>701</v>
      </c>
      <c r="H44" t="s">
        <v>711</v>
      </c>
      <c r="I44" t="s">
        <v>722</v>
      </c>
      <c r="J44" t="s">
        <v>728</v>
      </c>
      <c r="K44" t="s">
        <v>776</v>
      </c>
      <c r="L44">
        <v>1396.48</v>
      </c>
      <c r="M44">
        <v>3204.5</v>
      </c>
      <c r="N44">
        <v>0.318</v>
      </c>
      <c r="O44">
        <v>14</v>
      </c>
    </row>
    <row r="45" spans="1:15" x14ac:dyDescent="0.35">
      <c r="A45" t="s">
        <v>58</v>
      </c>
      <c r="B45" s="8">
        <v>45806</v>
      </c>
      <c r="C45" s="8">
        <v>45828</v>
      </c>
      <c r="D45" t="s">
        <v>649</v>
      </c>
      <c r="E45" t="s">
        <v>656</v>
      </c>
      <c r="F45" t="s">
        <v>671</v>
      </c>
      <c r="G45" t="s">
        <v>701</v>
      </c>
      <c r="H45" t="s">
        <v>711</v>
      </c>
      <c r="I45" t="s">
        <v>720</v>
      </c>
      <c r="J45" t="s">
        <v>728</v>
      </c>
      <c r="K45" t="s">
        <v>777</v>
      </c>
      <c r="L45">
        <v>483.47</v>
      </c>
      <c r="M45">
        <v>1135.43</v>
      </c>
      <c r="N45">
        <v>0.14599999999999999</v>
      </c>
      <c r="O45">
        <v>11</v>
      </c>
    </row>
    <row r="46" spans="1:15" x14ac:dyDescent="0.35">
      <c r="A46" t="s">
        <v>59</v>
      </c>
      <c r="B46" s="8">
        <v>45432</v>
      </c>
      <c r="C46" s="8">
        <v>45445</v>
      </c>
      <c r="D46" t="s">
        <v>648</v>
      </c>
      <c r="E46" t="s">
        <v>653</v>
      </c>
      <c r="F46" t="s">
        <v>688</v>
      </c>
      <c r="G46" t="s">
        <v>706</v>
      </c>
      <c r="H46" t="s">
        <v>709</v>
      </c>
      <c r="I46" t="s">
        <v>723</v>
      </c>
      <c r="J46" t="s">
        <v>727</v>
      </c>
      <c r="K46" t="s">
        <v>778</v>
      </c>
      <c r="L46">
        <v>675.43</v>
      </c>
      <c r="M46">
        <v>996.36</v>
      </c>
      <c r="N46">
        <v>0.182</v>
      </c>
      <c r="O46">
        <v>22</v>
      </c>
    </row>
    <row r="47" spans="1:15" x14ac:dyDescent="0.35">
      <c r="A47" t="s">
        <v>60</v>
      </c>
      <c r="B47" s="8">
        <v>45035</v>
      </c>
      <c r="C47" s="8">
        <v>45046</v>
      </c>
      <c r="D47" t="s">
        <v>647</v>
      </c>
      <c r="E47" t="s">
        <v>654</v>
      </c>
      <c r="F47" t="s">
        <v>680</v>
      </c>
      <c r="G47" t="s">
        <v>705</v>
      </c>
      <c r="H47" t="s">
        <v>707</v>
      </c>
      <c r="I47" t="s">
        <v>720</v>
      </c>
      <c r="J47" t="s">
        <v>729</v>
      </c>
      <c r="K47" t="s">
        <v>779</v>
      </c>
      <c r="L47">
        <v>826.55</v>
      </c>
      <c r="M47">
        <v>1397.05</v>
      </c>
      <c r="N47">
        <v>0.16900000000000001</v>
      </c>
      <c r="O47">
        <v>28</v>
      </c>
    </row>
    <row r="48" spans="1:15" x14ac:dyDescent="0.35">
      <c r="A48" t="s">
        <v>61</v>
      </c>
      <c r="B48" s="8">
        <v>45100</v>
      </c>
      <c r="C48" s="8">
        <v>45110</v>
      </c>
      <c r="D48" t="s">
        <v>646</v>
      </c>
      <c r="E48" t="s">
        <v>651</v>
      </c>
      <c r="F48" t="s">
        <v>669</v>
      </c>
      <c r="G48" t="s">
        <v>704</v>
      </c>
      <c r="H48" t="s">
        <v>708</v>
      </c>
      <c r="I48" t="s">
        <v>713</v>
      </c>
      <c r="J48" t="s">
        <v>728</v>
      </c>
      <c r="K48" t="s">
        <v>780</v>
      </c>
      <c r="L48">
        <v>337.75</v>
      </c>
      <c r="M48">
        <v>548.89</v>
      </c>
      <c r="N48">
        <v>0</v>
      </c>
      <c r="O48">
        <v>13</v>
      </c>
    </row>
    <row r="49" spans="1:15" x14ac:dyDescent="0.35">
      <c r="A49" t="s">
        <v>62</v>
      </c>
      <c r="B49" s="8">
        <v>45426</v>
      </c>
      <c r="C49" s="8">
        <v>45440</v>
      </c>
      <c r="D49" t="s">
        <v>649</v>
      </c>
      <c r="E49" t="s">
        <v>658</v>
      </c>
      <c r="F49" t="s">
        <v>674</v>
      </c>
      <c r="G49" t="s">
        <v>704</v>
      </c>
      <c r="H49" t="s">
        <v>707</v>
      </c>
      <c r="I49" t="s">
        <v>717</v>
      </c>
      <c r="J49" t="s">
        <v>729</v>
      </c>
      <c r="K49" t="s">
        <v>781</v>
      </c>
      <c r="L49">
        <v>1421.14</v>
      </c>
      <c r="M49">
        <v>3524</v>
      </c>
      <c r="N49">
        <v>0</v>
      </c>
      <c r="O49">
        <v>31</v>
      </c>
    </row>
    <row r="50" spans="1:15" x14ac:dyDescent="0.35">
      <c r="A50" t="s">
        <v>63</v>
      </c>
      <c r="B50" s="8">
        <v>45579</v>
      </c>
      <c r="C50" s="8">
        <v>45604</v>
      </c>
      <c r="D50" t="s">
        <v>646</v>
      </c>
      <c r="E50" t="s">
        <v>651</v>
      </c>
      <c r="F50" t="s">
        <v>665</v>
      </c>
      <c r="G50" t="s">
        <v>706</v>
      </c>
      <c r="H50" t="s">
        <v>708</v>
      </c>
      <c r="I50" t="s">
        <v>719</v>
      </c>
      <c r="J50" t="s">
        <v>729</v>
      </c>
      <c r="K50" t="s">
        <v>782</v>
      </c>
      <c r="L50">
        <v>859.35</v>
      </c>
      <c r="M50">
        <v>1825.61</v>
      </c>
      <c r="N50">
        <v>0.187</v>
      </c>
      <c r="O50">
        <v>24</v>
      </c>
    </row>
    <row r="51" spans="1:15" x14ac:dyDescent="0.35">
      <c r="A51" t="s">
        <v>64</v>
      </c>
      <c r="B51" s="8">
        <v>45117</v>
      </c>
      <c r="C51" s="8">
        <v>45139</v>
      </c>
      <c r="D51" t="s">
        <v>649</v>
      </c>
      <c r="E51" t="s">
        <v>657</v>
      </c>
      <c r="F51" t="s">
        <v>673</v>
      </c>
      <c r="G51" t="s">
        <v>704</v>
      </c>
      <c r="H51" t="s">
        <v>709</v>
      </c>
      <c r="I51" t="s">
        <v>717</v>
      </c>
      <c r="J51" t="s">
        <v>728</v>
      </c>
      <c r="K51" t="s">
        <v>783</v>
      </c>
      <c r="L51">
        <v>1303.56</v>
      </c>
      <c r="M51">
        <v>1791.37</v>
      </c>
      <c r="N51">
        <v>0.126</v>
      </c>
      <c r="O51">
        <v>22</v>
      </c>
    </row>
    <row r="52" spans="1:15" x14ac:dyDescent="0.35">
      <c r="A52" t="s">
        <v>65</v>
      </c>
      <c r="B52" s="8">
        <v>45602</v>
      </c>
      <c r="C52" s="8">
        <v>45618</v>
      </c>
      <c r="D52" t="s">
        <v>648</v>
      </c>
      <c r="E52" t="s">
        <v>653</v>
      </c>
      <c r="F52" t="s">
        <v>667</v>
      </c>
      <c r="G52" t="s">
        <v>703</v>
      </c>
      <c r="H52" t="s">
        <v>710</v>
      </c>
      <c r="I52" t="s">
        <v>726</v>
      </c>
      <c r="J52" t="s">
        <v>733</v>
      </c>
      <c r="K52" t="s">
        <v>784</v>
      </c>
      <c r="L52">
        <v>1454.11</v>
      </c>
      <c r="M52">
        <v>2629.75</v>
      </c>
      <c r="N52">
        <v>0.29199999999999998</v>
      </c>
      <c r="O52">
        <v>8</v>
      </c>
    </row>
    <row r="53" spans="1:15" x14ac:dyDescent="0.35">
      <c r="A53" t="s">
        <v>66</v>
      </c>
      <c r="B53" s="8">
        <v>45582</v>
      </c>
      <c r="C53" s="8">
        <v>45602</v>
      </c>
      <c r="D53" t="s">
        <v>647</v>
      </c>
      <c r="E53" t="s">
        <v>654</v>
      </c>
      <c r="F53" t="s">
        <v>668</v>
      </c>
      <c r="G53" t="s">
        <v>706</v>
      </c>
      <c r="H53" t="s">
        <v>710</v>
      </c>
      <c r="I53" t="s">
        <v>719</v>
      </c>
      <c r="J53" t="s">
        <v>732</v>
      </c>
      <c r="K53" t="s">
        <v>785</v>
      </c>
      <c r="L53">
        <v>72.94</v>
      </c>
      <c r="M53">
        <v>106.3</v>
      </c>
      <c r="N53">
        <v>0.29499999999999998</v>
      </c>
      <c r="O53">
        <v>8</v>
      </c>
    </row>
    <row r="54" spans="1:15" x14ac:dyDescent="0.35">
      <c r="A54" t="s">
        <v>67</v>
      </c>
      <c r="B54" s="8">
        <v>45016</v>
      </c>
      <c r="C54" s="8">
        <v>45021</v>
      </c>
      <c r="D54" t="s">
        <v>646</v>
      </c>
      <c r="E54" t="s">
        <v>650</v>
      </c>
      <c r="F54" t="s">
        <v>678</v>
      </c>
      <c r="G54" t="s">
        <v>702</v>
      </c>
      <c r="H54" t="s">
        <v>709</v>
      </c>
      <c r="I54" t="s">
        <v>717</v>
      </c>
      <c r="J54" t="s">
        <v>731</v>
      </c>
      <c r="K54" t="s">
        <v>786</v>
      </c>
      <c r="L54">
        <v>533.26</v>
      </c>
      <c r="M54">
        <v>385.72</v>
      </c>
      <c r="N54">
        <v>0</v>
      </c>
      <c r="O54">
        <v>15</v>
      </c>
    </row>
    <row r="55" spans="1:15" x14ac:dyDescent="0.35">
      <c r="A55" t="s">
        <v>68</v>
      </c>
      <c r="B55" s="8">
        <v>45678</v>
      </c>
      <c r="C55" s="8">
        <v>45704</v>
      </c>
      <c r="D55" t="s">
        <v>649</v>
      </c>
      <c r="E55" t="s">
        <v>657</v>
      </c>
      <c r="F55" t="s">
        <v>679</v>
      </c>
      <c r="G55" t="s">
        <v>701</v>
      </c>
      <c r="H55" t="s">
        <v>710</v>
      </c>
      <c r="I55" t="s">
        <v>719</v>
      </c>
      <c r="J55" t="s">
        <v>731</v>
      </c>
      <c r="K55" t="s">
        <v>787</v>
      </c>
      <c r="L55">
        <v>204.11</v>
      </c>
      <c r="M55">
        <v>236.87</v>
      </c>
      <c r="N55">
        <v>0.182</v>
      </c>
      <c r="O55">
        <v>13</v>
      </c>
    </row>
    <row r="56" spans="1:15" x14ac:dyDescent="0.35">
      <c r="A56" t="s">
        <v>69</v>
      </c>
      <c r="B56" s="8">
        <v>45168</v>
      </c>
      <c r="C56" s="8">
        <v>45170</v>
      </c>
      <c r="D56" t="s">
        <v>649</v>
      </c>
      <c r="E56" t="s">
        <v>656</v>
      </c>
      <c r="F56" t="s">
        <v>684</v>
      </c>
      <c r="G56" t="s">
        <v>701</v>
      </c>
      <c r="H56" t="s">
        <v>711</v>
      </c>
      <c r="I56" t="s">
        <v>725</v>
      </c>
      <c r="J56" t="s">
        <v>729</v>
      </c>
      <c r="K56" t="s">
        <v>788</v>
      </c>
      <c r="L56">
        <v>44.42</v>
      </c>
      <c r="M56">
        <v>41.9</v>
      </c>
      <c r="N56">
        <v>0.14399999999999999</v>
      </c>
      <c r="O56">
        <v>6</v>
      </c>
    </row>
    <row r="57" spans="1:15" x14ac:dyDescent="0.35">
      <c r="A57" t="s">
        <v>70</v>
      </c>
      <c r="B57" s="8">
        <v>45753</v>
      </c>
      <c r="C57" s="8">
        <v>45777</v>
      </c>
      <c r="D57" t="s">
        <v>648</v>
      </c>
      <c r="E57" t="s">
        <v>655</v>
      </c>
      <c r="F57" t="s">
        <v>672</v>
      </c>
      <c r="G57" t="s">
        <v>702</v>
      </c>
      <c r="H57" t="s">
        <v>708</v>
      </c>
      <c r="I57" t="s">
        <v>723</v>
      </c>
      <c r="J57" t="s">
        <v>732</v>
      </c>
      <c r="K57" t="s">
        <v>789</v>
      </c>
      <c r="L57">
        <v>855.78</v>
      </c>
      <c r="M57">
        <v>977.38</v>
      </c>
      <c r="N57">
        <v>0.14699999999999999</v>
      </c>
      <c r="O57">
        <v>38</v>
      </c>
    </row>
    <row r="58" spans="1:15" x14ac:dyDescent="0.35">
      <c r="A58" t="s">
        <v>71</v>
      </c>
      <c r="B58" s="8">
        <v>45697</v>
      </c>
      <c r="C58" s="8">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5">
      <c r="A59" t="s">
        <v>72</v>
      </c>
      <c r="B59" s="8">
        <v>45643</v>
      </c>
      <c r="C59" s="8">
        <v>45644</v>
      </c>
      <c r="D59" t="s">
        <v>649</v>
      </c>
      <c r="E59" t="s">
        <v>656</v>
      </c>
      <c r="F59" t="s">
        <v>684</v>
      </c>
      <c r="G59" t="s">
        <v>702</v>
      </c>
      <c r="H59" t="s">
        <v>707</v>
      </c>
      <c r="I59" t="s">
        <v>716</v>
      </c>
      <c r="J59" t="s">
        <v>733</v>
      </c>
      <c r="K59" t="s">
        <v>791</v>
      </c>
      <c r="L59">
        <v>346.82</v>
      </c>
      <c r="M59">
        <v>701.95</v>
      </c>
      <c r="N59">
        <v>0.14699999999999999</v>
      </c>
      <c r="O59">
        <v>8</v>
      </c>
    </row>
    <row r="60" spans="1:15" x14ac:dyDescent="0.35">
      <c r="A60" t="s">
        <v>73</v>
      </c>
      <c r="B60" s="8">
        <v>45817</v>
      </c>
      <c r="C60" s="8">
        <v>45826</v>
      </c>
      <c r="D60" t="s">
        <v>649</v>
      </c>
      <c r="E60" t="s">
        <v>657</v>
      </c>
      <c r="F60" t="s">
        <v>673</v>
      </c>
      <c r="G60" t="s">
        <v>705</v>
      </c>
      <c r="H60" t="s">
        <v>709</v>
      </c>
      <c r="I60" t="s">
        <v>722</v>
      </c>
      <c r="J60" t="s">
        <v>733</v>
      </c>
      <c r="K60" t="s">
        <v>792</v>
      </c>
      <c r="L60">
        <v>1225.5</v>
      </c>
      <c r="M60">
        <v>-5.27</v>
      </c>
      <c r="N60">
        <v>7.4999999999999997E-2</v>
      </c>
      <c r="O60">
        <v>56</v>
      </c>
    </row>
    <row r="61" spans="1:15" x14ac:dyDescent="0.35">
      <c r="A61" t="s">
        <v>74</v>
      </c>
      <c r="B61" s="8">
        <v>45779</v>
      </c>
      <c r="C61" s="8">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5">
      <c r="A62" t="s">
        <v>75</v>
      </c>
      <c r="B62" s="8">
        <v>45361</v>
      </c>
      <c r="C62" s="8">
        <v>45391</v>
      </c>
      <c r="D62" t="s">
        <v>649</v>
      </c>
      <c r="E62" t="s">
        <v>657</v>
      </c>
      <c r="F62" t="s">
        <v>679</v>
      </c>
      <c r="G62" t="s">
        <v>701</v>
      </c>
      <c r="H62" t="s">
        <v>711</v>
      </c>
      <c r="I62" t="s">
        <v>714</v>
      </c>
      <c r="J62" t="s">
        <v>727</v>
      </c>
      <c r="K62" t="s">
        <v>794</v>
      </c>
      <c r="L62">
        <v>1176.56</v>
      </c>
      <c r="M62">
        <v>1911.89</v>
      </c>
      <c r="N62">
        <v>0.11899999999999999</v>
      </c>
      <c r="O62">
        <v>20</v>
      </c>
    </row>
    <row r="63" spans="1:15" x14ac:dyDescent="0.35">
      <c r="A63" t="s">
        <v>76</v>
      </c>
      <c r="B63" s="8">
        <v>45910</v>
      </c>
      <c r="C63" s="8">
        <v>45912</v>
      </c>
      <c r="D63" t="s">
        <v>647</v>
      </c>
      <c r="E63" t="s">
        <v>652</v>
      </c>
      <c r="F63" t="s">
        <v>689</v>
      </c>
      <c r="G63" t="s">
        <v>704</v>
      </c>
      <c r="H63" t="s">
        <v>708</v>
      </c>
      <c r="I63" t="s">
        <v>719</v>
      </c>
      <c r="J63" t="s">
        <v>727</v>
      </c>
      <c r="K63" t="s">
        <v>795</v>
      </c>
      <c r="L63">
        <v>1470.15</v>
      </c>
      <c r="M63">
        <v>2593.7800000000002</v>
      </c>
      <c r="N63">
        <v>0.11</v>
      </c>
      <c r="O63">
        <v>12</v>
      </c>
    </row>
    <row r="64" spans="1:15" x14ac:dyDescent="0.35">
      <c r="A64" t="s">
        <v>77</v>
      </c>
      <c r="B64" s="8">
        <v>45774</v>
      </c>
      <c r="C64" s="8">
        <v>45802</v>
      </c>
      <c r="D64" t="s">
        <v>649</v>
      </c>
      <c r="E64" t="s">
        <v>657</v>
      </c>
      <c r="F64" t="s">
        <v>690</v>
      </c>
      <c r="G64" t="s">
        <v>705</v>
      </c>
      <c r="H64" t="s">
        <v>709</v>
      </c>
      <c r="I64" t="s">
        <v>714</v>
      </c>
      <c r="J64" t="s">
        <v>730</v>
      </c>
      <c r="K64" t="s">
        <v>796</v>
      </c>
      <c r="L64">
        <v>603.45000000000005</v>
      </c>
      <c r="M64">
        <v>1244.08</v>
      </c>
      <c r="N64">
        <v>0.2</v>
      </c>
      <c r="O64">
        <v>11</v>
      </c>
    </row>
    <row r="65" spans="1:15" x14ac:dyDescent="0.35">
      <c r="A65" t="s">
        <v>78</v>
      </c>
      <c r="B65" s="8">
        <v>45598</v>
      </c>
      <c r="C65" s="8">
        <v>45614</v>
      </c>
      <c r="D65" t="s">
        <v>647</v>
      </c>
      <c r="E65" t="s">
        <v>654</v>
      </c>
      <c r="F65" t="s">
        <v>691</v>
      </c>
      <c r="G65" t="s">
        <v>705</v>
      </c>
      <c r="H65" t="s">
        <v>710</v>
      </c>
      <c r="I65" t="s">
        <v>719</v>
      </c>
      <c r="J65" t="s">
        <v>732</v>
      </c>
      <c r="K65" t="s">
        <v>797</v>
      </c>
      <c r="L65">
        <v>1233.58</v>
      </c>
      <c r="M65">
        <v>1912.51</v>
      </c>
      <c r="N65">
        <v>0.255</v>
      </c>
      <c r="O65">
        <v>51</v>
      </c>
    </row>
    <row r="66" spans="1:15" x14ac:dyDescent="0.35">
      <c r="A66" t="s">
        <v>79</v>
      </c>
      <c r="B66" s="8">
        <v>44972</v>
      </c>
      <c r="C66" s="8">
        <v>44983</v>
      </c>
      <c r="D66" t="s">
        <v>646</v>
      </c>
      <c r="E66" t="s">
        <v>661</v>
      </c>
      <c r="F66" t="s">
        <v>682</v>
      </c>
      <c r="G66" t="s">
        <v>703</v>
      </c>
      <c r="H66" t="s">
        <v>707</v>
      </c>
      <c r="I66" t="s">
        <v>723</v>
      </c>
      <c r="J66" t="s">
        <v>731</v>
      </c>
      <c r="K66" t="s">
        <v>798</v>
      </c>
      <c r="L66">
        <v>498.5</v>
      </c>
      <c r="M66">
        <v>755.87</v>
      </c>
      <c r="N66">
        <v>0.13</v>
      </c>
      <c r="O66">
        <v>40</v>
      </c>
    </row>
    <row r="67" spans="1:15" x14ac:dyDescent="0.35">
      <c r="A67" t="s">
        <v>80</v>
      </c>
      <c r="B67" s="8">
        <v>45263</v>
      </c>
      <c r="C67" s="8">
        <v>45286</v>
      </c>
      <c r="D67" t="s">
        <v>648</v>
      </c>
      <c r="E67" t="s">
        <v>655</v>
      </c>
      <c r="F67" t="s">
        <v>692</v>
      </c>
      <c r="G67" t="s">
        <v>702</v>
      </c>
      <c r="H67" t="s">
        <v>707</v>
      </c>
      <c r="I67" t="s">
        <v>719</v>
      </c>
      <c r="J67" t="s">
        <v>730</v>
      </c>
      <c r="K67" t="s">
        <v>799</v>
      </c>
      <c r="L67">
        <v>1303.1099999999999</v>
      </c>
      <c r="M67">
        <v>1145.67</v>
      </c>
      <c r="N67">
        <v>0.184</v>
      </c>
      <c r="O67">
        <v>13</v>
      </c>
    </row>
    <row r="68" spans="1:15" x14ac:dyDescent="0.35">
      <c r="A68" t="s">
        <v>81</v>
      </c>
      <c r="B68" s="8">
        <v>45004</v>
      </c>
      <c r="C68" s="8">
        <v>45025</v>
      </c>
      <c r="D68" t="s">
        <v>649</v>
      </c>
      <c r="E68" t="s">
        <v>658</v>
      </c>
      <c r="F68" t="s">
        <v>693</v>
      </c>
      <c r="G68" t="s">
        <v>704</v>
      </c>
      <c r="H68" t="s">
        <v>707</v>
      </c>
      <c r="I68" t="s">
        <v>716</v>
      </c>
      <c r="J68" t="s">
        <v>733</v>
      </c>
      <c r="K68" t="s">
        <v>800</v>
      </c>
      <c r="L68">
        <v>1082.17</v>
      </c>
      <c r="M68">
        <v>1234.0999999999999</v>
      </c>
      <c r="N68">
        <v>0.189</v>
      </c>
      <c r="O68">
        <v>16</v>
      </c>
    </row>
    <row r="69" spans="1:15" x14ac:dyDescent="0.35">
      <c r="A69" t="s">
        <v>82</v>
      </c>
      <c r="B69" s="8">
        <v>45434</v>
      </c>
      <c r="C69" s="8">
        <v>45449</v>
      </c>
      <c r="D69" t="s">
        <v>647</v>
      </c>
      <c r="E69" t="s">
        <v>652</v>
      </c>
      <c r="F69" t="s">
        <v>694</v>
      </c>
      <c r="G69" t="s">
        <v>701</v>
      </c>
      <c r="H69" t="s">
        <v>710</v>
      </c>
      <c r="I69" t="s">
        <v>712</v>
      </c>
      <c r="J69" t="s">
        <v>732</v>
      </c>
      <c r="K69" t="s">
        <v>801</v>
      </c>
      <c r="L69">
        <v>673.88</v>
      </c>
      <c r="M69">
        <v>1228.01</v>
      </c>
      <c r="N69">
        <v>0.105</v>
      </c>
      <c r="O69">
        <v>13</v>
      </c>
    </row>
    <row r="70" spans="1:15" x14ac:dyDescent="0.35">
      <c r="A70" t="s">
        <v>83</v>
      </c>
      <c r="B70" s="8">
        <v>45157</v>
      </c>
      <c r="C70" s="8">
        <v>45176</v>
      </c>
      <c r="D70" t="s">
        <v>646</v>
      </c>
      <c r="E70" t="s">
        <v>661</v>
      </c>
      <c r="F70" t="s">
        <v>682</v>
      </c>
      <c r="G70" t="s">
        <v>706</v>
      </c>
      <c r="H70" t="s">
        <v>707</v>
      </c>
      <c r="I70" t="s">
        <v>726</v>
      </c>
      <c r="J70" t="s">
        <v>732</v>
      </c>
      <c r="K70" t="s">
        <v>802</v>
      </c>
      <c r="L70">
        <v>494.61</v>
      </c>
      <c r="M70">
        <v>605.23</v>
      </c>
      <c r="N70">
        <v>0.20399999999999999</v>
      </c>
      <c r="O70">
        <v>18</v>
      </c>
    </row>
    <row r="71" spans="1:15" x14ac:dyDescent="0.35">
      <c r="A71" t="s">
        <v>84</v>
      </c>
      <c r="B71" s="8">
        <v>45037</v>
      </c>
      <c r="C71" s="8">
        <v>45056</v>
      </c>
      <c r="D71" t="s">
        <v>647</v>
      </c>
      <c r="E71" t="s">
        <v>659</v>
      </c>
      <c r="F71" t="s">
        <v>685</v>
      </c>
      <c r="G71" t="s">
        <v>701</v>
      </c>
      <c r="H71" t="s">
        <v>707</v>
      </c>
      <c r="I71" t="s">
        <v>720</v>
      </c>
      <c r="J71" t="s">
        <v>727</v>
      </c>
      <c r="K71" t="s">
        <v>803</v>
      </c>
      <c r="L71">
        <v>882.33</v>
      </c>
      <c r="M71">
        <v>1880.15</v>
      </c>
      <c r="N71">
        <v>0.05</v>
      </c>
      <c r="O71">
        <v>5</v>
      </c>
    </row>
    <row r="72" spans="1:15" x14ac:dyDescent="0.35">
      <c r="A72" t="s">
        <v>85</v>
      </c>
      <c r="B72" s="8">
        <v>45369</v>
      </c>
      <c r="C72" s="8">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5">
      <c r="A73" t="s">
        <v>86</v>
      </c>
      <c r="B73" s="8">
        <v>45756</v>
      </c>
      <c r="C73" s="8">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5">
      <c r="A74" t="s">
        <v>87</v>
      </c>
      <c r="B74" s="8">
        <v>45394</v>
      </c>
      <c r="C74" s="8">
        <v>45419</v>
      </c>
      <c r="D74" t="s">
        <v>646</v>
      </c>
      <c r="E74" t="s">
        <v>661</v>
      </c>
      <c r="F74" t="s">
        <v>682</v>
      </c>
      <c r="G74" t="s">
        <v>702</v>
      </c>
      <c r="H74" t="s">
        <v>710</v>
      </c>
      <c r="I74" t="s">
        <v>720</v>
      </c>
      <c r="J74" t="s">
        <v>731</v>
      </c>
      <c r="K74" t="s">
        <v>806</v>
      </c>
      <c r="L74">
        <v>1376.51</v>
      </c>
      <c r="M74">
        <v>1455.91</v>
      </c>
      <c r="N74">
        <v>0.185</v>
      </c>
      <c r="O74">
        <v>17</v>
      </c>
    </row>
    <row r="75" spans="1:15" x14ac:dyDescent="0.35">
      <c r="A75" t="s">
        <v>88</v>
      </c>
      <c r="B75" s="8">
        <v>45641</v>
      </c>
      <c r="C75" s="8">
        <v>45646</v>
      </c>
      <c r="D75" t="s">
        <v>647</v>
      </c>
      <c r="E75" t="s">
        <v>659</v>
      </c>
      <c r="F75" t="s">
        <v>676</v>
      </c>
      <c r="G75" t="s">
        <v>705</v>
      </c>
      <c r="H75" t="s">
        <v>711</v>
      </c>
      <c r="I75" t="s">
        <v>713</v>
      </c>
      <c r="J75" t="s">
        <v>729</v>
      </c>
      <c r="K75" t="s">
        <v>807</v>
      </c>
      <c r="L75">
        <v>717.55</v>
      </c>
      <c r="M75">
        <v>546.42999999999995</v>
      </c>
      <c r="N75">
        <v>4.7E-2</v>
      </c>
      <c r="O75">
        <v>18</v>
      </c>
    </row>
    <row r="76" spans="1:15" x14ac:dyDescent="0.35">
      <c r="A76" t="s">
        <v>89</v>
      </c>
      <c r="B76" s="8">
        <v>45066</v>
      </c>
      <c r="C76" s="8">
        <v>45064</v>
      </c>
      <c r="D76" t="s">
        <v>646</v>
      </c>
      <c r="E76" t="s">
        <v>661</v>
      </c>
      <c r="F76" t="s">
        <v>687</v>
      </c>
      <c r="G76" t="s">
        <v>701</v>
      </c>
      <c r="H76" t="s">
        <v>710</v>
      </c>
      <c r="I76" t="s">
        <v>720</v>
      </c>
      <c r="J76" t="s">
        <v>727</v>
      </c>
      <c r="K76" t="s">
        <v>808</v>
      </c>
      <c r="L76">
        <v>917.88</v>
      </c>
      <c r="M76">
        <v>1347.92</v>
      </c>
      <c r="N76">
        <v>0.34300000000000003</v>
      </c>
      <c r="O76">
        <v>5</v>
      </c>
    </row>
    <row r="77" spans="1:15" x14ac:dyDescent="0.35">
      <c r="A77" t="s">
        <v>90</v>
      </c>
      <c r="B77" s="8">
        <v>45187</v>
      </c>
      <c r="C77" s="8">
        <v>45207</v>
      </c>
      <c r="D77" t="s">
        <v>647</v>
      </c>
      <c r="E77" t="s">
        <v>654</v>
      </c>
      <c r="F77" t="s">
        <v>680</v>
      </c>
      <c r="G77" t="s">
        <v>705</v>
      </c>
      <c r="H77" t="s">
        <v>711</v>
      </c>
      <c r="I77" t="s">
        <v>717</v>
      </c>
      <c r="J77" t="s">
        <v>727</v>
      </c>
      <c r="K77" t="s">
        <v>809</v>
      </c>
      <c r="L77">
        <v>825.64</v>
      </c>
      <c r="M77">
        <v>1108.43</v>
      </c>
      <c r="N77">
        <v>0.114</v>
      </c>
      <c r="O77">
        <v>7</v>
      </c>
    </row>
    <row r="78" spans="1:15" x14ac:dyDescent="0.35">
      <c r="A78" t="s">
        <v>91</v>
      </c>
      <c r="B78" s="8">
        <v>45532</v>
      </c>
      <c r="C78" s="8">
        <v>45560</v>
      </c>
      <c r="D78" t="s">
        <v>648</v>
      </c>
      <c r="E78" t="s">
        <v>655</v>
      </c>
      <c r="F78" t="s">
        <v>692</v>
      </c>
      <c r="G78" t="s">
        <v>703</v>
      </c>
      <c r="H78" t="s">
        <v>708</v>
      </c>
      <c r="J78" t="s">
        <v>733</v>
      </c>
      <c r="K78" t="s">
        <v>810</v>
      </c>
      <c r="L78">
        <v>1394.65</v>
      </c>
      <c r="M78">
        <v>3144.1</v>
      </c>
      <c r="N78">
        <v>0.13400000000000001</v>
      </c>
      <c r="O78">
        <v>13</v>
      </c>
    </row>
    <row r="79" spans="1:15" x14ac:dyDescent="0.35">
      <c r="A79" t="s">
        <v>92</v>
      </c>
      <c r="B79" s="8">
        <v>45473</v>
      </c>
      <c r="C79" s="8">
        <v>45471</v>
      </c>
      <c r="D79" t="s">
        <v>648</v>
      </c>
      <c r="E79" t="s">
        <v>655</v>
      </c>
      <c r="F79" t="s">
        <v>692</v>
      </c>
      <c r="G79" t="s">
        <v>705</v>
      </c>
      <c r="H79" t="s">
        <v>711</v>
      </c>
      <c r="I79" t="s">
        <v>716</v>
      </c>
      <c r="J79" t="s">
        <v>733</v>
      </c>
      <c r="K79" t="s">
        <v>811</v>
      </c>
      <c r="L79">
        <v>1112.98</v>
      </c>
      <c r="M79">
        <v>2095.73</v>
      </c>
      <c r="N79">
        <v>7.1999999999999995E-2</v>
      </c>
      <c r="O79">
        <v>17</v>
      </c>
    </row>
    <row r="80" spans="1:15" x14ac:dyDescent="0.35">
      <c r="A80" t="s">
        <v>93</v>
      </c>
      <c r="B80" s="8">
        <v>45091</v>
      </c>
      <c r="C80" s="8">
        <v>45093</v>
      </c>
      <c r="D80" t="s">
        <v>649</v>
      </c>
      <c r="E80" t="s">
        <v>658</v>
      </c>
      <c r="F80" t="s">
        <v>693</v>
      </c>
      <c r="G80" t="s">
        <v>703</v>
      </c>
      <c r="H80" t="s">
        <v>711</v>
      </c>
      <c r="I80" t="s">
        <v>723</v>
      </c>
      <c r="J80" t="s">
        <v>727</v>
      </c>
      <c r="K80" t="s">
        <v>812</v>
      </c>
      <c r="L80">
        <v>357.36</v>
      </c>
      <c r="M80">
        <v>703.62</v>
      </c>
      <c r="N80">
        <v>0.25700000000000001</v>
      </c>
      <c r="O80">
        <v>20</v>
      </c>
    </row>
    <row r="81" spans="1:15" x14ac:dyDescent="0.35">
      <c r="A81" t="s">
        <v>94</v>
      </c>
      <c r="B81" s="8">
        <v>45617</v>
      </c>
      <c r="C81" s="8">
        <v>45647</v>
      </c>
      <c r="D81" t="s">
        <v>649</v>
      </c>
      <c r="E81" t="s">
        <v>657</v>
      </c>
      <c r="F81" t="s">
        <v>673</v>
      </c>
      <c r="G81" t="s">
        <v>705</v>
      </c>
      <c r="H81" t="s">
        <v>711</v>
      </c>
      <c r="I81" t="s">
        <v>714</v>
      </c>
      <c r="J81" t="s">
        <v>732</v>
      </c>
      <c r="K81" t="s">
        <v>813</v>
      </c>
      <c r="L81">
        <v>1122.68</v>
      </c>
      <c r="M81">
        <v>1997.19</v>
      </c>
      <c r="N81">
        <v>0.186</v>
      </c>
      <c r="O81">
        <v>3</v>
      </c>
    </row>
    <row r="82" spans="1:15" x14ac:dyDescent="0.35">
      <c r="A82" t="s">
        <v>95</v>
      </c>
      <c r="B82" s="8">
        <v>44965</v>
      </c>
      <c r="C82" s="8">
        <v>44968</v>
      </c>
      <c r="D82" t="s">
        <v>646</v>
      </c>
      <c r="E82" t="s">
        <v>661</v>
      </c>
      <c r="F82" t="s">
        <v>695</v>
      </c>
      <c r="G82" t="s">
        <v>701</v>
      </c>
      <c r="H82" t="s">
        <v>711</v>
      </c>
      <c r="I82" t="s">
        <v>724</v>
      </c>
      <c r="J82" t="s">
        <v>729</v>
      </c>
      <c r="K82" t="s">
        <v>814</v>
      </c>
      <c r="L82">
        <v>1410.05</v>
      </c>
      <c r="M82">
        <v>2763.95</v>
      </c>
      <c r="N82">
        <v>0.161</v>
      </c>
      <c r="O82">
        <v>26</v>
      </c>
    </row>
    <row r="83" spans="1:15" x14ac:dyDescent="0.35">
      <c r="A83" t="s">
        <v>96</v>
      </c>
      <c r="B83" s="8">
        <v>45157</v>
      </c>
      <c r="C83" s="8">
        <v>45181</v>
      </c>
      <c r="D83" t="s">
        <v>648</v>
      </c>
      <c r="E83" t="s">
        <v>653</v>
      </c>
      <c r="F83" t="s">
        <v>688</v>
      </c>
      <c r="G83" t="s">
        <v>706</v>
      </c>
      <c r="H83" t="s">
        <v>707</v>
      </c>
      <c r="I83" t="s">
        <v>714</v>
      </c>
      <c r="J83" t="s">
        <v>728</v>
      </c>
      <c r="K83" t="s">
        <v>815</v>
      </c>
      <c r="L83">
        <v>1183.95</v>
      </c>
      <c r="M83">
        <v>1503.53</v>
      </c>
      <c r="N83">
        <v>0.24099999999999999</v>
      </c>
      <c r="O83">
        <v>16</v>
      </c>
    </row>
    <row r="84" spans="1:15" x14ac:dyDescent="0.35">
      <c r="A84" t="s">
        <v>97</v>
      </c>
      <c r="B84" s="8">
        <v>45791</v>
      </c>
      <c r="C84" s="8">
        <v>45801</v>
      </c>
      <c r="D84" t="s">
        <v>649</v>
      </c>
      <c r="E84" t="s">
        <v>657</v>
      </c>
      <c r="F84" t="s">
        <v>690</v>
      </c>
      <c r="G84" t="s">
        <v>705</v>
      </c>
      <c r="H84" t="s">
        <v>709</v>
      </c>
      <c r="I84" t="s">
        <v>723</v>
      </c>
      <c r="J84" t="s">
        <v>727</v>
      </c>
      <c r="K84" t="s">
        <v>816</v>
      </c>
      <c r="L84">
        <v>170.39</v>
      </c>
      <c r="M84">
        <v>388.04</v>
      </c>
      <c r="N84">
        <v>8.4000000000000005E-2</v>
      </c>
      <c r="O84">
        <v>15</v>
      </c>
    </row>
    <row r="85" spans="1:15" x14ac:dyDescent="0.35">
      <c r="A85" t="s">
        <v>98</v>
      </c>
      <c r="B85" s="8">
        <v>45770</v>
      </c>
      <c r="C85" s="8">
        <v>45769</v>
      </c>
      <c r="D85" t="s">
        <v>648</v>
      </c>
      <c r="E85" t="s">
        <v>660</v>
      </c>
      <c r="F85" t="s">
        <v>686</v>
      </c>
      <c r="G85" t="s">
        <v>703</v>
      </c>
      <c r="H85" t="s">
        <v>710</v>
      </c>
      <c r="I85" t="s">
        <v>726</v>
      </c>
      <c r="J85" t="s">
        <v>732</v>
      </c>
      <c r="K85" t="s">
        <v>817</v>
      </c>
      <c r="L85">
        <v>23.24</v>
      </c>
      <c r="M85">
        <v>44.57</v>
      </c>
      <c r="N85">
        <v>0.215</v>
      </c>
      <c r="O85">
        <v>15</v>
      </c>
    </row>
    <row r="86" spans="1:15" x14ac:dyDescent="0.35">
      <c r="A86" t="s">
        <v>99</v>
      </c>
      <c r="B86" s="8">
        <v>45741</v>
      </c>
      <c r="C86" s="8">
        <v>45764</v>
      </c>
      <c r="D86" t="s">
        <v>649</v>
      </c>
      <c r="E86" t="s">
        <v>658</v>
      </c>
      <c r="F86" t="s">
        <v>683</v>
      </c>
      <c r="G86" t="s">
        <v>704</v>
      </c>
      <c r="H86" t="s">
        <v>707</v>
      </c>
      <c r="I86" t="s">
        <v>722</v>
      </c>
      <c r="J86" t="s">
        <v>729</v>
      </c>
      <c r="K86" t="s">
        <v>818</v>
      </c>
      <c r="L86">
        <v>1421.19</v>
      </c>
      <c r="M86">
        <v>1808.26</v>
      </c>
      <c r="N86">
        <v>0.104</v>
      </c>
      <c r="O86">
        <v>13</v>
      </c>
    </row>
    <row r="87" spans="1:15" x14ac:dyDescent="0.35">
      <c r="A87" t="s">
        <v>100</v>
      </c>
      <c r="B87" s="8">
        <v>45282</v>
      </c>
      <c r="C87" s="8">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5">
      <c r="A88" t="s">
        <v>101</v>
      </c>
      <c r="B88" s="8">
        <v>45388</v>
      </c>
      <c r="C88" s="8">
        <v>45407</v>
      </c>
      <c r="D88" t="s">
        <v>647</v>
      </c>
      <c r="E88" t="s">
        <v>659</v>
      </c>
      <c r="F88" t="s">
        <v>685</v>
      </c>
      <c r="G88" t="s">
        <v>701</v>
      </c>
      <c r="H88" t="s">
        <v>707</v>
      </c>
      <c r="I88" t="s">
        <v>723</v>
      </c>
      <c r="J88" t="s">
        <v>727</v>
      </c>
      <c r="K88" t="s">
        <v>820</v>
      </c>
      <c r="L88">
        <v>1366.48</v>
      </c>
      <c r="M88">
        <v>1678.14</v>
      </c>
      <c r="N88">
        <v>0.154</v>
      </c>
      <c r="O88">
        <v>10</v>
      </c>
    </row>
    <row r="89" spans="1:15" x14ac:dyDescent="0.35">
      <c r="A89" t="s">
        <v>102</v>
      </c>
      <c r="B89" s="8">
        <v>45876</v>
      </c>
      <c r="C89" s="8">
        <v>45888</v>
      </c>
      <c r="D89" t="s">
        <v>646</v>
      </c>
      <c r="E89" t="s">
        <v>650</v>
      </c>
      <c r="F89" t="s">
        <v>678</v>
      </c>
      <c r="G89" t="s">
        <v>701</v>
      </c>
      <c r="I89" t="s">
        <v>724</v>
      </c>
      <c r="J89" t="s">
        <v>727</v>
      </c>
      <c r="K89" t="s">
        <v>821</v>
      </c>
      <c r="L89">
        <v>601.51</v>
      </c>
      <c r="M89">
        <v>679.35</v>
      </c>
      <c r="N89">
        <v>0.188</v>
      </c>
      <c r="O89">
        <v>3</v>
      </c>
    </row>
    <row r="90" spans="1:15" x14ac:dyDescent="0.35">
      <c r="A90" t="s">
        <v>103</v>
      </c>
      <c r="B90" s="8">
        <v>45312</v>
      </c>
      <c r="C90" s="8">
        <v>45316</v>
      </c>
      <c r="D90" t="s">
        <v>647</v>
      </c>
      <c r="E90" t="s">
        <v>654</v>
      </c>
      <c r="F90" t="s">
        <v>680</v>
      </c>
      <c r="G90" t="s">
        <v>704</v>
      </c>
      <c r="H90" t="s">
        <v>711</v>
      </c>
      <c r="I90" t="s">
        <v>712</v>
      </c>
      <c r="J90" t="s">
        <v>732</v>
      </c>
      <c r="K90" t="s">
        <v>822</v>
      </c>
      <c r="L90">
        <v>523.70000000000005</v>
      </c>
      <c r="M90">
        <v>1109.92</v>
      </c>
      <c r="N90">
        <v>0.03</v>
      </c>
      <c r="O90">
        <v>11</v>
      </c>
    </row>
    <row r="91" spans="1:15" x14ac:dyDescent="0.35">
      <c r="A91" t="s">
        <v>104</v>
      </c>
      <c r="B91" s="8">
        <v>45106</v>
      </c>
      <c r="C91" s="8">
        <v>45109</v>
      </c>
      <c r="D91" t="s">
        <v>647</v>
      </c>
      <c r="E91" t="s">
        <v>652</v>
      </c>
      <c r="F91" t="s">
        <v>694</v>
      </c>
      <c r="G91" t="s">
        <v>702</v>
      </c>
      <c r="H91" t="s">
        <v>709</v>
      </c>
      <c r="I91" t="s">
        <v>721</v>
      </c>
      <c r="J91" t="s">
        <v>732</v>
      </c>
      <c r="K91" t="s">
        <v>823</v>
      </c>
      <c r="L91">
        <v>55.65</v>
      </c>
      <c r="M91">
        <v>83.57</v>
      </c>
      <c r="N91">
        <v>6.6000000000000003E-2</v>
      </c>
      <c r="O91">
        <v>8</v>
      </c>
    </row>
    <row r="92" spans="1:15" x14ac:dyDescent="0.35">
      <c r="A92" t="s">
        <v>105</v>
      </c>
      <c r="B92" s="8">
        <v>45775</v>
      </c>
      <c r="C92" s="8">
        <v>45792</v>
      </c>
      <c r="D92" t="s">
        <v>647</v>
      </c>
      <c r="E92" t="s">
        <v>652</v>
      </c>
      <c r="F92" t="s">
        <v>694</v>
      </c>
      <c r="G92" t="s">
        <v>702</v>
      </c>
      <c r="H92" t="s">
        <v>711</v>
      </c>
      <c r="I92" t="s">
        <v>725</v>
      </c>
      <c r="J92" t="s">
        <v>729</v>
      </c>
      <c r="K92" t="s">
        <v>824</v>
      </c>
      <c r="L92">
        <v>691.19</v>
      </c>
      <c r="M92">
        <v>1284.3</v>
      </c>
      <c r="N92">
        <v>7.3999999999999996E-2</v>
      </c>
      <c r="O92">
        <v>7</v>
      </c>
    </row>
    <row r="93" spans="1:15" x14ac:dyDescent="0.35">
      <c r="A93" t="s">
        <v>106</v>
      </c>
      <c r="B93" s="8">
        <v>45817</v>
      </c>
      <c r="C93" s="8">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5">
      <c r="A94" t="s">
        <v>107</v>
      </c>
      <c r="B94" s="8">
        <v>45101</v>
      </c>
      <c r="C94" s="8">
        <v>45100</v>
      </c>
      <c r="D94" t="s">
        <v>648</v>
      </c>
      <c r="E94" t="s">
        <v>655</v>
      </c>
      <c r="F94" t="s">
        <v>692</v>
      </c>
      <c r="G94" t="s">
        <v>703</v>
      </c>
      <c r="H94" t="s">
        <v>707</v>
      </c>
      <c r="I94" t="s">
        <v>718</v>
      </c>
      <c r="J94" t="s">
        <v>728</v>
      </c>
      <c r="K94" t="s">
        <v>826</v>
      </c>
      <c r="L94">
        <v>804.01</v>
      </c>
      <c r="M94">
        <v>1405.07</v>
      </c>
      <c r="N94">
        <v>9.6000000000000002E-2</v>
      </c>
      <c r="O94">
        <v>8</v>
      </c>
    </row>
    <row r="95" spans="1:15" x14ac:dyDescent="0.35">
      <c r="A95" t="s">
        <v>108</v>
      </c>
      <c r="B95" s="8">
        <v>45569</v>
      </c>
      <c r="C95" s="8">
        <v>45598</v>
      </c>
      <c r="D95" t="s">
        <v>646</v>
      </c>
      <c r="E95" t="s">
        <v>651</v>
      </c>
      <c r="F95" t="s">
        <v>669</v>
      </c>
      <c r="G95" t="s">
        <v>701</v>
      </c>
      <c r="H95" t="s">
        <v>710</v>
      </c>
      <c r="I95" t="s">
        <v>721</v>
      </c>
      <c r="J95" t="s">
        <v>733</v>
      </c>
      <c r="K95" t="s">
        <v>827</v>
      </c>
      <c r="L95">
        <v>412.09</v>
      </c>
      <c r="M95">
        <v>968.94</v>
      </c>
      <c r="N95">
        <v>9.9000000000000005E-2</v>
      </c>
      <c r="O95">
        <v>23</v>
      </c>
    </row>
    <row r="96" spans="1:15" x14ac:dyDescent="0.35">
      <c r="A96" t="s">
        <v>109</v>
      </c>
      <c r="B96" s="8">
        <v>45910</v>
      </c>
      <c r="C96" s="8">
        <v>45930</v>
      </c>
      <c r="D96" t="s">
        <v>646</v>
      </c>
      <c r="E96" t="s">
        <v>650</v>
      </c>
      <c r="F96" t="s">
        <v>675</v>
      </c>
      <c r="G96" t="s">
        <v>701</v>
      </c>
      <c r="H96" t="s">
        <v>711</v>
      </c>
      <c r="I96" t="s">
        <v>716</v>
      </c>
      <c r="J96" t="s">
        <v>730</v>
      </c>
      <c r="K96" t="s">
        <v>828</v>
      </c>
      <c r="L96">
        <v>1009.48</v>
      </c>
      <c r="M96">
        <v>1088.81</v>
      </c>
      <c r="N96">
        <v>0.16</v>
      </c>
      <c r="O96">
        <v>6</v>
      </c>
    </row>
    <row r="97" spans="1:15" x14ac:dyDescent="0.35">
      <c r="A97" t="s">
        <v>110</v>
      </c>
      <c r="B97" s="8">
        <v>45022</v>
      </c>
      <c r="C97" s="8">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5">
      <c r="A98" t="s">
        <v>111</v>
      </c>
      <c r="B98" s="8">
        <v>45870</v>
      </c>
      <c r="C98" s="8">
        <v>45885</v>
      </c>
      <c r="D98" t="s">
        <v>647</v>
      </c>
      <c r="E98" t="s">
        <v>654</v>
      </c>
      <c r="G98" t="s">
        <v>706</v>
      </c>
      <c r="H98" t="s">
        <v>711</v>
      </c>
      <c r="I98" t="s">
        <v>719</v>
      </c>
      <c r="J98" t="s">
        <v>732</v>
      </c>
      <c r="K98" t="s">
        <v>830</v>
      </c>
      <c r="L98">
        <v>24.44</v>
      </c>
      <c r="M98">
        <v>28.69</v>
      </c>
      <c r="N98">
        <v>0.14599999999999999</v>
      </c>
      <c r="O98">
        <v>6</v>
      </c>
    </row>
    <row r="99" spans="1:15" x14ac:dyDescent="0.35">
      <c r="A99" t="s">
        <v>112</v>
      </c>
      <c r="B99" s="8">
        <v>45440</v>
      </c>
      <c r="C99" s="8">
        <v>45438</v>
      </c>
      <c r="D99" t="s">
        <v>646</v>
      </c>
      <c r="E99" t="s">
        <v>651</v>
      </c>
      <c r="F99" t="s">
        <v>669</v>
      </c>
      <c r="G99" t="s">
        <v>706</v>
      </c>
      <c r="H99" t="s">
        <v>708</v>
      </c>
      <c r="I99" t="s">
        <v>721</v>
      </c>
      <c r="J99" t="s">
        <v>733</v>
      </c>
      <c r="K99" t="s">
        <v>831</v>
      </c>
      <c r="L99">
        <v>1227.08</v>
      </c>
      <c r="M99">
        <v>1896.62</v>
      </c>
      <c r="N99">
        <v>0</v>
      </c>
      <c r="O99">
        <v>18</v>
      </c>
    </row>
    <row r="100" spans="1:15" x14ac:dyDescent="0.35">
      <c r="A100" t="s">
        <v>113</v>
      </c>
      <c r="B100" s="8">
        <v>45860</v>
      </c>
      <c r="C100" s="8">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5">
      <c r="A101" t="s">
        <v>114</v>
      </c>
      <c r="B101" s="8">
        <v>44985</v>
      </c>
      <c r="C101" s="8">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5">
      <c r="A102" t="s">
        <v>115</v>
      </c>
      <c r="B102" s="8">
        <v>45684</v>
      </c>
      <c r="C102" s="8">
        <v>45703</v>
      </c>
      <c r="D102" t="s">
        <v>647</v>
      </c>
      <c r="E102" t="s">
        <v>659</v>
      </c>
      <c r="F102" t="s">
        <v>676</v>
      </c>
      <c r="G102" t="s">
        <v>703</v>
      </c>
      <c r="H102" t="s">
        <v>711</v>
      </c>
      <c r="I102" t="s">
        <v>716</v>
      </c>
      <c r="J102" t="s">
        <v>730</v>
      </c>
      <c r="K102" t="s">
        <v>834</v>
      </c>
      <c r="L102">
        <v>1253.22</v>
      </c>
      <c r="M102">
        <v>3104.71</v>
      </c>
      <c r="N102">
        <v>0</v>
      </c>
      <c r="O102">
        <v>17</v>
      </c>
    </row>
    <row r="103" spans="1:15" x14ac:dyDescent="0.35">
      <c r="A103" t="s">
        <v>116</v>
      </c>
      <c r="B103" s="8">
        <v>45304</v>
      </c>
      <c r="C103" s="8">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5">
      <c r="A104" t="s">
        <v>117</v>
      </c>
      <c r="B104" s="8">
        <v>45747</v>
      </c>
      <c r="C104" s="8">
        <v>45751</v>
      </c>
      <c r="D104" t="s">
        <v>646</v>
      </c>
      <c r="E104" t="s">
        <v>650</v>
      </c>
      <c r="F104" t="s">
        <v>678</v>
      </c>
      <c r="G104" t="s">
        <v>701</v>
      </c>
      <c r="H104" t="s">
        <v>711</v>
      </c>
      <c r="I104" t="s">
        <v>712</v>
      </c>
      <c r="J104" t="s">
        <v>731</v>
      </c>
      <c r="K104" t="s">
        <v>836</v>
      </c>
      <c r="L104">
        <v>862.08</v>
      </c>
      <c r="M104">
        <v>1952.83</v>
      </c>
      <c r="N104">
        <v>0</v>
      </c>
      <c r="O104">
        <v>7</v>
      </c>
    </row>
    <row r="105" spans="1:15" x14ac:dyDescent="0.35">
      <c r="A105" t="s">
        <v>118</v>
      </c>
      <c r="B105" s="8">
        <v>45631</v>
      </c>
      <c r="C105" s="8">
        <v>45654</v>
      </c>
      <c r="D105" t="s">
        <v>648</v>
      </c>
      <c r="E105" t="s">
        <v>653</v>
      </c>
      <c r="F105" t="s">
        <v>688</v>
      </c>
      <c r="G105" t="s">
        <v>701</v>
      </c>
      <c r="H105" t="s">
        <v>711</v>
      </c>
      <c r="I105" t="s">
        <v>721</v>
      </c>
      <c r="J105" t="s">
        <v>733</v>
      </c>
      <c r="K105" t="s">
        <v>837</v>
      </c>
      <c r="L105">
        <v>107.03</v>
      </c>
      <c r="M105">
        <v>242.29</v>
      </c>
      <c r="N105">
        <v>0.18</v>
      </c>
      <c r="O105">
        <v>30</v>
      </c>
    </row>
    <row r="106" spans="1:15" x14ac:dyDescent="0.35">
      <c r="A106" t="s">
        <v>119</v>
      </c>
      <c r="B106" s="8">
        <v>45549</v>
      </c>
      <c r="C106" s="8">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5">
      <c r="A107" t="s">
        <v>120</v>
      </c>
      <c r="B107" s="8">
        <v>45433</v>
      </c>
      <c r="C107" s="8">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5">
      <c r="A108" t="s">
        <v>121</v>
      </c>
      <c r="B108" s="8">
        <v>45057</v>
      </c>
      <c r="C108" s="8">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5">
      <c r="A109" t="s">
        <v>122</v>
      </c>
      <c r="B109" s="8">
        <v>45518</v>
      </c>
      <c r="C109" s="8">
        <v>45539</v>
      </c>
      <c r="D109" t="s">
        <v>649</v>
      </c>
      <c r="E109" t="s">
        <v>658</v>
      </c>
      <c r="F109" t="s">
        <v>693</v>
      </c>
      <c r="G109" t="s">
        <v>703</v>
      </c>
      <c r="H109" t="s">
        <v>708</v>
      </c>
      <c r="I109" t="s">
        <v>713</v>
      </c>
      <c r="J109" t="s">
        <v>730</v>
      </c>
      <c r="K109" t="s">
        <v>841</v>
      </c>
      <c r="L109">
        <v>1138.8</v>
      </c>
      <c r="M109">
        <v>2250.81</v>
      </c>
      <c r="N109">
        <v>0.123</v>
      </c>
      <c r="O109">
        <v>12</v>
      </c>
    </row>
    <row r="110" spans="1:15" x14ac:dyDescent="0.35">
      <c r="A110" t="s">
        <v>123</v>
      </c>
      <c r="B110" s="8">
        <v>45581</v>
      </c>
      <c r="C110" s="8">
        <v>45604</v>
      </c>
      <c r="D110" t="s">
        <v>647</v>
      </c>
      <c r="E110" t="s">
        <v>652</v>
      </c>
      <c r="F110" t="s">
        <v>666</v>
      </c>
      <c r="G110" t="s">
        <v>705</v>
      </c>
      <c r="H110" t="s">
        <v>707</v>
      </c>
      <c r="I110" t="s">
        <v>713</v>
      </c>
      <c r="J110" t="s">
        <v>729</v>
      </c>
      <c r="K110" t="s">
        <v>842</v>
      </c>
      <c r="L110">
        <v>82.14</v>
      </c>
      <c r="M110">
        <v>166.04</v>
      </c>
      <c r="N110">
        <v>0</v>
      </c>
      <c r="O110">
        <v>10</v>
      </c>
    </row>
    <row r="111" spans="1:15" x14ac:dyDescent="0.35">
      <c r="A111" t="s">
        <v>124</v>
      </c>
      <c r="B111" s="8">
        <v>45445</v>
      </c>
      <c r="C111" s="8">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5">
      <c r="A112" t="s">
        <v>125</v>
      </c>
      <c r="B112" s="8">
        <v>45452</v>
      </c>
      <c r="C112" s="8">
        <v>45480</v>
      </c>
      <c r="D112" t="s">
        <v>647</v>
      </c>
      <c r="E112" t="s">
        <v>659</v>
      </c>
      <c r="F112" t="s">
        <v>676</v>
      </c>
      <c r="G112" t="s">
        <v>701</v>
      </c>
      <c r="H112" t="s">
        <v>708</v>
      </c>
      <c r="I112" t="s">
        <v>713</v>
      </c>
      <c r="J112" t="s">
        <v>727</v>
      </c>
      <c r="K112" t="s">
        <v>844</v>
      </c>
      <c r="L112">
        <v>550.22</v>
      </c>
      <c r="M112">
        <v>1025.05</v>
      </c>
      <c r="N112">
        <v>0</v>
      </c>
      <c r="O112">
        <v>27</v>
      </c>
    </row>
    <row r="113" spans="1:15" x14ac:dyDescent="0.35">
      <c r="A113" t="s">
        <v>126</v>
      </c>
      <c r="B113" s="8">
        <v>45453</v>
      </c>
      <c r="C113" s="8">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5">
      <c r="A114" t="s">
        <v>127</v>
      </c>
      <c r="B114" s="8">
        <v>45472</v>
      </c>
      <c r="C114" s="8">
        <v>45499</v>
      </c>
      <c r="D114" t="s">
        <v>646</v>
      </c>
      <c r="E114" t="s">
        <v>661</v>
      </c>
      <c r="F114" t="s">
        <v>687</v>
      </c>
      <c r="G114" t="s">
        <v>706</v>
      </c>
      <c r="H114" t="s">
        <v>710</v>
      </c>
      <c r="I114" t="s">
        <v>717</v>
      </c>
      <c r="J114" t="s">
        <v>729</v>
      </c>
      <c r="K114" t="s">
        <v>846</v>
      </c>
      <c r="L114">
        <v>5.36</v>
      </c>
      <c r="M114">
        <v>4.37</v>
      </c>
      <c r="N114">
        <v>0.11799999999999999</v>
      </c>
      <c r="O114">
        <v>9</v>
      </c>
    </row>
    <row r="115" spans="1:15" x14ac:dyDescent="0.35">
      <c r="A115" t="s">
        <v>128</v>
      </c>
      <c r="B115" s="8">
        <v>45674</v>
      </c>
      <c r="C115" s="8">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5">
      <c r="A116" t="s">
        <v>129</v>
      </c>
      <c r="B116" s="8">
        <v>45250</v>
      </c>
      <c r="C116" s="8">
        <v>45265</v>
      </c>
      <c r="D116" t="s">
        <v>647</v>
      </c>
      <c r="E116" t="s">
        <v>652</v>
      </c>
      <c r="F116" t="s">
        <v>689</v>
      </c>
      <c r="G116" t="s">
        <v>706</v>
      </c>
      <c r="H116" t="s">
        <v>707</v>
      </c>
      <c r="I116" t="s">
        <v>716</v>
      </c>
      <c r="J116" t="s">
        <v>729</v>
      </c>
      <c r="K116" t="s">
        <v>848</v>
      </c>
      <c r="L116">
        <v>354.24</v>
      </c>
      <c r="M116">
        <v>249.87</v>
      </c>
      <c r="N116">
        <v>0</v>
      </c>
      <c r="O116">
        <v>6</v>
      </c>
    </row>
    <row r="117" spans="1:15" x14ac:dyDescent="0.35">
      <c r="A117" t="s">
        <v>130</v>
      </c>
      <c r="B117" s="8">
        <v>44987</v>
      </c>
      <c r="C117" s="8">
        <v>44990</v>
      </c>
      <c r="D117" t="s">
        <v>648</v>
      </c>
      <c r="E117" t="s">
        <v>655</v>
      </c>
      <c r="F117" t="s">
        <v>672</v>
      </c>
      <c r="G117" t="s">
        <v>706</v>
      </c>
      <c r="H117" t="s">
        <v>711</v>
      </c>
      <c r="I117" t="s">
        <v>715</v>
      </c>
      <c r="J117" t="s">
        <v>732</v>
      </c>
      <c r="K117" t="s">
        <v>849</v>
      </c>
      <c r="L117">
        <v>1473.58</v>
      </c>
      <c r="M117">
        <v>3436.52</v>
      </c>
      <c r="N117">
        <v>0.108</v>
      </c>
      <c r="O117">
        <v>8</v>
      </c>
    </row>
    <row r="118" spans="1:15" x14ac:dyDescent="0.35">
      <c r="A118" t="s">
        <v>131</v>
      </c>
      <c r="B118" s="8">
        <v>45811</v>
      </c>
      <c r="C118" s="8">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5">
      <c r="A119" t="s">
        <v>132</v>
      </c>
      <c r="B119" s="8">
        <v>45653</v>
      </c>
      <c r="C119" s="8">
        <v>45659</v>
      </c>
      <c r="D119" t="s">
        <v>649</v>
      </c>
      <c r="E119" t="s">
        <v>656</v>
      </c>
      <c r="F119" t="s">
        <v>698</v>
      </c>
      <c r="G119" t="s">
        <v>702</v>
      </c>
      <c r="H119" t="s">
        <v>711</v>
      </c>
      <c r="I119" t="s">
        <v>721</v>
      </c>
      <c r="J119" t="s">
        <v>731</v>
      </c>
      <c r="K119" t="s">
        <v>851</v>
      </c>
      <c r="L119">
        <v>1391.99</v>
      </c>
      <c r="M119">
        <v>3469.7</v>
      </c>
      <c r="N119">
        <v>0.184</v>
      </c>
      <c r="O119">
        <v>23</v>
      </c>
    </row>
    <row r="120" spans="1:15" x14ac:dyDescent="0.35">
      <c r="A120" t="s">
        <v>133</v>
      </c>
      <c r="B120" s="8">
        <v>45086</v>
      </c>
      <c r="C120" s="8">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5">
      <c r="A121" t="s">
        <v>134</v>
      </c>
      <c r="B121" s="8">
        <v>45847</v>
      </c>
      <c r="C121" s="8">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5">
      <c r="A122" t="s">
        <v>135</v>
      </c>
      <c r="B122" s="8">
        <v>45827</v>
      </c>
      <c r="C122" s="8">
        <v>45850</v>
      </c>
      <c r="D122" t="s">
        <v>649</v>
      </c>
      <c r="E122" t="s">
        <v>658</v>
      </c>
      <c r="G122" t="s">
        <v>703</v>
      </c>
      <c r="H122" t="s">
        <v>711</v>
      </c>
      <c r="J122" t="s">
        <v>729</v>
      </c>
      <c r="K122" t="s">
        <v>854</v>
      </c>
      <c r="L122">
        <v>801.24</v>
      </c>
      <c r="M122">
        <v>1959.09</v>
      </c>
      <c r="N122">
        <v>0.123</v>
      </c>
      <c r="O122">
        <v>23</v>
      </c>
    </row>
    <row r="123" spans="1:15" x14ac:dyDescent="0.35">
      <c r="A123" t="s">
        <v>136</v>
      </c>
      <c r="B123" s="8">
        <v>45249</v>
      </c>
      <c r="C123" s="8">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5">
      <c r="A124" t="s">
        <v>137</v>
      </c>
      <c r="B124" s="8">
        <v>45289</v>
      </c>
      <c r="C124" s="8">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5">
      <c r="A125" t="s">
        <v>138</v>
      </c>
      <c r="B125" s="8">
        <v>45598</v>
      </c>
      <c r="C125" s="8">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5">
      <c r="A126" t="s">
        <v>139</v>
      </c>
      <c r="B126" s="8">
        <v>45159</v>
      </c>
      <c r="C126" s="8">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5">
      <c r="A127" t="s">
        <v>140</v>
      </c>
      <c r="B127" s="8">
        <v>45150</v>
      </c>
      <c r="C127" s="8">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5">
      <c r="A128" t="s">
        <v>141</v>
      </c>
      <c r="B128" s="8">
        <v>45450</v>
      </c>
      <c r="C128" s="8">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5">
      <c r="A129" t="s">
        <v>142</v>
      </c>
      <c r="B129" s="8">
        <v>45874</v>
      </c>
      <c r="C129" s="8">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5">
      <c r="A130" t="s">
        <v>143</v>
      </c>
      <c r="B130" s="8">
        <v>45442</v>
      </c>
      <c r="C130" s="8">
        <v>45456</v>
      </c>
      <c r="D130" t="s">
        <v>648</v>
      </c>
      <c r="E130" t="s">
        <v>660</v>
      </c>
      <c r="F130" t="s">
        <v>686</v>
      </c>
      <c r="G130" t="s">
        <v>705</v>
      </c>
      <c r="H130" t="s">
        <v>707</v>
      </c>
      <c r="I130" t="s">
        <v>721</v>
      </c>
      <c r="J130" t="s">
        <v>730</v>
      </c>
      <c r="K130" t="s">
        <v>862</v>
      </c>
      <c r="L130">
        <v>157.78</v>
      </c>
      <c r="M130">
        <v>361.1</v>
      </c>
      <c r="N130">
        <v>0.187</v>
      </c>
      <c r="O130">
        <v>9</v>
      </c>
    </row>
    <row r="131" spans="1:15" x14ac:dyDescent="0.35">
      <c r="A131" t="s">
        <v>144</v>
      </c>
      <c r="B131" s="8">
        <v>44948</v>
      </c>
      <c r="C131" s="8">
        <v>44956</v>
      </c>
      <c r="D131" t="s">
        <v>648</v>
      </c>
      <c r="E131" t="s">
        <v>660</v>
      </c>
      <c r="F131" t="s">
        <v>686</v>
      </c>
      <c r="G131" t="s">
        <v>705</v>
      </c>
      <c r="H131" t="s">
        <v>708</v>
      </c>
      <c r="I131" t="s">
        <v>720</v>
      </c>
      <c r="J131" t="s">
        <v>729</v>
      </c>
      <c r="K131" t="s">
        <v>863</v>
      </c>
      <c r="L131">
        <v>413.52</v>
      </c>
      <c r="M131">
        <v>1004.34</v>
      </c>
      <c r="N131">
        <v>0.111</v>
      </c>
      <c r="O131">
        <v>18</v>
      </c>
    </row>
    <row r="132" spans="1:15" x14ac:dyDescent="0.35">
      <c r="A132" t="s">
        <v>145</v>
      </c>
      <c r="B132" s="8">
        <v>45700</v>
      </c>
      <c r="C132" s="8">
        <v>45716</v>
      </c>
      <c r="D132" t="s">
        <v>648</v>
      </c>
      <c r="E132" t="s">
        <v>655</v>
      </c>
      <c r="F132" t="s">
        <v>670</v>
      </c>
      <c r="G132" t="s">
        <v>703</v>
      </c>
      <c r="H132" t="s">
        <v>711</v>
      </c>
      <c r="I132" t="s">
        <v>717</v>
      </c>
      <c r="J132" t="s">
        <v>732</v>
      </c>
      <c r="K132" t="s">
        <v>864</v>
      </c>
      <c r="L132">
        <v>414.95</v>
      </c>
      <c r="M132">
        <v>1027.73</v>
      </c>
      <c r="N132">
        <v>6.3E-2</v>
      </c>
      <c r="O132">
        <v>8</v>
      </c>
    </row>
    <row r="133" spans="1:15" x14ac:dyDescent="0.35">
      <c r="A133" t="s">
        <v>146</v>
      </c>
      <c r="B133" s="8">
        <v>45719</v>
      </c>
      <c r="C133" s="8">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5">
      <c r="A134" t="s">
        <v>147</v>
      </c>
      <c r="B134" s="8">
        <v>44953</v>
      </c>
      <c r="C134" s="8">
        <v>44957</v>
      </c>
      <c r="D134" t="s">
        <v>649</v>
      </c>
      <c r="E134" t="s">
        <v>658</v>
      </c>
      <c r="F134" t="s">
        <v>693</v>
      </c>
      <c r="G134" t="s">
        <v>706</v>
      </c>
      <c r="H134" t="s">
        <v>708</v>
      </c>
      <c r="I134" t="s">
        <v>725</v>
      </c>
      <c r="J134" t="s">
        <v>731</v>
      </c>
      <c r="K134" t="s">
        <v>866</v>
      </c>
      <c r="L134">
        <v>941.2</v>
      </c>
      <c r="M134">
        <v>668.02</v>
      </c>
      <c r="N134">
        <v>0.22</v>
      </c>
      <c r="O134">
        <v>16</v>
      </c>
    </row>
    <row r="135" spans="1:15" x14ac:dyDescent="0.35">
      <c r="A135" t="s">
        <v>148</v>
      </c>
      <c r="B135" s="8">
        <v>45666</v>
      </c>
      <c r="C135" s="8">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5">
      <c r="A136" t="s">
        <v>149</v>
      </c>
      <c r="B136" s="8">
        <v>45647</v>
      </c>
      <c r="C136" s="8">
        <v>45652</v>
      </c>
      <c r="D136" t="s">
        <v>648</v>
      </c>
      <c r="E136" t="s">
        <v>660</v>
      </c>
      <c r="F136" t="s">
        <v>686</v>
      </c>
      <c r="G136" t="s">
        <v>704</v>
      </c>
      <c r="H136" t="s">
        <v>709</v>
      </c>
      <c r="I136" t="s">
        <v>724</v>
      </c>
      <c r="J136" t="s">
        <v>728</v>
      </c>
      <c r="K136" t="s">
        <v>868</v>
      </c>
      <c r="L136">
        <v>699.57</v>
      </c>
      <c r="M136">
        <v>572.71</v>
      </c>
      <c r="N136">
        <v>0.192</v>
      </c>
      <c r="O136">
        <v>26</v>
      </c>
    </row>
    <row r="137" spans="1:15" x14ac:dyDescent="0.35">
      <c r="A137" t="s">
        <v>150</v>
      </c>
      <c r="B137" s="8">
        <v>45028</v>
      </c>
      <c r="C137" s="8">
        <v>45033</v>
      </c>
      <c r="D137" t="s">
        <v>649</v>
      </c>
      <c r="E137" t="s">
        <v>657</v>
      </c>
      <c r="F137" t="s">
        <v>679</v>
      </c>
      <c r="G137" t="s">
        <v>706</v>
      </c>
      <c r="H137" t="s">
        <v>711</v>
      </c>
      <c r="I137" t="s">
        <v>718</v>
      </c>
      <c r="J137" t="s">
        <v>732</v>
      </c>
      <c r="K137" t="s">
        <v>869</v>
      </c>
      <c r="L137">
        <v>1087.81</v>
      </c>
      <c r="M137">
        <v>2323.87</v>
      </c>
      <c r="N137">
        <v>9.4E-2</v>
      </c>
      <c r="O137">
        <v>13</v>
      </c>
    </row>
    <row r="138" spans="1:15" x14ac:dyDescent="0.35">
      <c r="A138" t="s">
        <v>151</v>
      </c>
      <c r="B138" s="8">
        <v>45640</v>
      </c>
      <c r="C138" s="8">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5">
      <c r="A139" t="s">
        <v>152</v>
      </c>
      <c r="B139" s="8">
        <v>45016</v>
      </c>
      <c r="C139" s="8">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5">
      <c r="A140" t="s">
        <v>153</v>
      </c>
      <c r="B140" s="8">
        <v>45616</v>
      </c>
      <c r="C140" s="8">
        <v>45641</v>
      </c>
      <c r="D140" t="s">
        <v>649</v>
      </c>
      <c r="E140" t="s">
        <v>657</v>
      </c>
      <c r="F140" t="s">
        <v>690</v>
      </c>
      <c r="G140" t="s">
        <v>701</v>
      </c>
      <c r="H140" t="s">
        <v>708</v>
      </c>
      <c r="I140" t="s">
        <v>715</v>
      </c>
      <c r="J140" t="s">
        <v>728</v>
      </c>
      <c r="K140" t="s">
        <v>872</v>
      </c>
      <c r="L140">
        <v>1203.58</v>
      </c>
      <c r="M140">
        <v>1856.16</v>
      </c>
      <c r="N140">
        <v>0.129</v>
      </c>
      <c r="O140">
        <v>22</v>
      </c>
    </row>
    <row r="141" spans="1:15" x14ac:dyDescent="0.35">
      <c r="A141" t="s">
        <v>154</v>
      </c>
      <c r="B141" s="8">
        <v>45336</v>
      </c>
      <c r="C141" s="8">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5">
      <c r="A142" t="s">
        <v>155</v>
      </c>
      <c r="B142" s="8">
        <v>45048</v>
      </c>
      <c r="C142" s="8">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5">
      <c r="A143" t="s">
        <v>156</v>
      </c>
      <c r="B143" s="8">
        <v>45649</v>
      </c>
      <c r="C143" s="8">
        <v>45668</v>
      </c>
      <c r="D143" t="s">
        <v>649</v>
      </c>
      <c r="E143" t="s">
        <v>656</v>
      </c>
      <c r="F143" t="s">
        <v>671</v>
      </c>
      <c r="G143" t="s">
        <v>702</v>
      </c>
      <c r="H143" t="s">
        <v>707</v>
      </c>
      <c r="I143" t="s">
        <v>723</v>
      </c>
      <c r="J143" t="s">
        <v>730</v>
      </c>
      <c r="K143" t="s">
        <v>875</v>
      </c>
      <c r="L143">
        <v>501.81</v>
      </c>
      <c r="M143">
        <v>921.62</v>
      </c>
      <c r="N143">
        <v>0.01</v>
      </c>
      <c r="O143">
        <v>9</v>
      </c>
    </row>
    <row r="144" spans="1:15" x14ac:dyDescent="0.35">
      <c r="A144" t="s">
        <v>157</v>
      </c>
      <c r="B144" s="8">
        <v>45133</v>
      </c>
      <c r="C144" s="8">
        <v>45163</v>
      </c>
      <c r="D144" t="s">
        <v>648</v>
      </c>
      <c r="E144" t="s">
        <v>660</v>
      </c>
      <c r="F144" t="s">
        <v>700</v>
      </c>
      <c r="G144" t="s">
        <v>704</v>
      </c>
      <c r="H144" t="s">
        <v>707</v>
      </c>
      <c r="I144" t="s">
        <v>724</v>
      </c>
      <c r="J144" t="s">
        <v>733</v>
      </c>
      <c r="K144" t="s">
        <v>876</v>
      </c>
      <c r="L144">
        <v>1261.48</v>
      </c>
      <c r="M144">
        <v>1643.18</v>
      </c>
      <c r="N144">
        <v>0.151</v>
      </c>
      <c r="O144">
        <v>23</v>
      </c>
    </row>
    <row r="145" spans="1:15" x14ac:dyDescent="0.35">
      <c r="A145" t="s">
        <v>158</v>
      </c>
      <c r="B145" s="8">
        <v>45458</v>
      </c>
      <c r="C145" s="8">
        <v>45479</v>
      </c>
      <c r="D145" t="s">
        <v>648</v>
      </c>
      <c r="E145" t="s">
        <v>653</v>
      </c>
      <c r="F145" t="s">
        <v>667</v>
      </c>
      <c r="G145" t="s">
        <v>706</v>
      </c>
      <c r="H145" t="s">
        <v>710</v>
      </c>
      <c r="I145" t="s">
        <v>716</v>
      </c>
      <c r="J145" t="s">
        <v>728</v>
      </c>
      <c r="K145" t="s">
        <v>877</v>
      </c>
      <c r="L145">
        <v>817.23</v>
      </c>
      <c r="M145">
        <v>1467.17</v>
      </c>
      <c r="N145">
        <v>0.245</v>
      </c>
      <c r="O145">
        <v>9</v>
      </c>
    </row>
    <row r="146" spans="1:15" x14ac:dyDescent="0.35">
      <c r="A146" t="s">
        <v>159</v>
      </c>
      <c r="B146" s="8">
        <v>45112</v>
      </c>
      <c r="C146" s="8">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5">
      <c r="A147" t="s">
        <v>160</v>
      </c>
      <c r="B147" s="8">
        <v>45260</v>
      </c>
      <c r="C147" s="8">
        <v>45259</v>
      </c>
      <c r="D147" t="s">
        <v>646</v>
      </c>
      <c r="E147" t="s">
        <v>661</v>
      </c>
      <c r="F147" t="s">
        <v>687</v>
      </c>
      <c r="G147" t="s">
        <v>705</v>
      </c>
      <c r="H147" t="s">
        <v>709</v>
      </c>
      <c r="I147" t="s">
        <v>718</v>
      </c>
      <c r="J147" t="s">
        <v>731</v>
      </c>
      <c r="K147" t="s">
        <v>879</v>
      </c>
      <c r="L147">
        <v>275.56</v>
      </c>
      <c r="M147">
        <v>630.72</v>
      </c>
      <c r="N147">
        <v>0.107</v>
      </c>
      <c r="O147">
        <v>23</v>
      </c>
    </row>
    <row r="148" spans="1:15" x14ac:dyDescent="0.35">
      <c r="A148" t="s">
        <v>161</v>
      </c>
      <c r="B148" s="8">
        <v>45911</v>
      </c>
      <c r="C148" s="8">
        <v>45928</v>
      </c>
      <c r="D148" t="s">
        <v>646</v>
      </c>
      <c r="E148" t="s">
        <v>650</v>
      </c>
      <c r="F148" t="s">
        <v>664</v>
      </c>
      <c r="G148" t="s">
        <v>703</v>
      </c>
      <c r="H148" t="s">
        <v>710</v>
      </c>
      <c r="I148" t="s">
        <v>713</v>
      </c>
      <c r="J148" t="s">
        <v>731</v>
      </c>
      <c r="K148" t="s">
        <v>880</v>
      </c>
      <c r="L148">
        <v>891.46</v>
      </c>
      <c r="M148">
        <v>728.61</v>
      </c>
      <c r="N148">
        <v>0.185</v>
      </c>
      <c r="O148">
        <v>6</v>
      </c>
    </row>
    <row r="149" spans="1:15" x14ac:dyDescent="0.35">
      <c r="A149" t="s">
        <v>162</v>
      </c>
      <c r="B149" s="8">
        <v>45386</v>
      </c>
      <c r="C149" s="8">
        <v>45406</v>
      </c>
      <c r="D149" t="s">
        <v>649</v>
      </c>
      <c r="E149" t="s">
        <v>656</v>
      </c>
      <c r="F149" t="s">
        <v>698</v>
      </c>
      <c r="G149" t="s">
        <v>703</v>
      </c>
      <c r="H149" t="s">
        <v>711</v>
      </c>
      <c r="I149" t="s">
        <v>719</v>
      </c>
      <c r="J149" t="s">
        <v>733</v>
      </c>
      <c r="K149" t="s">
        <v>881</v>
      </c>
      <c r="L149">
        <v>683.42</v>
      </c>
      <c r="M149">
        <v>951.51</v>
      </c>
      <c r="N149">
        <v>0</v>
      </c>
      <c r="O149">
        <v>14</v>
      </c>
    </row>
    <row r="150" spans="1:15" x14ac:dyDescent="0.35">
      <c r="A150" t="s">
        <v>163</v>
      </c>
      <c r="B150" s="8">
        <v>45183</v>
      </c>
      <c r="C150" s="8">
        <v>45185</v>
      </c>
      <c r="D150" t="s">
        <v>649</v>
      </c>
      <c r="E150" t="s">
        <v>657</v>
      </c>
      <c r="F150" t="s">
        <v>679</v>
      </c>
      <c r="G150" t="s">
        <v>703</v>
      </c>
      <c r="H150" t="s">
        <v>711</v>
      </c>
      <c r="I150" t="s">
        <v>717</v>
      </c>
      <c r="J150" t="s">
        <v>728</v>
      </c>
      <c r="K150" t="s">
        <v>882</v>
      </c>
      <c r="L150">
        <v>376.83</v>
      </c>
      <c r="M150">
        <v>732.88</v>
      </c>
      <c r="N150">
        <v>0.188</v>
      </c>
      <c r="O150">
        <v>25</v>
      </c>
    </row>
    <row r="151" spans="1:15" x14ac:dyDescent="0.35">
      <c r="A151" t="s">
        <v>164</v>
      </c>
      <c r="B151" s="8">
        <v>45558</v>
      </c>
      <c r="C151" s="8">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5">
      <c r="A152" t="s">
        <v>165</v>
      </c>
      <c r="B152" s="8">
        <v>45763</v>
      </c>
      <c r="C152" s="8">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5">
      <c r="A153" t="s">
        <v>166</v>
      </c>
      <c r="B153" s="8">
        <v>45110</v>
      </c>
      <c r="C153" s="8">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5">
      <c r="A154" t="s">
        <v>167</v>
      </c>
      <c r="B154" s="8">
        <v>45267</v>
      </c>
      <c r="C154" s="8">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5">
      <c r="A155" t="s">
        <v>168</v>
      </c>
      <c r="B155" s="8">
        <v>45340</v>
      </c>
      <c r="C155" s="8">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5">
      <c r="A156" t="s">
        <v>169</v>
      </c>
      <c r="B156" s="8">
        <v>45230</v>
      </c>
      <c r="C156" s="8">
        <v>45232</v>
      </c>
      <c r="D156" t="s">
        <v>646</v>
      </c>
      <c r="E156" t="s">
        <v>650</v>
      </c>
      <c r="F156" t="s">
        <v>662</v>
      </c>
      <c r="G156" t="s">
        <v>702</v>
      </c>
      <c r="H156" t="s">
        <v>707</v>
      </c>
      <c r="I156" t="s">
        <v>719</v>
      </c>
      <c r="J156" t="s">
        <v>733</v>
      </c>
      <c r="K156" t="s">
        <v>888</v>
      </c>
      <c r="L156">
        <v>867.89</v>
      </c>
      <c r="M156">
        <v>1349.94</v>
      </c>
      <c r="N156">
        <v>0.184</v>
      </c>
      <c r="O156">
        <v>10</v>
      </c>
    </row>
    <row r="157" spans="1:15" x14ac:dyDescent="0.35">
      <c r="A157" t="s">
        <v>170</v>
      </c>
      <c r="B157" s="8">
        <v>45511</v>
      </c>
      <c r="C157" s="8">
        <v>45521</v>
      </c>
      <c r="D157" t="s">
        <v>647</v>
      </c>
      <c r="E157" t="s">
        <v>652</v>
      </c>
      <c r="F157" t="s">
        <v>666</v>
      </c>
      <c r="G157" t="s">
        <v>704</v>
      </c>
      <c r="H157" t="s">
        <v>708</v>
      </c>
      <c r="I157" t="s">
        <v>723</v>
      </c>
      <c r="J157" t="s">
        <v>729</v>
      </c>
      <c r="K157" t="s">
        <v>889</v>
      </c>
      <c r="L157">
        <v>436.58</v>
      </c>
      <c r="M157">
        <v>527.48</v>
      </c>
      <c r="N157">
        <v>0.111</v>
      </c>
      <c r="O157">
        <v>19</v>
      </c>
    </row>
    <row r="158" spans="1:15" x14ac:dyDescent="0.35">
      <c r="A158" t="s">
        <v>171</v>
      </c>
      <c r="B158" s="8">
        <v>45323</v>
      </c>
      <c r="C158" s="8">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5">
      <c r="A159" t="s">
        <v>172</v>
      </c>
      <c r="B159" s="8">
        <v>45531</v>
      </c>
      <c r="C159" s="8">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5">
      <c r="A160" t="s">
        <v>173</v>
      </c>
      <c r="B160" s="8">
        <v>45703</v>
      </c>
      <c r="C160" s="8">
        <v>45703</v>
      </c>
      <c r="D160" t="s">
        <v>649</v>
      </c>
      <c r="E160" t="s">
        <v>656</v>
      </c>
      <c r="F160" t="s">
        <v>698</v>
      </c>
      <c r="G160" t="s">
        <v>705</v>
      </c>
      <c r="H160" t="s">
        <v>709</v>
      </c>
      <c r="I160" t="s">
        <v>716</v>
      </c>
      <c r="J160" t="s">
        <v>733</v>
      </c>
      <c r="K160" t="s">
        <v>892</v>
      </c>
      <c r="L160">
        <v>815.83</v>
      </c>
      <c r="M160">
        <v>1982.18</v>
      </c>
      <c r="N160">
        <v>0.127</v>
      </c>
      <c r="O160">
        <v>6</v>
      </c>
    </row>
    <row r="161" spans="1:15" x14ac:dyDescent="0.35">
      <c r="A161" t="s">
        <v>174</v>
      </c>
      <c r="B161" s="8">
        <v>45870</v>
      </c>
      <c r="C161" s="8">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5">
      <c r="A162" t="s">
        <v>175</v>
      </c>
      <c r="B162" s="8">
        <v>44977</v>
      </c>
      <c r="C162" s="8">
        <v>44989</v>
      </c>
      <c r="D162" t="s">
        <v>647</v>
      </c>
      <c r="E162" t="s">
        <v>654</v>
      </c>
      <c r="F162" t="s">
        <v>680</v>
      </c>
      <c r="G162" t="s">
        <v>704</v>
      </c>
      <c r="H162" t="s">
        <v>710</v>
      </c>
      <c r="I162" t="s">
        <v>724</v>
      </c>
      <c r="J162" t="s">
        <v>732</v>
      </c>
      <c r="K162" t="s">
        <v>894</v>
      </c>
      <c r="L162">
        <v>299.75</v>
      </c>
      <c r="M162">
        <v>523.01</v>
      </c>
      <c r="N162">
        <v>0.157</v>
      </c>
      <c r="O162">
        <v>50</v>
      </c>
    </row>
    <row r="163" spans="1:15" x14ac:dyDescent="0.35">
      <c r="A163" t="s">
        <v>176</v>
      </c>
      <c r="B163" s="8">
        <v>45595</v>
      </c>
      <c r="C163" s="8">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5">
      <c r="A164" t="s">
        <v>177</v>
      </c>
      <c r="B164" s="8">
        <v>45385</v>
      </c>
      <c r="C164" s="8">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5">
      <c r="A165" t="s">
        <v>178</v>
      </c>
      <c r="B165" s="8">
        <v>45010</v>
      </c>
      <c r="C165" s="8">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5">
      <c r="A166" t="s">
        <v>179</v>
      </c>
      <c r="B166" s="8">
        <v>45447</v>
      </c>
      <c r="C166" s="8">
        <v>45459</v>
      </c>
      <c r="D166" t="s">
        <v>647</v>
      </c>
      <c r="E166" t="s">
        <v>659</v>
      </c>
      <c r="F166" t="s">
        <v>685</v>
      </c>
      <c r="G166" t="s">
        <v>701</v>
      </c>
      <c r="H166" t="s">
        <v>707</v>
      </c>
      <c r="I166" t="s">
        <v>713</v>
      </c>
      <c r="J166" t="s">
        <v>728</v>
      </c>
      <c r="K166" t="s">
        <v>898</v>
      </c>
      <c r="L166">
        <v>918.42</v>
      </c>
      <c r="M166">
        <v>1511.71</v>
      </c>
      <c r="N166">
        <v>0.02</v>
      </c>
      <c r="O166">
        <v>8</v>
      </c>
    </row>
    <row r="167" spans="1:15" x14ac:dyDescent="0.35">
      <c r="A167" t="s">
        <v>180</v>
      </c>
      <c r="B167" s="8">
        <v>44976</v>
      </c>
      <c r="C167" s="8">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5">
      <c r="A168" t="s">
        <v>181</v>
      </c>
      <c r="B168" s="8">
        <v>45034</v>
      </c>
      <c r="C168" s="8">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5">
      <c r="A169" t="s">
        <v>182</v>
      </c>
      <c r="B169" s="8">
        <v>45435</v>
      </c>
      <c r="C169" s="8">
        <v>45457</v>
      </c>
      <c r="D169" t="s">
        <v>649</v>
      </c>
      <c r="E169" t="s">
        <v>657</v>
      </c>
      <c r="F169" t="s">
        <v>673</v>
      </c>
      <c r="G169" t="s">
        <v>705</v>
      </c>
      <c r="H169" t="s">
        <v>708</v>
      </c>
      <c r="I169" t="s">
        <v>725</v>
      </c>
      <c r="J169" t="s">
        <v>732</v>
      </c>
      <c r="K169" t="s">
        <v>901</v>
      </c>
      <c r="L169">
        <v>1481.74</v>
      </c>
      <c r="M169">
        <v>1848.97</v>
      </c>
      <c r="N169">
        <v>0.254</v>
      </c>
      <c r="O169">
        <v>9</v>
      </c>
    </row>
    <row r="170" spans="1:15" x14ac:dyDescent="0.35">
      <c r="A170" t="s">
        <v>183</v>
      </c>
      <c r="B170" s="8">
        <v>45206</v>
      </c>
      <c r="C170" s="8">
        <v>45222</v>
      </c>
      <c r="D170" t="s">
        <v>647</v>
      </c>
      <c r="E170" t="s">
        <v>654</v>
      </c>
      <c r="F170" t="s">
        <v>696</v>
      </c>
      <c r="G170" t="s">
        <v>704</v>
      </c>
      <c r="H170" t="s">
        <v>707</v>
      </c>
      <c r="I170" t="s">
        <v>715</v>
      </c>
      <c r="J170" t="s">
        <v>732</v>
      </c>
      <c r="K170" t="s">
        <v>902</v>
      </c>
      <c r="L170">
        <v>906.81</v>
      </c>
      <c r="M170">
        <v>1395.56</v>
      </c>
      <c r="N170">
        <v>0.185</v>
      </c>
      <c r="O170">
        <v>6</v>
      </c>
    </row>
    <row r="171" spans="1:15" x14ac:dyDescent="0.35">
      <c r="A171" t="s">
        <v>184</v>
      </c>
      <c r="B171" s="8">
        <v>45574</v>
      </c>
      <c r="C171" s="8">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5">
      <c r="A172" t="s">
        <v>185</v>
      </c>
      <c r="B172" s="8">
        <v>45488</v>
      </c>
      <c r="C172" s="8">
        <v>45488</v>
      </c>
      <c r="D172" t="s">
        <v>647</v>
      </c>
      <c r="E172" t="s">
        <v>652</v>
      </c>
      <c r="F172" t="s">
        <v>689</v>
      </c>
      <c r="G172" t="s">
        <v>705</v>
      </c>
      <c r="H172" t="s">
        <v>709</v>
      </c>
      <c r="I172" t="s">
        <v>715</v>
      </c>
      <c r="J172" t="s">
        <v>733</v>
      </c>
      <c r="K172" t="s">
        <v>904</v>
      </c>
      <c r="L172">
        <v>801.77</v>
      </c>
      <c r="M172">
        <v>1218.92</v>
      </c>
      <c r="N172">
        <v>0.254</v>
      </c>
      <c r="O172">
        <v>16</v>
      </c>
    </row>
    <row r="173" spans="1:15" x14ac:dyDescent="0.35">
      <c r="A173" t="s">
        <v>186</v>
      </c>
      <c r="B173" s="8">
        <v>45190</v>
      </c>
      <c r="C173" s="8">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5">
      <c r="A174" t="s">
        <v>187</v>
      </c>
      <c r="B174" s="8">
        <v>44981</v>
      </c>
      <c r="C174" s="8">
        <v>44994</v>
      </c>
      <c r="D174" t="s">
        <v>648</v>
      </c>
      <c r="E174" t="s">
        <v>660</v>
      </c>
      <c r="F174" t="s">
        <v>700</v>
      </c>
      <c r="G174" t="s">
        <v>706</v>
      </c>
      <c r="H174" t="s">
        <v>708</v>
      </c>
      <c r="I174" t="s">
        <v>724</v>
      </c>
      <c r="J174" t="s">
        <v>727</v>
      </c>
      <c r="K174" t="s">
        <v>906</v>
      </c>
      <c r="L174">
        <v>6.85</v>
      </c>
      <c r="M174">
        <v>10.18</v>
      </c>
      <c r="N174">
        <v>4.7E-2</v>
      </c>
      <c r="O174">
        <v>10</v>
      </c>
    </row>
    <row r="175" spans="1:15" x14ac:dyDescent="0.35">
      <c r="A175" t="s">
        <v>188</v>
      </c>
      <c r="B175" s="8">
        <v>45798</v>
      </c>
      <c r="C175" s="8">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5">
      <c r="A176" t="s">
        <v>189</v>
      </c>
      <c r="B176" s="8">
        <v>45435</v>
      </c>
      <c r="C176" s="8">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5">
      <c r="A177" t="s">
        <v>190</v>
      </c>
      <c r="B177" s="8">
        <v>45761</v>
      </c>
      <c r="C177" s="8">
        <v>45781</v>
      </c>
      <c r="D177" t="s">
        <v>649</v>
      </c>
      <c r="E177" t="s">
        <v>658</v>
      </c>
      <c r="F177" t="s">
        <v>674</v>
      </c>
      <c r="G177" t="s">
        <v>706</v>
      </c>
      <c r="H177" t="s">
        <v>709</v>
      </c>
      <c r="I177" t="s">
        <v>723</v>
      </c>
      <c r="J177" t="s">
        <v>732</v>
      </c>
      <c r="K177" t="s">
        <v>909</v>
      </c>
      <c r="L177">
        <v>1413.87</v>
      </c>
      <c r="M177">
        <v>3275</v>
      </c>
      <c r="N177">
        <v>0.255</v>
      </c>
      <c r="O177">
        <v>38</v>
      </c>
    </row>
    <row r="178" spans="1:15" x14ac:dyDescent="0.35">
      <c r="A178" t="s">
        <v>191</v>
      </c>
      <c r="B178" s="8">
        <v>45165</v>
      </c>
      <c r="C178" s="8">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5">
      <c r="A179" t="s">
        <v>192</v>
      </c>
      <c r="B179" s="8">
        <v>45325</v>
      </c>
      <c r="C179" s="8">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5">
      <c r="A180" t="s">
        <v>193</v>
      </c>
      <c r="B180" s="8">
        <v>45021</v>
      </c>
      <c r="C180" s="8">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5">
      <c r="A181" t="s">
        <v>194</v>
      </c>
      <c r="B181" s="8">
        <v>45890</v>
      </c>
      <c r="C181" s="8">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5">
      <c r="A182" t="s">
        <v>195</v>
      </c>
      <c r="B182" s="8">
        <v>45915</v>
      </c>
      <c r="C182" s="8">
        <v>45918</v>
      </c>
      <c r="D182" t="s">
        <v>648</v>
      </c>
      <c r="E182" t="s">
        <v>655</v>
      </c>
      <c r="F182" t="s">
        <v>692</v>
      </c>
      <c r="G182" t="s">
        <v>703</v>
      </c>
      <c r="H182" t="s">
        <v>711</v>
      </c>
      <c r="I182" t="s">
        <v>716</v>
      </c>
      <c r="J182" t="s">
        <v>733</v>
      </c>
      <c r="K182" t="s">
        <v>914</v>
      </c>
      <c r="L182">
        <v>5.5</v>
      </c>
      <c r="M182">
        <v>5.92</v>
      </c>
      <c r="N182">
        <v>0.21199999999999999</v>
      </c>
      <c r="O182">
        <v>4</v>
      </c>
    </row>
    <row r="183" spans="1:15" x14ac:dyDescent="0.35">
      <c r="A183" t="s">
        <v>196</v>
      </c>
      <c r="B183" s="8">
        <v>45568</v>
      </c>
      <c r="C183" s="8">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5">
      <c r="A184" t="s">
        <v>197</v>
      </c>
      <c r="B184" s="8">
        <v>45690</v>
      </c>
      <c r="C184" s="8">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5">
      <c r="A185" t="s">
        <v>198</v>
      </c>
      <c r="B185" s="8">
        <v>45157</v>
      </c>
      <c r="C185" s="8">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5">
      <c r="A186" t="s">
        <v>199</v>
      </c>
      <c r="B186" s="8">
        <v>45587</v>
      </c>
      <c r="C186" s="8">
        <v>45594</v>
      </c>
      <c r="D186" t="s">
        <v>646</v>
      </c>
      <c r="E186" t="s">
        <v>651</v>
      </c>
      <c r="F186" t="s">
        <v>663</v>
      </c>
      <c r="G186" t="s">
        <v>706</v>
      </c>
      <c r="H186" t="s">
        <v>710</v>
      </c>
      <c r="I186" t="s">
        <v>724</v>
      </c>
      <c r="J186" t="s">
        <v>732</v>
      </c>
      <c r="K186" t="s">
        <v>918</v>
      </c>
      <c r="L186">
        <v>1023.06</v>
      </c>
      <c r="M186">
        <v>1355.61</v>
      </c>
      <c r="N186">
        <v>0.153</v>
      </c>
      <c r="O186">
        <v>23</v>
      </c>
    </row>
    <row r="187" spans="1:15" x14ac:dyDescent="0.35">
      <c r="A187" t="s">
        <v>200</v>
      </c>
      <c r="B187" s="8">
        <v>45099</v>
      </c>
      <c r="C187" s="8">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5">
      <c r="A188" t="s">
        <v>201</v>
      </c>
      <c r="B188" s="8">
        <v>45670</v>
      </c>
      <c r="C188" s="8">
        <v>45696</v>
      </c>
      <c r="D188" t="s">
        <v>649</v>
      </c>
      <c r="E188" t="s">
        <v>657</v>
      </c>
      <c r="F188" t="s">
        <v>690</v>
      </c>
      <c r="G188" t="s">
        <v>703</v>
      </c>
      <c r="I188" t="s">
        <v>718</v>
      </c>
      <c r="J188" t="s">
        <v>732</v>
      </c>
      <c r="K188" t="s">
        <v>920</v>
      </c>
      <c r="L188">
        <v>594.74</v>
      </c>
      <c r="M188">
        <v>1020.69</v>
      </c>
      <c r="N188">
        <v>0.21099999999999999</v>
      </c>
      <c r="O188">
        <v>6</v>
      </c>
    </row>
    <row r="189" spans="1:15" x14ac:dyDescent="0.35">
      <c r="A189" t="s">
        <v>144</v>
      </c>
      <c r="B189" s="8">
        <v>44955</v>
      </c>
      <c r="C189" s="8">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5">
      <c r="A190" t="s">
        <v>202</v>
      </c>
      <c r="B190" s="8">
        <v>45126</v>
      </c>
      <c r="C190" s="8">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5">
      <c r="A191" t="s">
        <v>203</v>
      </c>
      <c r="B191" s="8">
        <v>45431</v>
      </c>
      <c r="C191" s="8">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5">
      <c r="A192" t="s">
        <v>204</v>
      </c>
      <c r="B192" s="8">
        <v>45325</v>
      </c>
      <c r="C192" s="8">
        <v>45341</v>
      </c>
      <c r="D192" t="s">
        <v>647</v>
      </c>
      <c r="E192" t="s">
        <v>659</v>
      </c>
      <c r="F192" t="s">
        <v>676</v>
      </c>
      <c r="G192" t="s">
        <v>705</v>
      </c>
      <c r="H192" t="s">
        <v>708</v>
      </c>
      <c r="I192" t="s">
        <v>722</v>
      </c>
      <c r="J192" t="s">
        <v>731</v>
      </c>
      <c r="K192" t="s">
        <v>924</v>
      </c>
      <c r="L192">
        <v>993.75</v>
      </c>
      <c r="M192">
        <v>1310.29</v>
      </c>
      <c r="N192">
        <v>0.215</v>
      </c>
      <c r="O192">
        <v>19</v>
      </c>
    </row>
    <row r="193" spans="1:15" x14ac:dyDescent="0.35">
      <c r="A193" t="s">
        <v>205</v>
      </c>
      <c r="B193" s="8">
        <v>45146</v>
      </c>
      <c r="C193" s="8">
        <v>45160</v>
      </c>
      <c r="D193" t="s">
        <v>649</v>
      </c>
      <c r="E193" t="s">
        <v>658</v>
      </c>
      <c r="F193" t="s">
        <v>674</v>
      </c>
      <c r="G193" t="s">
        <v>703</v>
      </c>
      <c r="H193" t="s">
        <v>711</v>
      </c>
      <c r="I193" t="s">
        <v>725</v>
      </c>
      <c r="J193" t="s">
        <v>732</v>
      </c>
      <c r="K193" t="s">
        <v>925</v>
      </c>
      <c r="L193">
        <v>446.69</v>
      </c>
      <c r="M193">
        <v>967.25</v>
      </c>
      <c r="N193">
        <v>9.4E-2</v>
      </c>
      <c r="O193">
        <v>10</v>
      </c>
    </row>
    <row r="194" spans="1:15" x14ac:dyDescent="0.35">
      <c r="A194" t="s">
        <v>206</v>
      </c>
      <c r="B194" s="8">
        <v>45516</v>
      </c>
      <c r="C194" s="8">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5">
      <c r="A195" t="s">
        <v>207</v>
      </c>
      <c r="B195" s="8">
        <v>45214</v>
      </c>
      <c r="C195" s="8">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5">
      <c r="A196" t="s">
        <v>208</v>
      </c>
      <c r="B196" s="8">
        <v>45050</v>
      </c>
      <c r="C196" s="8">
        <v>45072</v>
      </c>
      <c r="D196" t="s">
        <v>648</v>
      </c>
      <c r="E196" t="s">
        <v>660</v>
      </c>
      <c r="F196" t="s">
        <v>686</v>
      </c>
      <c r="G196" t="s">
        <v>706</v>
      </c>
      <c r="H196" t="s">
        <v>708</v>
      </c>
      <c r="I196" t="s">
        <v>713</v>
      </c>
      <c r="J196" t="s">
        <v>729</v>
      </c>
      <c r="K196" t="s">
        <v>928</v>
      </c>
      <c r="L196">
        <v>249.71</v>
      </c>
      <c r="M196">
        <v>361.33</v>
      </c>
      <c r="N196">
        <v>9.4E-2</v>
      </c>
      <c r="O196">
        <v>12</v>
      </c>
    </row>
    <row r="197" spans="1:15" x14ac:dyDescent="0.35">
      <c r="A197" t="s">
        <v>209</v>
      </c>
      <c r="B197" s="8">
        <v>45557</v>
      </c>
      <c r="C197" s="8">
        <v>45566</v>
      </c>
      <c r="D197" t="s">
        <v>648</v>
      </c>
      <c r="E197" t="s">
        <v>655</v>
      </c>
      <c r="F197" t="s">
        <v>670</v>
      </c>
      <c r="G197" t="s">
        <v>703</v>
      </c>
      <c r="H197" t="s">
        <v>708</v>
      </c>
      <c r="I197" t="s">
        <v>723</v>
      </c>
      <c r="J197" t="s">
        <v>732</v>
      </c>
      <c r="K197" t="s">
        <v>929</v>
      </c>
      <c r="L197">
        <v>1378.8</v>
      </c>
      <c r="M197">
        <v>1952.04</v>
      </c>
      <c r="N197">
        <v>0.159</v>
      </c>
      <c r="O197">
        <v>19</v>
      </c>
    </row>
    <row r="198" spans="1:15" x14ac:dyDescent="0.35">
      <c r="A198" t="s">
        <v>210</v>
      </c>
      <c r="B198" s="8">
        <v>45588</v>
      </c>
      <c r="C198" s="8">
        <v>45610</v>
      </c>
      <c r="D198" t="s">
        <v>647</v>
      </c>
      <c r="E198" t="s">
        <v>652</v>
      </c>
      <c r="F198" t="s">
        <v>666</v>
      </c>
      <c r="G198" t="s">
        <v>703</v>
      </c>
      <c r="H198" t="s">
        <v>711</v>
      </c>
      <c r="I198" t="s">
        <v>717</v>
      </c>
      <c r="J198" t="s">
        <v>730</v>
      </c>
      <c r="K198" t="s">
        <v>930</v>
      </c>
      <c r="L198">
        <v>1406.4</v>
      </c>
      <c r="M198">
        <v>1564.76</v>
      </c>
      <c r="N198">
        <v>0.185</v>
      </c>
      <c r="O198">
        <v>17</v>
      </c>
    </row>
    <row r="199" spans="1:15" x14ac:dyDescent="0.35">
      <c r="A199" t="s">
        <v>211</v>
      </c>
      <c r="B199" s="8">
        <v>45333</v>
      </c>
      <c r="C199" s="8">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5">
      <c r="A200" t="s">
        <v>212</v>
      </c>
      <c r="B200" s="8">
        <v>44956</v>
      </c>
      <c r="C200" s="8">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5">
      <c r="A201" t="s">
        <v>213</v>
      </c>
      <c r="B201" s="8">
        <v>45030</v>
      </c>
      <c r="C201" s="8">
        <v>45059</v>
      </c>
      <c r="D201" t="s">
        <v>649</v>
      </c>
      <c r="E201" t="s">
        <v>656</v>
      </c>
      <c r="F201" t="s">
        <v>698</v>
      </c>
      <c r="G201" t="s">
        <v>704</v>
      </c>
      <c r="H201" t="s">
        <v>711</v>
      </c>
      <c r="I201" t="s">
        <v>713</v>
      </c>
      <c r="J201" t="s">
        <v>728</v>
      </c>
      <c r="K201" t="s">
        <v>933</v>
      </c>
      <c r="L201">
        <v>1320.33</v>
      </c>
      <c r="M201">
        <v>2645.23</v>
      </c>
      <c r="N201">
        <v>0.155</v>
      </c>
      <c r="O201">
        <v>25</v>
      </c>
    </row>
    <row r="202" spans="1:15" x14ac:dyDescent="0.35">
      <c r="A202" t="s">
        <v>214</v>
      </c>
      <c r="B202" s="8">
        <v>44939</v>
      </c>
      <c r="C202" s="8">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5">
      <c r="A203" t="s">
        <v>215</v>
      </c>
      <c r="B203" s="8">
        <v>45303</v>
      </c>
      <c r="C203" s="8">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5">
      <c r="A204" t="s">
        <v>216</v>
      </c>
      <c r="B204" s="8">
        <v>45153</v>
      </c>
      <c r="C204" s="8">
        <v>45176</v>
      </c>
      <c r="D204" t="s">
        <v>648</v>
      </c>
      <c r="E204" t="s">
        <v>660</v>
      </c>
      <c r="F204" t="s">
        <v>700</v>
      </c>
      <c r="G204" t="s">
        <v>706</v>
      </c>
      <c r="H204" t="s">
        <v>708</v>
      </c>
      <c r="I204" t="s">
        <v>723</v>
      </c>
      <c r="J204" t="s">
        <v>730</v>
      </c>
      <c r="K204" t="s">
        <v>936</v>
      </c>
      <c r="L204">
        <v>590.33000000000004</v>
      </c>
      <c r="M204">
        <v>973.04</v>
      </c>
      <c r="N204">
        <v>0</v>
      </c>
      <c r="O204">
        <v>26</v>
      </c>
    </row>
    <row r="205" spans="1:15" x14ac:dyDescent="0.35">
      <c r="A205" t="s">
        <v>217</v>
      </c>
      <c r="B205" s="8">
        <v>44946</v>
      </c>
      <c r="C205" s="8">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5">
      <c r="A206" t="s">
        <v>218</v>
      </c>
      <c r="B206" s="8">
        <v>45692</v>
      </c>
      <c r="C206" s="8">
        <v>45713</v>
      </c>
      <c r="D206" t="s">
        <v>649</v>
      </c>
      <c r="E206" t="s">
        <v>658</v>
      </c>
      <c r="F206" t="s">
        <v>674</v>
      </c>
      <c r="G206" t="s">
        <v>701</v>
      </c>
      <c r="H206" t="s">
        <v>709</v>
      </c>
      <c r="I206" t="s">
        <v>726</v>
      </c>
      <c r="J206" t="s">
        <v>732</v>
      </c>
      <c r="K206" t="s">
        <v>938</v>
      </c>
      <c r="L206">
        <v>1016.32</v>
      </c>
      <c r="M206">
        <v>2253.42</v>
      </c>
      <c r="N206">
        <v>5.5E-2</v>
      </c>
      <c r="O206">
        <v>12</v>
      </c>
    </row>
    <row r="207" spans="1:15" x14ac:dyDescent="0.35">
      <c r="A207" t="s">
        <v>219</v>
      </c>
      <c r="B207" s="8">
        <v>45035</v>
      </c>
      <c r="C207" s="8">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5">
      <c r="A208" t="s">
        <v>220</v>
      </c>
      <c r="B208" s="8">
        <v>45109</v>
      </c>
      <c r="C208" s="8">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5">
      <c r="A209" t="s">
        <v>221</v>
      </c>
      <c r="B209" s="8">
        <v>45678</v>
      </c>
      <c r="C209" s="8">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5">
      <c r="A210" t="s">
        <v>222</v>
      </c>
      <c r="B210" s="8">
        <v>45545</v>
      </c>
      <c r="C210" s="8">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5">
      <c r="A211" t="s">
        <v>223</v>
      </c>
      <c r="B211" s="8">
        <v>45859</v>
      </c>
      <c r="C211" s="8">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5">
      <c r="A212" t="s">
        <v>224</v>
      </c>
      <c r="B212" s="8">
        <v>45567</v>
      </c>
      <c r="C212" s="8">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5">
      <c r="A213" t="s">
        <v>225</v>
      </c>
      <c r="B213" s="8">
        <v>45852</v>
      </c>
      <c r="C213" s="8">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5">
      <c r="A214" t="s">
        <v>226</v>
      </c>
      <c r="B214" s="8">
        <v>45544</v>
      </c>
      <c r="C214" s="8">
        <v>45566</v>
      </c>
      <c r="D214" t="s">
        <v>647</v>
      </c>
      <c r="E214" t="s">
        <v>659</v>
      </c>
      <c r="F214" t="s">
        <v>676</v>
      </c>
      <c r="G214" t="s">
        <v>704</v>
      </c>
      <c r="H214" t="s">
        <v>711</v>
      </c>
      <c r="I214" t="s">
        <v>716</v>
      </c>
      <c r="J214" t="s">
        <v>728</v>
      </c>
      <c r="K214" t="s">
        <v>946</v>
      </c>
      <c r="L214">
        <v>1166.18</v>
      </c>
      <c r="M214">
        <v>1335.02</v>
      </c>
      <c r="N214">
        <v>0.128</v>
      </c>
      <c r="O214">
        <v>6</v>
      </c>
    </row>
    <row r="215" spans="1:15" x14ac:dyDescent="0.35">
      <c r="A215" t="s">
        <v>227</v>
      </c>
      <c r="B215" s="8">
        <v>45686</v>
      </c>
      <c r="C215" s="8">
        <v>45694</v>
      </c>
      <c r="D215" t="s">
        <v>646</v>
      </c>
      <c r="E215" t="s">
        <v>650</v>
      </c>
      <c r="F215" t="s">
        <v>662</v>
      </c>
      <c r="G215" t="s">
        <v>702</v>
      </c>
      <c r="H215" t="s">
        <v>707</v>
      </c>
      <c r="I215" t="s">
        <v>717</v>
      </c>
      <c r="J215" t="s">
        <v>730</v>
      </c>
      <c r="K215" t="s">
        <v>947</v>
      </c>
      <c r="L215">
        <v>1445.27</v>
      </c>
      <c r="M215">
        <v>2691.45</v>
      </c>
      <c r="N215">
        <v>0</v>
      </c>
      <c r="O215">
        <v>9</v>
      </c>
    </row>
    <row r="216" spans="1:15" x14ac:dyDescent="0.35">
      <c r="A216" t="s">
        <v>228</v>
      </c>
      <c r="B216" s="8">
        <v>45240</v>
      </c>
      <c r="C216" s="8">
        <v>45258</v>
      </c>
      <c r="D216" t="s">
        <v>648</v>
      </c>
      <c r="E216" t="s">
        <v>655</v>
      </c>
      <c r="F216" t="s">
        <v>672</v>
      </c>
      <c r="G216" t="s">
        <v>702</v>
      </c>
      <c r="H216" t="s">
        <v>709</v>
      </c>
      <c r="I216" t="s">
        <v>716</v>
      </c>
      <c r="J216" t="s">
        <v>733</v>
      </c>
      <c r="K216" t="s">
        <v>948</v>
      </c>
      <c r="L216">
        <v>388.51</v>
      </c>
      <c r="M216">
        <v>776.46</v>
      </c>
      <c r="N216">
        <v>0.157</v>
      </c>
      <c r="O216">
        <v>12</v>
      </c>
    </row>
    <row r="217" spans="1:15" x14ac:dyDescent="0.35">
      <c r="A217" t="s">
        <v>229</v>
      </c>
      <c r="B217" s="8">
        <v>45351</v>
      </c>
      <c r="C217" s="8">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5">
      <c r="A218" t="s">
        <v>230</v>
      </c>
      <c r="B218" s="8">
        <v>45280</v>
      </c>
      <c r="C218" s="8">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5">
      <c r="A219" t="s">
        <v>231</v>
      </c>
      <c r="B219" s="8">
        <v>44948</v>
      </c>
      <c r="C219" s="8">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5">
      <c r="A220" t="s">
        <v>232</v>
      </c>
      <c r="B220" s="8">
        <v>45576</v>
      </c>
      <c r="C220" s="8">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5">
      <c r="A221" t="s">
        <v>233</v>
      </c>
      <c r="B221" s="8">
        <v>45554</v>
      </c>
      <c r="C221" s="8">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5">
      <c r="A222" t="s">
        <v>234</v>
      </c>
      <c r="B222" s="8">
        <v>45894</v>
      </c>
      <c r="C222" s="8">
        <v>45924</v>
      </c>
      <c r="D222" t="s">
        <v>646</v>
      </c>
      <c r="E222" t="s">
        <v>650</v>
      </c>
      <c r="F222" t="s">
        <v>664</v>
      </c>
      <c r="G222" t="s">
        <v>704</v>
      </c>
      <c r="H222" t="s">
        <v>711</v>
      </c>
      <c r="I222" t="s">
        <v>717</v>
      </c>
      <c r="J222" t="s">
        <v>727</v>
      </c>
      <c r="K222" t="s">
        <v>954</v>
      </c>
      <c r="L222">
        <v>589.14</v>
      </c>
      <c r="M222">
        <v>1300.58</v>
      </c>
      <c r="N222">
        <v>5.5E-2</v>
      </c>
      <c r="O222">
        <v>11</v>
      </c>
    </row>
    <row r="223" spans="1:15" x14ac:dyDescent="0.35">
      <c r="A223" t="s">
        <v>235</v>
      </c>
      <c r="B223" s="8">
        <v>45194</v>
      </c>
      <c r="C223" s="8">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5">
      <c r="A224" t="s">
        <v>236</v>
      </c>
      <c r="B224" s="8">
        <v>45164</v>
      </c>
      <c r="C224" s="8">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5">
      <c r="A225" t="s">
        <v>237</v>
      </c>
      <c r="B225" s="8">
        <v>45854</v>
      </c>
      <c r="C225" s="8">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5">
      <c r="A226" t="s">
        <v>238</v>
      </c>
      <c r="B226" s="8">
        <v>45035</v>
      </c>
      <c r="C226" s="8">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5">
      <c r="A227" t="s">
        <v>239</v>
      </c>
      <c r="B227" s="8">
        <v>45279</v>
      </c>
      <c r="C227" s="8">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5">
      <c r="A228" t="s">
        <v>240</v>
      </c>
      <c r="B228" s="8">
        <v>45137</v>
      </c>
      <c r="C228" s="8">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5">
      <c r="A229" t="s">
        <v>241</v>
      </c>
      <c r="B229" s="8">
        <v>45203</v>
      </c>
      <c r="C229" s="8">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5">
      <c r="A230" t="s">
        <v>242</v>
      </c>
      <c r="B230" s="8">
        <v>45879</v>
      </c>
      <c r="C230" s="8">
        <v>45899</v>
      </c>
      <c r="D230" t="s">
        <v>648</v>
      </c>
      <c r="E230" t="s">
        <v>660</v>
      </c>
      <c r="F230" t="s">
        <v>686</v>
      </c>
      <c r="G230" t="s">
        <v>701</v>
      </c>
      <c r="H230" t="s">
        <v>709</v>
      </c>
      <c r="I230" t="s">
        <v>723</v>
      </c>
      <c r="J230" t="s">
        <v>728</v>
      </c>
      <c r="K230" t="s">
        <v>962</v>
      </c>
      <c r="L230">
        <v>933.29</v>
      </c>
      <c r="M230">
        <v>1456.81</v>
      </c>
      <c r="N230">
        <v>0.123</v>
      </c>
      <c r="O230">
        <v>13</v>
      </c>
    </row>
    <row r="231" spans="1:15" x14ac:dyDescent="0.35">
      <c r="A231" t="s">
        <v>243</v>
      </c>
      <c r="B231" s="8">
        <v>44992</v>
      </c>
      <c r="C231" s="8">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5">
      <c r="A232" t="s">
        <v>244</v>
      </c>
      <c r="B232" s="8">
        <v>45069</v>
      </c>
      <c r="C232" s="8">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5">
      <c r="A233" t="s">
        <v>245</v>
      </c>
      <c r="B233" s="8">
        <v>45771</v>
      </c>
      <c r="C233" s="8">
        <v>45783</v>
      </c>
      <c r="D233" t="s">
        <v>648</v>
      </c>
      <c r="E233" t="s">
        <v>655</v>
      </c>
      <c r="F233" t="s">
        <v>672</v>
      </c>
      <c r="G233" t="s">
        <v>704</v>
      </c>
      <c r="H233" t="s">
        <v>708</v>
      </c>
      <c r="I233" t="s">
        <v>712</v>
      </c>
      <c r="J233" t="s">
        <v>730</v>
      </c>
      <c r="K233" t="s">
        <v>965</v>
      </c>
      <c r="L233">
        <v>394.13</v>
      </c>
      <c r="M233">
        <v>932.29</v>
      </c>
      <c r="N233">
        <v>0.109</v>
      </c>
      <c r="O233">
        <v>7</v>
      </c>
    </row>
    <row r="234" spans="1:15" x14ac:dyDescent="0.35">
      <c r="A234" t="s">
        <v>246</v>
      </c>
      <c r="B234" s="8">
        <v>45538</v>
      </c>
      <c r="C234" s="8">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5">
      <c r="A235" t="s">
        <v>247</v>
      </c>
      <c r="B235" s="8">
        <v>45540</v>
      </c>
      <c r="C235" s="8">
        <v>45560</v>
      </c>
      <c r="D235" t="s">
        <v>647</v>
      </c>
      <c r="E235" t="s">
        <v>652</v>
      </c>
      <c r="F235" t="s">
        <v>666</v>
      </c>
      <c r="G235" t="s">
        <v>706</v>
      </c>
      <c r="H235" t="s">
        <v>710</v>
      </c>
      <c r="I235" t="s">
        <v>726</v>
      </c>
      <c r="J235" t="s">
        <v>732</v>
      </c>
      <c r="K235" t="s">
        <v>967</v>
      </c>
      <c r="L235">
        <v>195.54</v>
      </c>
      <c r="M235">
        <v>405.97</v>
      </c>
      <c r="N235">
        <v>0.187</v>
      </c>
      <c r="O235">
        <v>16</v>
      </c>
    </row>
    <row r="236" spans="1:15" x14ac:dyDescent="0.35">
      <c r="A236" t="s">
        <v>248</v>
      </c>
      <c r="B236" s="8">
        <v>44999</v>
      </c>
      <c r="C236" s="8">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5">
      <c r="A237" t="s">
        <v>249</v>
      </c>
      <c r="B237" s="8">
        <v>45302</v>
      </c>
      <c r="C237" s="8">
        <v>45324</v>
      </c>
      <c r="D237" t="s">
        <v>647</v>
      </c>
      <c r="E237" t="s">
        <v>652</v>
      </c>
      <c r="F237" t="s">
        <v>694</v>
      </c>
      <c r="G237" t="s">
        <v>705</v>
      </c>
      <c r="H237" t="s">
        <v>708</v>
      </c>
      <c r="J237" t="s">
        <v>728</v>
      </c>
      <c r="K237" t="s">
        <v>969</v>
      </c>
      <c r="L237">
        <v>1237.68</v>
      </c>
      <c r="M237">
        <v>1432.8</v>
      </c>
      <c r="N237">
        <v>6.8000000000000005E-2</v>
      </c>
      <c r="O237">
        <v>13</v>
      </c>
    </row>
    <row r="238" spans="1:15" x14ac:dyDescent="0.35">
      <c r="A238" t="s">
        <v>250</v>
      </c>
      <c r="B238" s="8">
        <v>45548</v>
      </c>
      <c r="C238" s="8">
        <v>45567</v>
      </c>
      <c r="D238" t="s">
        <v>646</v>
      </c>
      <c r="E238" t="s">
        <v>650</v>
      </c>
      <c r="F238" t="s">
        <v>675</v>
      </c>
      <c r="G238" t="s">
        <v>705</v>
      </c>
      <c r="H238" t="s">
        <v>707</v>
      </c>
      <c r="I238" t="s">
        <v>724</v>
      </c>
      <c r="J238" t="s">
        <v>730</v>
      </c>
      <c r="K238" t="s">
        <v>970</v>
      </c>
      <c r="L238">
        <v>1338.99</v>
      </c>
      <c r="M238">
        <v>1765.76</v>
      </c>
      <c r="N238">
        <v>0.126</v>
      </c>
      <c r="O238">
        <v>24</v>
      </c>
    </row>
    <row r="239" spans="1:15" x14ac:dyDescent="0.35">
      <c r="A239" t="s">
        <v>251</v>
      </c>
      <c r="B239" s="8">
        <v>45855</v>
      </c>
      <c r="C239" s="8">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5">
      <c r="A240" t="s">
        <v>252</v>
      </c>
      <c r="B240" s="8">
        <v>45258</v>
      </c>
      <c r="C240" s="8">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5">
      <c r="A241" t="s">
        <v>253</v>
      </c>
      <c r="B241" s="8">
        <v>45381</v>
      </c>
      <c r="C241" s="8">
        <v>45406</v>
      </c>
      <c r="D241" t="s">
        <v>648</v>
      </c>
      <c r="E241" t="s">
        <v>660</v>
      </c>
      <c r="F241" t="s">
        <v>697</v>
      </c>
      <c r="G241" t="s">
        <v>703</v>
      </c>
      <c r="H241" t="s">
        <v>708</v>
      </c>
      <c r="I241" t="s">
        <v>715</v>
      </c>
      <c r="J241" t="s">
        <v>731</v>
      </c>
      <c r="K241" t="s">
        <v>973</v>
      </c>
      <c r="L241">
        <v>160.82</v>
      </c>
      <c r="M241">
        <v>258.52</v>
      </c>
      <c r="N241">
        <v>0.13</v>
      </c>
      <c r="O241">
        <v>17</v>
      </c>
    </row>
    <row r="242" spans="1:15" x14ac:dyDescent="0.35">
      <c r="A242" t="s">
        <v>254</v>
      </c>
      <c r="B242" s="8">
        <v>45188</v>
      </c>
      <c r="C242" s="8">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5">
      <c r="A243" t="s">
        <v>255</v>
      </c>
      <c r="B243" s="8">
        <v>45793</v>
      </c>
      <c r="C243" s="8">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5">
      <c r="A244" t="s">
        <v>256</v>
      </c>
      <c r="B244" s="8">
        <v>45871</v>
      </c>
      <c r="C244" s="8">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5">
      <c r="A245" t="s">
        <v>257</v>
      </c>
      <c r="B245" s="8">
        <v>45630</v>
      </c>
      <c r="C245" s="8">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5">
      <c r="A246" t="s">
        <v>258</v>
      </c>
      <c r="B246" s="8">
        <v>45035</v>
      </c>
      <c r="C246" s="8">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5">
      <c r="A247" t="s">
        <v>259</v>
      </c>
      <c r="B247" s="8">
        <v>45357</v>
      </c>
      <c r="C247" s="8">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5">
      <c r="A248" t="s">
        <v>260</v>
      </c>
      <c r="B248" s="8">
        <v>45338</v>
      </c>
      <c r="C248" s="8">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5">
      <c r="A249" t="s">
        <v>261</v>
      </c>
      <c r="B249" s="8">
        <v>45769</v>
      </c>
      <c r="C249" s="8">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5">
      <c r="A250" t="s">
        <v>262</v>
      </c>
      <c r="B250" s="8">
        <v>45604</v>
      </c>
      <c r="C250" s="8">
        <v>45604</v>
      </c>
      <c r="D250" t="s">
        <v>646</v>
      </c>
      <c r="E250" t="s">
        <v>650</v>
      </c>
      <c r="F250" t="s">
        <v>678</v>
      </c>
      <c r="G250" t="s">
        <v>706</v>
      </c>
      <c r="H250" t="s">
        <v>709</v>
      </c>
      <c r="I250" t="s">
        <v>724</v>
      </c>
      <c r="J250" t="s">
        <v>729</v>
      </c>
      <c r="K250" t="s">
        <v>982</v>
      </c>
      <c r="L250">
        <v>803.28</v>
      </c>
      <c r="M250">
        <v>1009</v>
      </c>
      <c r="N250">
        <v>0.11</v>
      </c>
      <c r="O250">
        <v>4</v>
      </c>
    </row>
    <row r="251" spans="1:15" x14ac:dyDescent="0.35">
      <c r="A251" t="s">
        <v>263</v>
      </c>
      <c r="B251" s="8">
        <v>45912</v>
      </c>
      <c r="C251" s="8">
        <v>45930</v>
      </c>
      <c r="D251" t="s">
        <v>647</v>
      </c>
      <c r="E251" t="s">
        <v>652</v>
      </c>
      <c r="F251" t="s">
        <v>694</v>
      </c>
      <c r="G251" t="s">
        <v>703</v>
      </c>
      <c r="H251" t="s">
        <v>709</v>
      </c>
      <c r="I251" t="s">
        <v>721</v>
      </c>
      <c r="J251" t="s">
        <v>732</v>
      </c>
      <c r="K251" t="s">
        <v>983</v>
      </c>
      <c r="L251">
        <v>1212.99</v>
      </c>
      <c r="M251">
        <v>1653.64</v>
      </c>
      <c r="N251">
        <v>0.107</v>
      </c>
      <c r="O251">
        <v>8</v>
      </c>
    </row>
    <row r="252" spans="1:15" x14ac:dyDescent="0.35">
      <c r="A252" t="s">
        <v>264</v>
      </c>
      <c r="B252" s="8">
        <v>45537</v>
      </c>
      <c r="C252" s="8">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5">
      <c r="A253" t="s">
        <v>265</v>
      </c>
      <c r="B253" s="8">
        <v>44989</v>
      </c>
      <c r="C253" s="8">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5">
      <c r="A254" t="s">
        <v>266</v>
      </c>
      <c r="B254" s="8">
        <v>45366</v>
      </c>
      <c r="C254" s="8">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5">
      <c r="A255" t="s">
        <v>267</v>
      </c>
      <c r="B255" s="8">
        <v>45502</v>
      </c>
      <c r="C255" s="8">
        <v>45504</v>
      </c>
      <c r="D255" t="s">
        <v>648</v>
      </c>
      <c r="E255" t="s">
        <v>660</v>
      </c>
      <c r="F255" t="s">
        <v>700</v>
      </c>
      <c r="G255" t="s">
        <v>702</v>
      </c>
      <c r="H255" t="s">
        <v>709</v>
      </c>
      <c r="I255" t="s">
        <v>714</v>
      </c>
      <c r="J255" t="s">
        <v>728</v>
      </c>
      <c r="K255" t="s">
        <v>987</v>
      </c>
      <c r="L255">
        <v>798.97</v>
      </c>
      <c r="M255">
        <v>1814.06</v>
      </c>
      <c r="N255">
        <v>0.122</v>
      </c>
      <c r="O255">
        <v>16</v>
      </c>
    </row>
    <row r="256" spans="1:15" x14ac:dyDescent="0.35">
      <c r="A256" t="s">
        <v>268</v>
      </c>
      <c r="B256" s="8">
        <v>45592</v>
      </c>
      <c r="C256" s="8">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5">
      <c r="A257" t="s">
        <v>269</v>
      </c>
      <c r="B257" s="8">
        <v>45411</v>
      </c>
      <c r="C257" s="8">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5">
      <c r="A258" t="s">
        <v>270</v>
      </c>
      <c r="B258" s="8">
        <v>45204</v>
      </c>
      <c r="C258" s="8">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5">
      <c r="A259" t="s">
        <v>271</v>
      </c>
      <c r="B259" s="8">
        <v>45035</v>
      </c>
      <c r="C259" s="8">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5">
      <c r="A260" t="s">
        <v>272</v>
      </c>
      <c r="B260" s="8">
        <v>45835</v>
      </c>
      <c r="C260" s="8">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5">
      <c r="A261" t="s">
        <v>273</v>
      </c>
      <c r="B261" s="8">
        <v>45210</v>
      </c>
      <c r="C261" s="8">
        <v>45212</v>
      </c>
      <c r="D261" t="s">
        <v>648</v>
      </c>
      <c r="E261" t="s">
        <v>655</v>
      </c>
      <c r="F261" t="s">
        <v>672</v>
      </c>
      <c r="G261" t="s">
        <v>704</v>
      </c>
      <c r="H261" t="s">
        <v>710</v>
      </c>
      <c r="J261" t="s">
        <v>733</v>
      </c>
      <c r="K261" t="s">
        <v>993</v>
      </c>
      <c r="L261">
        <v>715.94</v>
      </c>
      <c r="M261">
        <v>550.07000000000005</v>
      </c>
      <c r="N261">
        <v>0.14000000000000001</v>
      </c>
      <c r="O261">
        <v>16</v>
      </c>
    </row>
    <row r="262" spans="1:15" x14ac:dyDescent="0.35">
      <c r="A262" t="s">
        <v>274</v>
      </c>
      <c r="B262" s="8">
        <v>45066</v>
      </c>
      <c r="C262" s="8">
        <v>45084</v>
      </c>
      <c r="D262" t="s">
        <v>646</v>
      </c>
      <c r="E262" t="s">
        <v>651</v>
      </c>
      <c r="F262" t="s">
        <v>663</v>
      </c>
      <c r="G262" t="s">
        <v>706</v>
      </c>
      <c r="H262" t="s">
        <v>710</v>
      </c>
      <c r="I262" t="s">
        <v>718</v>
      </c>
      <c r="J262" t="s">
        <v>727</v>
      </c>
      <c r="K262" t="s">
        <v>994</v>
      </c>
      <c r="L262">
        <v>1120.06</v>
      </c>
      <c r="M262">
        <v>2068.21</v>
      </c>
      <c r="N262">
        <v>7.8E-2</v>
      </c>
      <c r="O262">
        <v>12</v>
      </c>
    </row>
    <row r="263" spans="1:15" x14ac:dyDescent="0.35">
      <c r="A263" t="s">
        <v>275</v>
      </c>
      <c r="B263" s="8">
        <v>45073</v>
      </c>
      <c r="C263" s="8">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5">
      <c r="A264" t="s">
        <v>276</v>
      </c>
      <c r="B264" s="8">
        <v>45142</v>
      </c>
      <c r="C264" s="8">
        <v>45162</v>
      </c>
      <c r="D264" t="s">
        <v>648</v>
      </c>
      <c r="E264" t="s">
        <v>655</v>
      </c>
      <c r="F264" t="s">
        <v>672</v>
      </c>
      <c r="G264" t="s">
        <v>703</v>
      </c>
      <c r="H264" t="s">
        <v>711</v>
      </c>
      <c r="J264" t="s">
        <v>729</v>
      </c>
      <c r="K264" t="s">
        <v>996</v>
      </c>
      <c r="L264">
        <v>582.88</v>
      </c>
      <c r="M264">
        <v>1044.1400000000001</v>
      </c>
      <c r="N264">
        <v>0.216</v>
      </c>
      <c r="O264">
        <v>10</v>
      </c>
    </row>
    <row r="265" spans="1:15" x14ac:dyDescent="0.35">
      <c r="A265" t="s">
        <v>277</v>
      </c>
      <c r="B265" s="8">
        <v>45829</v>
      </c>
      <c r="C265" s="8">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5">
      <c r="A266" t="s">
        <v>278</v>
      </c>
      <c r="B266" s="8">
        <v>45763</v>
      </c>
      <c r="C266" s="8">
        <v>45773</v>
      </c>
      <c r="D266" t="s">
        <v>646</v>
      </c>
      <c r="E266" t="s">
        <v>651</v>
      </c>
      <c r="F266" t="s">
        <v>663</v>
      </c>
      <c r="G266" t="s">
        <v>706</v>
      </c>
      <c r="H266" t="s">
        <v>709</v>
      </c>
      <c r="I266" t="s">
        <v>721</v>
      </c>
      <c r="J266" t="s">
        <v>731</v>
      </c>
      <c r="K266" t="s">
        <v>998</v>
      </c>
      <c r="L266">
        <v>1457.44</v>
      </c>
      <c r="M266">
        <v>1996.81</v>
      </c>
      <c r="N266">
        <v>0.126</v>
      </c>
      <c r="O266">
        <v>23</v>
      </c>
    </row>
    <row r="267" spans="1:15" x14ac:dyDescent="0.35">
      <c r="A267" t="s">
        <v>279</v>
      </c>
      <c r="B267" s="8">
        <v>45902</v>
      </c>
      <c r="C267" s="8">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5">
      <c r="A268" t="s">
        <v>280</v>
      </c>
      <c r="B268" s="8">
        <v>45573</v>
      </c>
      <c r="C268" s="8">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5">
      <c r="A269" t="s">
        <v>281</v>
      </c>
      <c r="B269" s="8">
        <v>45053</v>
      </c>
      <c r="C269" s="8">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5">
      <c r="A270" t="s">
        <v>282</v>
      </c>
      <c r="B270" s="8">
        <v>45284</v>
      </c>
      <c r="C270" s="8">
        <v>45292</v>
      </c>
      <c r="D270" t="s">
        <v>648</v>
      </c>
      <c r="E270" t="s">
        <v>655</v>
      </c>
      <c r="F270" t="s">
        <v>670</v>
      </c>
      <c r="G270" t="s">
        <v>702</v>
      </c>
      <c r="H270" t="s">
        <v>711</v>
      </c>
      <c r="I270" t="s">
        <v>712</v>
      </c>
      <c r="J270" t="s">
        <v>730</v>
      </c>
      <c r="K270" t="s">
        <v>1002</v>
      </c>
      <c r="L270">
        <v>526.49</v>
      </c>
      <c r="M270">
        <v>496.2</v>
      </c>
      <c r="N270">
        <v>0</v>
      </c>
      <c r="O270">
        <v>14</v>
      </c>
    </row>
    <row r="271" spans="1:15" x14ac:dyDescent="0.35">
      <c r="A271" t="s">
        <v>283</v>
      </c>
      <c r="B271" s="8">
        <v>45301</v>
      </c>
      <c r="C271" s="8">
        <v>45314</v>
      </c>
      <c r="D271" t="s">
        <v>649</v>
      </c>
      <c r="E271" t="s">
        <v>657</v>
      </c>
      <c r="F271" t="s">
        <v>673</v>
      </c>
      <c r="G271" t="s">
        <v>701</v>
      </c>
      <c r="H271" t="s">
        <v>711</v>
      </c>
      <c r="I271" t="s">
        <v>720</v>
      </c>
      <c r="J271" t="s">
        <v>728</v>
      </c>
      <c r="K271" t="s">
        <v>1003</v>
      </c>
      <c r="L271">
        <v>720</v>
      </c>
      <c r="M271">
        <v>907.59</v>
      </c>
      <c r="N271">
        <v>0.154</v>
      </c>
      <c r="O271">
        <v>10</v>
      </c>
    </row>
    <row r="272" spans="1:15" x14ac:dyDescent="0.35">
      <c r="A272" t="s">
        <v>284</v>
      </c>
      <c r="B272" s="8">
        <v>45141</v>
      </c>
      <c r="C272" s="8">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5">
      <c r="A273" t="s">
        <v>285</v>
      </c>
      <c r="B273" s="8">
        <v>45707</v>
      </c>
      <c r="C273" s="8">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5">
      <c r="A274" t="s">
        <v>286</v>
      </c>
      <c r="B274" s="8">
        <v>45382</v>
      </c>
      <c r="C274" s="8">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5">
      <c r="A275" t="s">
        <v>287</v>
      </c>
      <c r="B275" s="8">
        <v>45131</v>
      </c>
      <c r="C275" s="8">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5">
      <c r="A276" t="s">
        <v>288</v>
      </c>
      <c r="B276" s="8">
        <v>45367</v>
      </c>
      <c r="C276" s="8">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5">
      <c r="A277" t="s">
        <v>289</v>
      </c>
      <c r="B277" s="8">
        <v>45316</v>
      </c>
      <c r="C277" s="8">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5">
      <c r="A278" t="s">
        <v>290</v>
      </c>
      <c r="B278" s="8">
        <v>45378</v>
      </c>
      <c r="C278" s="8">
        <v>45393</v>
      </c>
      <c r="D278" t="s">
        <v>648</v>
      </c>
      <c r="E278" t="s">
        <v>660</v>
      </c>
      <c r="F278" t="s">
        <v>686</v>
      </c>
      <c r="G278" t="s">
        <v>705</v>
      </c>
      <c r="H278" t="s">
        <v>711</v>
      </c>
      <c r="I278" t="s">
        <v>719</v>
      </c>
      <c r="J278" t="s">
        <v>729</v>
      </c>
      <c r="K278" t="s">
        <v>1010</v>
      </c>
      <c r="L278">
        <v>1338.35</v>
      </c>
      <c r="M278">
        <v>2247.14</v>
      </c>
      <c r="N278">
        <v>0.115</v>
      </c>
      <c r="O278">
        <v>40</v>
      </c>
    </row>
    <row r="279" spans="1:15" x14ac:dyDescent="0.35">
      <c r="A279" t="s">
        <v>291</v>
      </c>
      <c r="B279" s="8">
        <v>45832</v>
      </c>
      <c r="C279" s="8">
        <v>45852</v>
      </c>
      <c r="D279" t="s">
        <v>649</v>
      </c>
      <c r="E279" t="s">
        <v>656</v>
      </c>
      <c r="F279" t="s">
        <v>671</v>
      </c>
      <c r="G279" t="s">
        <v>701</v>
      </c>
      <c r="H279" t="s">
        <v>711</v>
      </c>
      <c r="I279" t="s">
        <v>719</v>
      </c>
      <c r="J279" t="s">
        <v>733</v>
      </c>
      <c r="K279" t="s">
        <v>1011</v>
      </c>
      <c r="L279">
        <v>385.08</v>
      </c>
      <c r="M279">
        <v>893.19</v>
      </c>
      <c r="N279">
        <v>0.151</v>
      </c>
      <c r="O279">
        <v>8</v>
      </c>
    </row>
    <row r="280" spans="1:15" x14ac:dyDescent="0.35">
      <c r="A280" t="s">
        <v>292</v>
      </c>
      <c r="B280" s="8">
        <v>45459</v>
      </c>
      <c r="C280" s="8">
        <v>45476</v>
      </c>
      <c r="D280" t="s">
        <v>646</v>
      </c>
      <c r="E280" t="s">
        <v>661</v>
      </c>
      <c r="F280" t="s">
        <v>682</v>
      </c>
      <c r="G280" t="s">
        <v>706</v>
      </c>
      <c r="H280" t="s">
        <v>709</v>
      </c>
      <c r="I280" t="s">
        <v>721</v>
      </c>
      <c r="J280" t="s">
        <v>730</v>
      </c>
      <c r="K280" t="s">
        <v>1012</v>
      </c>
      <c r="L280">
        <v>1173.83</v>
      </c>
      <c r="M280">
        <v>2328.9</v>
      </c>
      <c r="N280">
        <v>0.12</v>
      </c>
      <c r="O280">
        <v>17</v>
      </c>
    </row>
    <row r="281" spans="1:15" x14ac:dyDescent="0.35">
      <c r="A281" t="s">
        <v>293</v>
      </c>
      <c r="B281" s="8">
        <v>45229</v>
      </c>
      <c r="C281" s="8">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5">
      <c r="A282" t="s">
        <v>294</v>
      </c>
      <c r="B282" s="8">
        <v>45092</v>
      </c>
      <c r="C282" s="8">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5">
      <c r="A283" t="s">
        <v>295</v>
      </c>
      <c r="B283" s="8">
        <v>45730</v>
      </c>
      <c r="C283" s="8">
        <v>45745</v>
      </c>
      <c r="D283" t="s">
        <v>647</v>
      </c>
      <c r="E283" t="s">
        <v>652</v>
      </c>
      <c r="F283" t="s">
        <v>689</v>
      </c>
      <c r="G283" t="s">
        <v>703</v>
      </c>
      <c r="H283" t="s">
        <v>711</v>
      </c>
      <c r="I283" t="s">
        <v>722</v>
      </c>
      <c r="J283" t="s">
        <v>729</v>
      </c>
      <c r="K283" t="s">
        <v>1015</v>
      </c>
      <c r="L283">
        <v>1106.96</v>
      </c>
      <c r="M283">
        <v>2726.62</v>
      </c>
      <c r="N283">
        <v>0.317</v>
      </c>
      <c r="O283">
        <v>7</v>
      </c>
    </row>
    <row r="284" spans="1:15" x14ac:dyDescent="0.35">
      <c r="A284" t="s">
        <v>296</v>
      </c>
      <c r="B284" s="8">
        <v>45153</v>
      </c>
      <c r="C284" s="8">
        <v>45163</v>
      </c>
      <c r="D284" t="s">
        <v>646</v>
      </c>
      <c r="E284" t="s">
        <v>650</v>
      </c>
      <c r="F284" t="s">
        <v>664</v>
      </c>
      <c r="G284" t="s">
        <v>705</v>
      </c>
      <c r="H284" t="s">
        <v>707</v>
      </c>
      <c r="I284" t="s">
        <v>725</v>
      </c>
      <c r="J284" t="s">
        <v>730</v>
      </c>
      <c r="K284" t="s">
        <v>1016</v>
      </c>
      <c r="L284">
        <v>91.85</v>
      </c>
      <c r="M284">
        <v>111.29</v>
      </c>
      <c r="N284">
        <v>0</v>
      </c>
      <c r="O284">
        <v>6</v>
      </c>
    </row>
    <row r="285" spans="1:15" x14ac:dyDescent="0.35">
      <c r="A285" t="s">
        <v>297</v>
      </c>
      <c r="B285" s="8">
        <v>45794</v>
      </c>
      <c r="C285" s="8">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5">
      <c r="A286" t="s">
        <v>298</v>
      </c>
      <c r="B286" s="8">
        <v>45304</v>
      </c>
      <c r="C286" s="8">
        <v>45327</v>
      </c>
      <c r="D286" t="s">
        <v>649</v>
      </c>
      <c r="E286" t="s">
        <v>656</v>
      </c>
      <c r="F286" t="s">
        <v>698</v>
      </c>
      <c r="G286" t="s">
        <v>702</v>
      </c>
      <c r="H286" t="s">
        <v>711</v>
      </c>
      <c r="I286" t="s">
        <v>717</v>
      </c>
      <c r="J286" t="s">
        <v>731</v>
      </c>
      <c r="K286" t="s">
        <v>1018</v>
      </c>
      <c r="L286">
        <v>1017.93</v>
      </c>
      <c r="M286">
        <v>1529.14</v>
      </c>
      <c r="N286">
        <v>0.155</v>
      </c>
      <c r="O286">
        <v>12</v>
      </c>
    </row>
    <row r="287" spans="1:15" x14ac:dyDescent="0.35">
      <c r="A287" t="s">
        <v>299</v>
      </c>
      <c r="B287" s="8">
        <v>45101</v>
      </c>
      <c r="C287" s="8">
        <v>45128</v>
      </c>
      <c r="D287" t="s">
        <v>647</v>
      </c>
      <c r="E287" t="s">
        <v>652</v>
      </c>
      <c r="F287" t="s">
        <v>694</v>
      </c>
      <c r="G287" t="s">
        <v>704</v>
      </c>
      <c r="H287" t="s">
        <v>709</v>
      </c>
      <c r="I287" t="s">
        <v>713</v>
      </c>
      <c r="J287" t="s">
        <v>730</v>
      </c>
      <c r="K287" t="s">
        <v>1019</v>
      </c>
      <c r="L287">
        <v>554.76</v>
      </c>
      <c r="M287">
        <v>728.69</v>
      </c>
      <c r="N287">
        <v>0.22</v>
      </c>
      <c r="O287">
        <v>7</v>
      </c>
    </row>
    <row r="288" spans="1:15" x14ac:dyDescent="0.35">
      <c r="A288" t="s">
        <v>300</v>
      </c>
      <c r="B288" s="8">
        <v>45751</v>
      </c>
      <c r="C288" s="8">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5">
      <c r="A289" t="s">
        <v>301</v>
      </c>
      <c r="B289" s="8">
        <v>45542</v>
      </c>
      <c r="C289" s="8">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5">
      <c r="A290" t="s">
        <v>302</v>
      </c>
      <c r="B290" s="8">
        <v>45319</v>
      </c>
      <c r="C290" s="8">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5">
      <c r="A291" t="s">
        <v>303</v>
      </c>
      <c r="B291" s="8">
        <v>45125</v>
      </c>
      <c r="C291" s="8">
        <v>45148</v>
      </c>
      <c r="D291" t="s">
        <v>646</v>
      </c>
      <c r="E291" t="s">
        <v>661</v>
      </c>
      <c r="F291" t="s">
        <v>682</v>
      </c>
      <c r="G291" t="s">
        <v>705</v>
      </c>
      <c r="H291" t="s">
        <v>707</v>
      </c>
      <c r="I291" t="s">
        <v>716</v>
      </c>
      <c r="J291" t="s">
        <v>727</v>
      </c>
      <c r="K291" t="s">
        <v>1023</v>
      </c>
      <c r="L291">
        <v>1271.56</v>
      </c>
      <c r="M291">
        <v>995.47</v>
      </c>
      <c r="N291">
        <v>0.192</v>
      </c>
      <c r="O291">
        <v>13</v>
      </c>
    </row>
    <row r="292" spans="1:15" x14ac:dyDescent="0.35">
      <c r="A292" t="s">
        <v>304</v>
      </c>
      <c r="B292" s="8">
        <v>45897</v>
      </c>
      <c r="C292" s="8">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5">
      <c r="A293" t="s">
        <v>305</v>
      </c>
      <c r="B293" s="8">
        <v>45746</v>
      </c>
      <c r="C293" s="8">
        <v>45754</v>
      </c>
      <c r="D293" t="s">
        <v>648</v>
      </c>
      <c r="E293" t="s">
        <v>655</v>
      </c>
      <c r="F293" t="s">
        <v>670</v>
      </c>
      <c r="G293" t="s">
        <v>703</v>
      </c>
      <c r="H293" t="s">
        <v>711</v>
      </c>
      <c r="I293" t="s">
        <v>716</v>
      </c>
      <c r="J293" t="s">
        <v>728</v>
      </c>
      <c r="K293" t="s">
        <v>1025</v>
      </c>
      <c r="L293">
        <v>71.62</v>
      </c>
      <c r="M293">
        <v>118.37</v>
      </c>
      <c r="N293">
        <v>0.156</v>
      </c>
      <c r="O293">
        <v>11</v>
      </c>
    </row>
    <row r="294" spans="1:15" x14ac:dyDescent="0.35">
      <c r="A294" t="s">
        <v>306</v>
      </c>
      <c r="B294" s="8">
        <v>45220</v>
      </c>
      <c r="C294" s="8">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5">
      <c r="A295" t="s">
        <v>307</v>
      </c>
      <c r="B295" s="8">
        <v>45161</v>
      </c>
      <c r="C295" s="8">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5">
      <c r="A296" t="s">
        <v>308</v>
      </c>
      <c r="B296" s="8">
        <v>45758</v>
      </c>
      <c r="C296" s="8">
        <v>45781</v>
      </c>
      <c r="D296" t="s">
        <v>647</v>
      </c>
      <c r="E296" t="s">
        <v>652</v>
      </c>
      <c r="F296" t="s">
        <v>666</v>
      </c>
      <c r="G296" t="s">
        <v>705</v>
      </c>
      <c r="H296" t="s">
        <v>708</v>
      </c>
      <c r="I296" t="s">
        <v>724</v>
      </c>
      <c r="J296" t="s">
        <v>727</v>
      </c>
      <c r="K296" t="s">
        <v>1028</v>
      </c>
      <c r="L296">
        <v>786.2</v>
      </c>
      <c r="M296">
        <v>1075.3</v>
      </c>
      <c r="N296">
        <v>0.08</v>
      </c>
      <c r="O296">
        <v>9</v>
      </c>
    </row>
    <row r="297" spans="1:15" x14ac:dyDescent="0.35">
      <c r="A297" t="s">
        <v>309</v>
      </c>
      <c r="B297" s="8">
        <v>45809</v>
      </c>
      <c r="C297" s="8">
        <v>45835</v>
      </c>
      <c r="D297" t="s">
        <v>649</v>
      </c>
      <c r="E297" t="s">
        <v>656</v>
      </c>
      <c r="F297" t="s">
        <v>684</v>
      </c>
      <c r="G297" t="s">
        <v>704</v>
      </c>
      <c r="H297" t="s">
        <v>710</v>
      </c>
      <c r="I297" t="s">
        <v>718</v>
      </c>
      <c r="J297" t="s">
        <v>731</v>
      </c>
      <c r="K297" t="s">
        <v>1029</v>
      </c>
      <c r="L297">
        <v>1362.31</v>
      </c>
      <c r="M297">
        <v>3294.57</v>
      </c>
      <c r="N297">
        <v>0.113</v>
      </c>
      <c r="O297">
        <v>7</v>
      </c>
    </row>
    <row r="298" spans="1:15" x14ac:dyDescent="0.35">
      <c r="A298" t="s">
        <v>310</v>
      </c>
      <c r="B298" s="8">
        <v>45353</v>
      </c>
      <c r="C298" s="8">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5">
      <c r="A299" t="s">
        <v>311</v>
      </c>
      <c r="B299" s="8">
        <v>45097</v>
      </c>
      <c r="C299" s="8">
        <v>45115</v>
      </c>
      <c r="D299" t="s">
        <v>648</v>
      </c>
      <c r="E299" t="s">
        <v>660</v>
      </c>
      <c r="F299" t="s">
        <v>697</v>
      </c>
      <c r="G299" t="s">
        <v>703</v>
      </c>
      <c r="H299" t="s">
        <v>711</v>
      </c>
      <c r="I299" t="s">
        <v>721</v>
      </c>
      <c r="J299" t="s">
        <v>732</v>
      </c>
      <c r="K299" t="s">
        <v>1031</v>
      </c>
      <c r="L299">
        <v>337</v>
      </c>
      <c r="M299">
        <v>511.03</v>
      </c>
      <c r="N299">
        <v>0.108</v>
      </c>
      <c r="O299">
        <v>7</v>
      </c>
    </row>
    <row r="300" spans="1:15" x14ac:dyDescent="0.35">
      <c r="A300" t="s">
        <v>312</v>
      </c>
      <c r="B300" s="8">
        <v>45377</v>
      </c>
      <c r="C300" s="8">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5">
      <c r="A301" t="s">
        <v>313</v>
      </c>
      <c r="B301" s="8">
        <v>45679</v>
      </c>
      <c r="C301" s="8">
        <v>45679</v>
      </c>
      <c r="D301" t="s">
        <v>649</v>
      </c>
      <c r="E301" t="s">
        <v>657</v>
      </c>
      <c r="F301" t="s">
        <v>679</v>
      </c>
      <c r="G301" t="s">
        <v>705</v>
      </c>
      <c r="H301" t="s">
        <v>708</v>
      </c>
      <c r="I301" t="s">
        <v>717</v>
      </c>
      <c r="J301" t="s">
        <v>733</v>
      </c>
      <c r="K301" t="s">
        <v>1033</v>
      </c>
      <c r="L301">
        <v>591.72</v>
      </c>
      <c r="M301">
        <v>577.24</v>
      </c>
      <c r="N301">
        <v>0</v>
      </c>
      <c r="O301">
        <v>22</v>
      </c>
    </row>
    <row r="302" spans="1:15" x14ac:dyDescent="0.35">
      <c r="A302" t="s">
        <v>314</v>
      </c>
      <c r="B302" s="8">
        <v>45787</v>
      </c>
      <c r="C302" s="8">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5">
      <c r="A303" t="s">
        <v>315</v>
      </c>
      <c r="B303" s="8">
        <v>45204</v>
      </c>
      <c r="C303" s="8">
        <v>45230</v>
      </c>
      <c r="D303" t="s">
        <v>647</v>
      </c>
      <c r="E303" t="s">
        <v>659</v>
      </c>
      <c r="F303" t="s">
        <v>685</v>
      </c>
      <c r="G303" t="s">
        <v>704</v>
      </c>
      <c r="I303" t="s">
        <v>713</v>
      </c>
      <c r="J303" t="s">
        <v>728</v>
      </c>
      <c r="K303" t="s">
        <v>1035</v>
      </c>
      <c r="L303">
        <v>649.91</v>
      </c>
      <c r="M303">
        <v>1360.12</v>
      </c>
      <c r="N303">
        <v>0.19400000000000001</v>
      </c>
      <c r="O303">
        <v>9</v>
      </c>
    </row>
    <row r="304" spans="1:15" x14ac:dyDescent="0.35">
      <c r="A304" t="s">
        <v>316</v>
      </c>
      <c r="B304" s="8">
        <v>45125</v>
      </c>
      <c r="C304" s="8">
        <v>45129</v>
      </c>
      <c r="D304" t="s">
        <v>648</v>
      </c>
      <c r="E304" t="s">
        <v>655</v>
      </c>
      <c r="F304" t="s">
        <v>670</v>
      </c>
      <c r="G304" t="s">
        <v>704</v>
      </c>
      <c r="H304" t="s">
        <v>711</v>
      </c>
      <c r="I304" t="s">
        <v>721</v>
      </c>
      <c r="J304" t="s">
        <v>729</v>
      </c>
      <c r="K304" t="s">
        <v>1036</v>
      </c>
      <c r="L304">
        <v>1269.55</v>
      </c>
      <c r="M304">
        <v>2071.1</v>
      </c>
      <c r="N304">
        <v>0.129</v>
      </c>
      <c r="O304">
        <v>22</v>
      </c>
    </row>
    <row r="305" spans="1:15" x14ac:dyDescent="0.35">
      <c r="A305" t="s">
        <v>317</v>
      </c>
      <c r="B305" s="8">
        <v>45830</v>
      </c>
      <c r="C305" s="8">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5">
      <c r="A306" t="s">
        <v>318</v>
      </c>
      <c r="B306" s="8">
        <v>45462</v>
      </c>
      <c r="C306" s="8">
        <v>45463</v>
      </c>
      <c r="D306" t="s">
        <v>646</v>
      </c>
      <c r="E306" t="s">
        <v>650</v>
      </c>
      <c r="F306" t="s">
        <v>662</v>
      </c>
      <c r="G306" t="s">
        <v>705</v>
      </c>
      <c r="H306" t="s">
        <v>711</v>
      </c>
      <c r="I306" t="s">
        <v>713</v>
      </c>
      <c r="J306" t="s">
        <v>731</v>
      </c>
      <c r="K306" t="s">
        <v>1038</v>
      </c>
      <c r="L306">
        <v>231.63</v>
      </c>
      <c r="M306">
        <v>537.39</v>
      </c>
      <c r="N306">
        <v>0.08</v>
      </c>
      <c r="O306">
        <v>12</v>
      </c>
    </row>
    <row r="307" spans="1:15" x14ac:dyDescent="0.35">
      <c r="A307" t="s">
        <v>319</v>
      </c>
      <c r="B307" s="8">
        <v>45756</v>
      </c>
      <c r="C307" s="8">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5">
      <c r="A308" t="s">
        <v>320</v>
      </c>
      <c r="B308" s="8">
        <v>45741</v>
      </c>
      <c r="C308" s="8">
        <v>45742</v>
      </c>
      <c r="D308" t="s">
        <v>646</v>
      </c>
      <c r="E308" t="s">
        <v>651</v>
      </c>
      <c r="F308" t="s">
        <v>665</v>
      </c>
      <c r="G308" t="s">
        <v>702</v>
      </c>
      <c r="H308" t="s">
        <v>710</v>
      </c>
      <c r="I308" t="s">
        <v>715</v>
      </c>
      <c r="J308" t="s">
        <v>733</v>
      </c>
      <c r="K308" t="s">
        <v>1040</v>
      </c>
      <c r="L308">
        <v>1450.43</v>
      </c>
      <c r="M308">
        <v>1994.67</v>
      </c>
      <c r="N308">
        <v>0.1</v>
      </c>
      <c r="O308">
        <v>24</v>
      </c>
    </row>
    <row r="309" spans="1:15" x14ac:dyDescent="0.35">
      <c r="A309" t="s">
        <v>321</v>
      </c>
      <c r="B309" s="8">
        <v>45795</v>
      </c>
      <c r="C309" s="8">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5">
      <c r="A310" t="s">
        <v>322</v>
      </c>
      <c r="B310" s="8">
        <v>45679</v>
      </c>
      <c r="C310" s="8">
        <v>45692</v>
      </c>
      <c r="D310" t="s">
        <v>647</v>
      </c>
      <c r="E310" t="s">
        <v>652</v>
      </c>
      <c r="F310" t="s">
        <v>689</v>
      </c>
      <c r="G310" t="s">
        <v>705</v>
      </c>
      <c r="H310" t="s">
        <v>710</v>
      </c>
      <c r="I310" t="s">
        <v>716</v>
      </c>
      <c r="J310" t="s">
        <v>728</v>
      </c>
      <c r="K310" t="s">
        <v>1042</v>
      </c>
      <c r="L310">
        <v>122.29</v>
      </c>
      <c r="M310">
        <v>224.95</v>
      </c>
      <c r="N310">
        <v>0.153</v>
      </c>
      <c r="O310">
        <v>28</v>
      </c>
    </row>
    <row r="311" spans="1:15" x14ac:dyDescent="0.35">
      <c r="A311" t="s">
        <v>323</v>
      </c>
      <c r="B311" s="8">
        <v>44936</v>
      </c>
      <c r="C311" s="8">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5">
      <c r="A312" t="s">
        <v>324</v>
      </c>
      <c r="B312" s="8">
        <v>45655</v>
      </c>
      <c r="C312" s="8">
        <v>45669</v>
      </c>
      <c r="D312" t="s">
        <v>649</v>
      </c>
      <c r="E312" t="s">
        <v>658</v>
      </c>
      <c r="F312" t="s">
        <v>693</v>
      </c>
      <c r="G312" t="s">
        <v>701</v>
      </c>
      <c r="H312" t="s">
        <v>711</v>
      </c>
      <c r="I312" t="s">
        <v>717</v>
      </c>
      <c r="J312" t="s">
        <v>732</v>
      </c>
      <c r="K312" t="s">
        <v>1044</v>
      </c>
      <c r="L312">
        <v>1399.72</v>
      </c>
      <c r="M312">
        <v>3149.21</v>
      </c>
      <c r="N312">
        <v>0.185</v>
      </c>
      <c r="O312">
        <v>12</v>
      </c>
    </row>
    <row r="313" spans="1:15" x14ac:dyDescent="0.35">
      <c r="A313" t="s">
        <v>325</v>
      </c>
      <c r="B313" s="8">
        <v>45435</v>
      </c>
      <c r="C313" s="8">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5">
      <c r="A314" t="s">
        <v>326</v>
      </c>
      <c r="B314" s="8">
        <v>45101</v>
      </c>
      <c r="C314" s="8">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5">
      <c r="A315" t="s">
        <v>327</v>
      </c>
      <c r="B315" s="8">
        <v>45600</v>
      </c>
      <c r="C315" s="8">
        <v>45601</v>
      </c>
      <c r="D315" t="s">
        <v>649</v>
      </c>
      <c r="E315" t="s">
        <v>658</v>
      </c>
      <c r="F315" t="s">
        <v>683</v>
      </c>
      <c r="G315" t="s">
        <v>701</v>
      </c>
      <c r="H315" t="s">
        <v>707</v>
      </c>
      <c r="I315" t="s">
        <v>724</v>
      </c>
      <c r="J315" t="s">
        <v>728</v>
      </c>
      <c r="K315" t="s">
        <v>1047</v>
      </c>
      <c r="L315">
        <v>840.68</v>
      </c>
      <c r="M315">
        <v>1493.53</v>
      </c>
      <c r="N315">
        <v>0</v>
      </c>
      <c r="O315">
        <v>27</v>
      </c>
    </row>
    <row r="316" spans="1:15" x14ac:dyDescent="0.35">
      <c r="A316" t="s">
        <v>328</v>
      </c>
      <c r="B316" s="8">
        <v>45451</v>
      </c>
      <c r="C316" s="8">
        <v>45467</v>
      </c>
      <c r="D316" t="s">
        <v>646</v>
      </c>
      <c r="E316" t="s">
        <v>661</v>
      </c>
      <c r="F316" t="s">
        <v>687</v>
      </c>
      <c r="G316" t="s">
        <v>702</v>
      </c>
      <c r="H316" t="s">
        <v>710</v>
      </c>
      <c r="I316" t="s">
        <v>722</v>
      </c>
      <c r="J316" t="s">
        <v>732</v>
      </c>
      <c r="K316" t="s">
        <v>1048</v>
      </c>
      <c r="L316">
        <v>597.85</v>
      </c>
      <c r="M316">
        <v>741.92</v>
      </c>
      <c r="N316">
        <v>3.1E-2</v>
      </c>
      <c r="O316">
        <v>7</v>
      </c>
    </row>
    <row r="317" spans="1:15" x14ac:dyDescent="0.35">
      <c r="A317" t="s">
        <v>329</v>
      </c>
      <c r="B317" s="8">
        <v>45809</v>
      </c>
      <c r="C317" s="8">
        <v>45814</v>
      </c>
      <c r="D317" t="s">
        <v>649</v>
      </c>
      <c r="E317" t="s">
        <v>657</v>
      </c>
      <c r="F317" t="s">
        <v>690</v>
      </c>
      <c r="G317" t="s">
        <v>704</v>
      </c>
      <c r="H317" t="s">
        <v>710</v>
      </c>
      <c r="I317" t="s">
        <v>715</v>
      </c>
      <c r="J317" t="s">
        <v>727</v>
      </c>
      <c r="K317" t="s">
        <v>1049</v>
      </c>
      <c r="L317">
        <v>379.45</v>
      </c>
      <c r="M317">
        <v>742.23</v>
      </c>
      <c r="N317">
        <v>0.09</v>
      </c>
      <c r="O317">
        <v>13</v>
      </c>
    </row>
    <row r="318" spans="1:15" x14ac:dyDescent="0.35">
      <c r="A318" t="s">
        <v>330</v>
      </c>
      <c r="B318" s="8">
        <v>45052</v>
      </c>
      <c r="C318" s="8">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5">
      <c r="A319" t="s">
        <v>331</v>
      </c>
      <c r="B319" s="8">
        <v>45244</v>
      </c>
      <c r="C319" s="8">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5">
      <c r="A320" t="s">
        <v>332</v>
      </c>
      <c r="B320" s="8">
        <v>45748</v>
      </c>
      <c r="C320" s="8">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5">
      <c r="A321" t="s">
        <v>333</v>
      </c>
      <c r="B321" s="8">
        <v>45008</v>
      </c>
      <c r="C321" s="8">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5">
      <c r="A322" t="s">
        <v>334</v>
      </c>
      <c r="B322" s="8">
        <v>45440</v>
      </c>
      <c r="C322" s="8">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5">
      <c r="A323" t="s">
        <v>335</v>
      </c>
      <c r="B323" s="8">
        <v>45293</v>
      </c>
      <c r="C323" s="8">
        <v>45292</v>
      </c>
      <c r="D323" t="s">
        <v>648</v>
      </c>
      <c r="E323" t="s">
        <v>660</v>
      </c>
      <c r="F323" t="s">
        <v>677</v>
      </c>
      <c r="G323" t="s">
        <v>702</v>
      </c>
      <c r="H323" t="s">
        <v>709</v>
      </c>
      <c r="I323" t="s">
        <v>717</v>
      </c>
      <c r="J323" t="s">
        <v>729</v>
      </c>
      <c r="K323" t="s">
        <v>1055</v>
      </c>
      <c r="L323">
        <v>404.77</v>
      </c>
      <c r="M323">
        <v>433.88</v>
      </c>
      <c r="N323">
        <v>0.215</v>
      </c>
      <c r="O323">
        <v>22</v>
      </c>
    </row>
    <row r="324" spans="1:15" x14ac:dyDescent="0.35">
      <c r="A324" t="s">
        <v>336</v>
      </c>
      <c r="B324" s="8">
        <v>44985</v>
      </c>
      <c r="C324" s="8">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5">
      <c r="A325" t="s">
        <v>337</v>
      </c>
      <c r="B325" s="8">
        <v>45340</v>
      </c>
      <c r="C325" s="8">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5">
      <c r="A326" t="s">
        <v>338</v>
      </c>
      <c r="B326" s="8">
        <v>45544</v>
      </c>
      <c r="C326" s="8">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5">
      <c r="A327" t="s">
        <v>339</v>
      </c>
      <c r="B327" s="8">
        <v>45053</v>
      </c>
      <c r="C327" s="8">
        <v>45075</v>
      </c>
      <c r="D327" t="s">
        <v>646</v>
      </c>
      <c r="E327" t="s">
        <v>661</v>
      </c>
      <c r="F327" t="s">
        <v>687</v>
      </c>
      <c r="G327" t="s">
        <v>702</v>
      </c>
      <c r="H327" t="s">
        <v>710</v>
      </c>
      <c r="I327" t="s">
        <v>723</v>
      </c>
      <c r="J327" t="s">
        <v>733</v>
      </c>
      <c r="K327" t="s">
        <v>1059</v>
      </c>
      <c r="L327">
        <v>653.86</v>
      </c>
      <c r="M327">
        <v>931.84</v>
      </c>
      <c r="N327">
        <v>0.121</v>
      </c>
      <c r="O327">
        <v>12</v>
      </c>
    </row>
    <row r="328" spans="1:15" x14ac:dyDescent="0.35">
      <c r="A328" t="s">
        <v>340</v>
      </c>
      <c r="B328" s="8">
        <v>45303</v>
      </c>
      <c r="C328" s="8">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5">
      <c r="A329" t="s">
        <v>341</v>
      </c>
      <c r="B329" s="8">
        <v>45087</v>
      </c>
      <c r="C329" s="8">
        <v>45095</v>
      </c>
      <c r="D329" t="s">
        <v>646</v>
      </c>
      <c r="E329" t="s">
        <v>650</v>
      </c>
      <c r="F329" t="s">
        <v>678</v>
      </c>
      <c r="G329" t="s">
        <v>706</v>
      </c>
      <c r="H329" t="s">
        <v>711</v>
      </c>
      <c r="I329" t="s">
        <v>722</v>
      </c>
      <c r="J329" t="s">
        <v>730</v>
      </c>
      <c r="K329" t="s">
        <v>1061</v>
      </c>
      <c r="L329">
        <v>894.23</v>
      </c>
      <c r="M329">
        <v>1421.55</v>
      </c>
      <c r="N329">
        <v>0.109</v>
      </c>
      <c r="O329">
        <v>3</v>
      </c>
    </row>
    <row r="330" spans="1:15" x14ac:dyDescent="0.35">
      <c r="A330" t="s">
        <v>342</v>
      </c>
      <c r="B330" s="8">
        <v>45796</v>
      </c>
      <c r="C330" s="8">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5">
      <c r="A331" t="s">
        <v>343</v>
      </c>
      <c r="B331" s="8">
        <v>45221</v>
      </c>
      <c r="C331" s="8">
        <v>45246</v>
      </c>
      <c r="D331" t="s">
        <v>648</v>
      </c>
      <c r="E331" t="s">
        <v>653</v>
      </c>
      <c r="F331" t="s">
        <v>667</v>
      </c>
      <c r="G331" t="s">
        <v>705</v>
      </c>
      <c r="H331" t="s">
        <v>709</v>
      </c>
      <c r="I331" t="s">
        <v>714</v>
      </c>
      <c r="J331" t="s">
        <v>731</v>
      </c>
      <c r="K331" t="s">
        <v>1063</v>
      </c>
      <c r="L331">
        <v>1373.31</v>
      </c>
      <c r="M331">
        <v>3154.14</v>
      </c>
      <c r="N331">
        <v>0.2</v>
      </c>
      <c r="O331">
        <v>11</v>
      </c>
    </row>
    <row r="332" spans="1:15" x14ac:dyDescent="0.35">
      <c r="A332" t="s">
        <v>344</v>
      </c>
      <c r="B332" s="8">
        <v>45668</v>
      </c>
      <c r="C332" s="8">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5">
      <c r="A333" t="s">
        <v>345</v>
      </c>
      <c r="B333" s="8">
        <v>45914</v>
      </c>
      <c r="C333" s="8">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5">
      <c r="A334" t="s">
        <v>346</v>
      </c>
      <c r="B334" s="8">
        <v>45168</v>
      </c>
      <c r="C334" s="8">
        <v>45172</v>
      </c>
      <c r="D334" t="s">
        <v>647</v>
      </c>
      <c r="E334" t="s">
        <v>654</v>
      </c>
      <c r="F334" t="s">
        <v>680</v>
      </c>
      <c r="G334" t="s">
        <v>705</v>
      </c>
      <c r="H334" t="s">
        <v>709</v>
      </c>
      <c r="I334" t="s">
        <v>716</v>
      </c>
      <c r="J334" t="s">
        <v>733</v>
      </c>
      <c r="K334" t="s">
        <v>1066</v>
      </c>
      <c r="L334">
        <v>1082.25</v>
      </c>
      <c r="M334">
        <v>2433.34</v>
      </c>
      <c r="N334">
        <v>0.27</v>
      </c>
      <c r="O334">
        <v>4</v>
      </c>
    </row>
    <row r="335" spans="1:15" x14ac:dyDescent="0.35">
      <c r="A335" t="s">
        <v>347</v>
      </c>
      <c r="B335" s="8">
        <v>45245</v>
      </c>
      <c r="C335" s="8">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5">
      <c r="A336" t="s">
        <v>348</v>
      </c>
      <c r="B336" s="8">
        <v>45774</v>
      </c>
      <c r="C336" s="8">
        <v>45804</v>
      </c>
      <c r="D336" t="s">
        <v>647</v>
      </c>
      <c r="E336" t="s">
        <v>654</v>
      </c>
      <c r="G336" t="s">
        <v>706</v>
      </c>
      <c r="H336" t="s">
        <v>709</v>
      </c>
      <c r="I336" t="s">
        <v>722</v>
      </c>
      <c r="J336" t="s">
        <v>730</v>
      </c>
      <c r="K336" t="s">
        <v>1068</v>
      </c>
      <c r="L336">
        <v>481.32</v>
      </c>
      <c r="M336">
        <v>1135.99</v>
      </c>
      <c r="N336">
        <v>0.14499999999999999</v>
      </c>
      <c r="O336">
        <v>5</v>
      </c>
    </row>
    <row r="337" spans="1:15" x14ac:dyDescent="0.35">
      <c r="A337" t="s">
        <v>349</v>
      </c>
      <c r="B337" s="8">
        <v>45391</v>
      </c>
      <c r="C337" s="8">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5">
      <c r="A338" t="s">
        <v>350</v>
      </c>
      <c r="B338" s="8">
        <v>45484</v>
      </c>
      <c r="C338" s="8">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5">
      <c r="A339" t="s">
        <v>351</v>
      </c>
      <c r="B339" s="8">
        <v>45340</v>
      </c>
      <c r="C339" s="8">
        <v>45354</v>
      </c>
      <c r="D339" t="s">
        <v>648</v>
      </c>
      <c r="E339" t="s">
        <v>655</v>
      </c>
      <c r="G339" t="s">
        <v>706</v>
      </c>
      <c r="H339" t="s">
        <v>710</v>
      </c>
      <c r="I339" t="s">
        <v>720</v>
      </c>
      <c r="J339" t="s">
        <v>728</v>
      </c>
      <c r="K339" t="s">
        <v>1071</v>
      </c>
      <c r="L339">
        <v>624.23</v>
      </c>
      <c r="M339">
        <v>1318.37</v>
      </c>
      <c r="N339">
        <v>0.21</v>
      </c>
      <c r="O339">
        <v>37</v>
      </c>
    </row>
    <row r="340" spans="1:15" x14ac:dyDescent="0.35">
      <c r="A340" t="s">
        <v>352</v>
      </c>
      <c r="B340" s="8">
        <v>45132</v>
      </c>
      <c r="C340" s="8">
        <v>45148</v>
      </c>
      <c r="D340" t="s">
        <v>646</v>
      </c>
      <c r="E340" t="s">
        <v>651</v>
      </c>
      <c r="F340" t="s">
        <v>663</v>
      </c>
      <c r="G340" t="s">
        <v>701</v>
      </c>
      <c r="H340" t="s">
        <v>710</v>
      </c>
      <c r="I340" t="s">
        <v>714</v>
      </c>
      <c r="J340" t="s">
        <v>733</v>
      </c>
      <c r="K340" t="s">
        <v>1072</v>
      </c>
      <c r="L340">
        <v>506.83</v>
      </c>
      <c r="M340">
        <v>441.74</v>
      </c>
      <c r="N340">
        <v>0.24</v>
      </c>
      <c r="O340">
        <v>9</v>
      </c>
    </row>
    <row r="341" spans="1:15" x14ac:dyDescent="0.35">
      <c r="A341" t="s">
        <v>353</v>
      </c>
      <c r="B341" s="8">
        <v>45121</v>
      </c>
      <c r="C341" s="8">
        <v>45128</v>
      </c>
      <c r="D341" t="s">
        <v>646</v>
      </c>
      <c r="E341" t="s">
        <v>661</v>
      </c>
      <c r="F341" t="s">
        <v>687</v>
      </c>
      <c r="G341" t="s">
        <v>706</v>
      </c>
      <c r="H341" t="s">
        <v>709</v>
      </c>
      <c r="J341" t="s">
        <v>732</v>
      </c>
      <c r="K341" t="s">
        <v>1073</v>
      </c>
      <c r="L341">
        <v>620.74</v>
      </c>
      <c r="M341">
        <v>1330.07</v>
      </c>
      <c r="N341">
        <v>0.29899999999999999</v>
      </c>
      <c r="O341">
        <v>28</v>
      </c>
    </row>
    <row r="342" spans="1:15" x14ac:dyDescent="0.35">
      <c r="A342" t="s">
        <v>354</v>
      </c>
      <c r="B342" s="8">
        <v>45131</v>
      </c>
      <c r="C342" s="8">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5">
      <c r="A343" t="s">
        <v>355</v>
      </c>
      <c r="B343" s="8">
        <v>45029</v>
      </c>
      <c r="C343" s="8">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5">
      <c r="A344" t="s">
        <v>356</v>
      </c>
      <c r="B344" s="8">
        <v>45594</v>
      </c>
      <c r="C344" s="8">
        <v>45600</v>
      </c>
      <c r="D344" t="s">
        <v>646</v>
      </c>
      <c r="E344" t="s">
        <v>650</v>
      </c>
      <c r="F344" t="s">
        <v>664</v>
      </c>
      <c r="G344" t="s">
        <v>701</v>
      </c>
      <c r="H344" t="s">
        <v>710</v>
      </c>
      <c r="I344" t="s">
        <v>724</v>
      </c>
      <c r="J344" t="s">
        <v>728</v>
      </c>
      <c r="K344" t="s">
        <v>1076</v>
      </c>
      <c r="L344">
        <v>805.81</v>
      </c>
      <c r="M344">
        <v>1823.04</v>
      </c>
      <c r="N344">
        <v>0</v>
      </c>
      <c r="O344">
        <v>11</v>
      </c>
    </row>
    <row r="345" spans="1:15" x14ac:dyDescent="0.35">
      <c r="A345" t="s">
        <v>357</v>
      </c>
      <c r="B345" s="8">
        <v>45339</v>
      </c>
      <c r="C345" s="8">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5">
      <c r="A346" t="s">
        <v>358</v>
      </c>
      <c r="B346" s="8">
        <v>45486</v>
      </c>
      <c r="C346" s="8">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5">
      <c r="A347" t="s">
        <v>359</v>
      </c>
      <c r="B347" s="8">
        <v>45261</v>
      </c>
      <c r="C347" s="8">
        <v>45278</v>
      </c>
      <c r="D347" t="s">
        <v>647</v>
      </c>
      <c r="E347" t="s">
        <v>652</v>
      </c>
      <c r="F347" t="s">
        <v>694</v>
      </c>
      <c r="G347" t="s">
        <v>705</v>
      </c>
      <c r="H347" t="s">
        <v>711</v>
      </c>
      <c r="I347" t="s">
        <v>725</v>
      </c>
      <c r="J347" t="s">
        <v>731</v>
      </c>
      <c r="K347" t="s">
        <v>1079</v>
      </c>
      <c r="L347">
        <v>1495.79</v>
      </c>
      <c r="M347">
        <v>2783.12</v>
      </c>
      <c r="N347">
        <v>0.02</v>
      </c>
      <c r="O347">
        <v>5</v>
      </c>
    </row>
    <row r="348" spans="1:15" x14ac:dyDescent="0.35">
      <c r="A348" t="s">
        <v>360</v>
      </c>
      <c r="B348" s="8">
        <v>45498</v>
      </c>
      <c r="C348" s="8">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5">
      <c r="A349" t="s">
        <v>361</v>
      </c>
      <c r="B349" s="8">
        <v>45050</v>
      </c>
      <c r="C349" s="8">
        <v>45062</v>
      </c>
      <c r="D349" t="s">
        <v>646</v>
      </c>
      <c r="E349" t="s">
        <v>651</v>
      </c>
      <c r="F349" t="s">
        <v>669</v>
      </c>
      <c r="G349" t="s">
        <v>705</v>
      </c>
      <c r="H349" t="s">
        <v>709</v>
      </c>
      <c r="I349" t="s">
        <v>713</v>
      </c>
      <c r="J349" t="s">
        <v>730</v>
      </c>
      <c r="K349" t="s">
        <v>1081</v>
      </c>
      <c r="L349">
        <v>77.739999999999995</v>
      </c>
      <c r="M349">
        <v>147.12</v>
      </c>
      <c r="N349">
        <v>0</v>
      </c>
      <c r="O349">
        <v>15</v>
      </c>
    </row>
    <row r="350" spans="1:15" x14ac:dyDescent="0.35">
      <c r="A350" t="s">
        <v>362</v>
      </c>
      <c r="B350" s="8">
        <v>45281</v>
      </c>
      <c r="C350" s="8">
        <v>45297</v>
      </c>
      <c r="D350" t="s">
        <v>646</v>
      </c>
      <c r="E350" t="s">
        <v>651</v>
      </c>
      <c r="G350" t="s">
        <v>701</v>
      </c>
      <c r="H350" t="s">
        <v>709</v>
      </c>
      <c r="I350" t="s">
        <v>723</v>
      </c>
      <c r="J350" t="s">
        <v>727</v>
      </c>
      <c r="K350" t="s">
        <v>1082</v>
      </c>
      <c r="L350">
        <v>932.61</v>
      </c>
      <c r="M350">
        <v>1982.98</v>
      </c>
      <c r="N350">
        <v>0.14399999999999999</v>
      </c>
      <c r="O350">
        <v>16</v>
      </c>
    </row>
    <row r="351" spans="1:15" x14ac:dyDescent="0.35">
      <c r="A351" t="s">
        <v>363</v>
      </c>
      <c r="B351" s="8">
        <v>45825</v>
      </c>
      <c r="C351" s="8">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5">
      <c r="A352" t="s">
        <v>364</v>
      </c>
      <c r="B352" s="8">
        <v>44980</v>
      </c>
      <c r="C352" s="8">
        <v>44993</v>
      </c>
      <c r="D352" t="s">
        <v>649</v>
      </c>
      <c r="E352" t="s">
        <v>658</v>
      </c>
      <c r="F352" t="s">
        <v>693</v>
      </c>
      <c r="G352" t="s">
        <v>705</v>
      </c>
      <c r="H352" t="s">
        <v>711</v>
      </c>
      <c r="I352" t="s">
        <v>712</v>
      </c>
      <c r="J352" t="s">
        <v>728</v>
      </c>
      <c r="K352" t="s">
        <v>1084</v>
      </c>
      <c r="L352">
        <v>307.37</v>
      </c>
      <c r="M352">
        <v>462.61</v>
      </c>
      <c r="N352">
        <v>0.188</v>
      </c>
      <c r="O352">
        <v>11</v>
      </c>
    </row>
    <row r="353" spans="1:15" x14ac:dyDescent="0.35">
      <c r="A353" t="s">
        <v>365</v>
      </c>
      <c r="B353" s="8">
        <v>45262</v>
      </c>
      <c r="C353" s="8">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5">
      <c r="A354" t="s">
        <v>366</v>
      </c>
      <c r="B354" s="8">
        <v>45121</v>
      </c>
      <c r="C354" s="8">
        <v>45121</v>
      </c>
      <c r="D354" t="s">
        <v>646</v>
      </c>
      <c r="E354" t="s">
        <v>651</v>
      </c>
      <c r="F354" t="s">
        <v>665</v>
      </c>
      <c r="G354" t="s">
        <v>702</v>
      </c>
      <c r="H354" t="s">
        <v>707</v>
      </c>
      <c r="I354" t="s">
        <v>714</v>
      </c>
      <c r="J354" t="s">
        <v>733</v>
      </c>
      <c r="K354" t="s">
        <v>1086</v>
      </c>
      <c r="L354">
        <v>956.38</v>
      </c>
      <c r="M354">
        <v>1454.22</v>
      </c>
      <c r="N354">
        <v>3.9E-2</v>
      </c>
      <c r="O354">
        <v>19</v>
      </c>
    </row>
    <row r="355" spans="1:15" x14ac:dyDescent="0.35">
      <c r="A355" t="s">
        <v>367</v>
      </c>
      <c r="B355" s="8">
        <v>45512</v>
      </c>
      <c r="C355" s="8">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5">
      <c r="A356" t="s">
        <v>368</v>
      </c>
      <c r="B356" s="8">
        <v>45603</v>
      </c>
      <c r="C356" s="8">
        <v>45622</v>
      </c>
      <c r="D356" t="s">
        <v>648</v>
      </c>
      <c r="E356" t="s">
        <v>655</v>
      </c>
      <c r="F356" t="s">
        <v>692</v>
      </c>
      <c r="G356" t="s">
        <v>703</v>
      </c>
      <c r="H356" t="s">
        <v>710</v>
      </c>
      <c r="I356" t="s">
        <v>713</v>
      </c>
      <c r="J356" t="s">
        <v>728</v>
      </c>
      <c r="K356" t="s">
        <v>1088</v>
      </c>
      <c r="L356">
        <v>55.35</v>
      </c>
      <c r="M356">
        <v>128.68</v>
      </c>
      <c r="N356">
        <v>0.128</v>
      </c>
      <c r="O356">
        <v>10</v>
      </c>
    </row>
    <row r="357" spans="1:15" x14ac:dyDescent="0.35">
      <c r="A357" t="s">
        <v>369</v>
      </c>
      <c r="B357" s="8">
        <v>45292</v>
      </c>
      <c r="C357" s="8">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5">
      <c r="A358" t="s">
        <v>370</v>
      </c>
      <c r="B358" s="8">
        <v>45883</v>
      </c>
      <c r="C358" s="8">
        <v>45911</v>
      </c>
      <c r="D358" t="s">
        <v>648</v>
      </c>
      <c r="E358" t="s">
        <v>655</v>
      </c>
      <c r="F358" t="s">
        <v>670</v>
      </c>
      <c r="G358" t="s">
        <v>703</v>
      </c>
      <c r="H358" t="s">
        <v>711</v>
      </c>
      <c r="I358" t="s">
        <v>721</v>
      </c>
      <c r="J358" t="s">
        <v>728</v>
      </c>
      <c r="K358" t="s">
        <v>1090</v>
      </c>
      <c r="L358">
        <v>1203.02</v>
      </c>
      <c r="M358">
        <v>2439.33</v>
      </c>
      <c r="N358">
        <v>0</v>
      </c>
      <c r="O358">
        <v>18</v>
      </c>
    </row>
    <row r="359" spans="1:15" x14ac:dyDescent="0.35">
      <c r="A359" t="s">
        <v>371</v>
      </c>
      <c r="B359" s="8">
        <v>45385</v>
      </c>
      <c r="C359" s="8">
        <v>45403</v>
      </c>
      <c r="D359" t="s">
        <v>648</v>
      </c>
      <c r="E359" t="s">
        <v>655</v>
      </c>
      <c r="F359" t="s">
        <v>672</v>
      </c>
      <c r="G359" t="s">
        <v>705</v>
      </c>
      <c r="H359" t="s">
        <v>710</v>
      </c>
      <c r="I359" t="s">
        <v>717</v>
      </c>
      <c r="J359" t="s">
        <v>729</v>
      </c>
      <c r="K359" t="s">
        <v>1091</v>
      </c>
      <c r="L359">
        <v>1176.69</v>
      </c>
      <c r="M359">
        <v>2201.54</v>
      </c>
      <c r="N359">
        <v>0.17</v>
      </c>
      <c r="O359">
        <v>27</v>
      </c>
    </row>
    <row r="360" spans="1:15" x14ac:dyDescent="0.35">
      <c r="A360" t="s">
        <v>372</v>
      </c>
      <c r="B360" s="8">
        <v>45621</v>
      </c>
      <c r="C360" s="8">
        <v>45633</v>
      </c>
      <c r="D360" t="s">
        <v>647</v>
      </c>
      <c r="E360" t="s">
        <v>659</v>
      </c>
      <c r="F360" t="s">
        <v>685</v>
      </c>
      <c r="G360" t="s">
        <v>701</v>
      </c>
      <c r="H360" t="s">
        <v>710</v>
      </c>
      <c r="I360" t="s">
        <v>720</v>
      </c>
      <c r="J360" t="s">
        <v>733</v>
      </c>
      <c r="K360" t="s">
        <v>1092</v>
      </c>
      <c r="L360">
        <v>769.9</v>
      </c>
      <c r="M360">
        <v>814.36</v>
      </c>
      <c r="N360">
        <v>0</v>
      </c>
      <c r="O360">
        <v>5</v>
      </c>
    </row>
    <row r="361" spans="1:15" x14ac:dyDescent="0.35">
      <c r="A361" t="s">
        <v>373</v>
      </c>
      <c r="B361" s="8">
        <v>45309</v>
      </c>
      <c r="C361" s="8">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5">
      <c r="A362" t="s">
        <v>374</v>
      </c>
      <c r="B362" s="8">
        <v>45466</v>
      </c>
      <c r="C362" s="8">
        <v>45468</v>
      </c>
      <c r="D362" t="s">
        <v>649</v>
      </c>
      <c r="E362" t="s">
        <v>658</v>
      </c>
      <c r="F362" t="s">
        <v>674</v>
      </c>
      <c r="G362" t="s">
        <v>705</v>
      </c>
      <c r="H362" t="s">
        <v>709</v>
      </c>
      <c r="I362" t="s">
        <v>716</v>
      </c>
      <c r="J362" t="s">
        <v>733</v>
      </c>
      <c r="K362" t="s">
        <v>1094</v>
      </c>
      <c r="L362">
        <v>951.44</v>
      </c>
      <c r="M362">
        <v>1646.43</v>
      </c>
      <c r="N362">
        <v>0.11</v>
      </c>
      <c r="O362">
        <v>24</v>
      </c>
    </row>
    <row r="363" spans="1:15" x14ac:dyDescent="0.35">
      <c r="A363" t="s">
        <v>375</v>
      </c>
      <c r="B363" s="8">
        <v>45833</v>
      </c>
      <c r="C363" s="8">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5">
      <c r="A364" t="s">
        <v>376</v>
      </c>
      <c r="B364" s="8">
        <v>45108</v>
      </c>
      <c r="C364" s="8">
        <v>45115</v>
      </c>
      <c r="D364" t="s">
        <v>646</v>
      </c>
      <c r="E364" t="s">
        <v>651</v>
      </c>
      <c r="F364" t="s">
        <v>663</v>
      </c>
      <c r="G364" t="s">
        <v>701</v>
      </c>
      <c r="H364" t="s">
        <v>707</v>
      </c>
      <c r="I364" t="s">
        <v>720</v>
      </c>
      <c r="J364" t="s">
        <v>731</v>
      </c>
      <c r="K364" t="s">
        <v>1096</v>
      </c>
      <c r="L364">
        <v>834.26</v>
      </c>
      <c r="M364">
        <v>1780.56</v>
      </c>
      <c r="N364">
        <v>1.4E-2</v>
      </c>
      <c r="O364">
        <v>47</v>
      </c>
    </row>
    <row r="365" spans="1:15" x14ac:dyDescent="0.35">
      <c r="A365" t="s">
        <v>377</v>
      </c>
      <c r="B365" s="8">
        <v>45360</v>
      </c>
      <c r="C365" s="8">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5">
      <c r="A366" t="s">
        <v>378</v>
      </c>
      <c r="B366" s="8">
        <v>45082</v>
      </c>
      <c r="C366" s="8">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5">
      <c r="A367" t="s">
        <v>379</v>
      </c>
      <c r="B367" s="8">
        <v>45737</v>
      </c>
      <c r="C367" s="8">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5">
      <c r="A368" t="s">
        <v>380</v>
      </c>
      <c r="B368" s="8">
        <v>45445</v>
      </c>
      <c r="C368" s="8">
        <v>45458</v>
      </c>
      <c r="D368" t="s">
        <v>646</v>
      </c>
      <c r="E368" t="s">
        <v>650</v>
      </c>
      <c r="F368" t="s">
        <v>675</v>
      </c>
      <c r="G368" t="s">
        <v>702</v>
      </c>
      <c r="H368" t="s">
        <v>708</v>
      </c>
      <c r="I368" t="s">
        <v>719</v>
      </c>
      <c r="J368" t="s">
        <v>730</v>
      </c>
      <c r="K368" t="s">
        <v>1100</v>
      </c>
      <c r="L368">
        <v>1295.18</v>
      </c>
      <c r="M368">
        <v>3024.03</v>
      </c>
      <c r="N368">
        <v>0.192</v>
      </c>
      <c r="O368">
        <v>8</v>
      </c>
    </row>
    <row r="369" spans="1:15" x14ac:dyDescent="0.35">
      <c r="A369" t="s">
        <v>381</v>
      </c>
      <c r="B369" s="8">
        <v>45731</v>
      </c>
      <c r="C369" s="8">
        <v>45745</v>
      </c>
      <c r="D369" t="s">
        <v>647</v>
      </c>
      <c r="E369" t="s">
        <v>654</v>
      </c>
      <c r="F369" t="s">
        <v>691</v>
      </c>
      <c r="G369" t="s">
        <v>706</v>
      </c>
      <c r="H369" t="s">
        <v>711</v>
      </c>
      <c r="I369" t="s">
        <v>712</v>
      </c>
      <c r="J369" t="s">
        <v>727</v>
      </c>
      <c r="K369" t="s">
        <v>1101</v>
      </c>
      <c r="L369">
        <v>935.83</v>
      </c>
      <c r="M369">
        <v>2303.46</v>
      </c>
      <c r="N369">
        <v>0.105</v>
      </c>
      <c r="O369">
        <v>9</v>
      </c>
    </row>
    <row r="370" spans="1:15" x14ac:dyDescent="0.35">
      <c r="A370" t="s">
        <v>382</v>
      </c>
      <c r="B370" s="8">
        <v>45194</v>
      </c>
      <c r="C370" s="8">
        <v>45208</v>
      </c>
      <c r="D370" t="s">
        <v>648</v>
      </c>
      <c r="E370" t="s">
        <v>660</v>
      </c>
      <c r="F370" t="s">
        <v>700</v>
      </c>
      <c r="G370" t="s">
        <v>705</v>
      </c>
      <c r="H370" t="s">
        <v>709</v>
      </c>
      <c r="I370" t="s">
        <v>713</v>
      </c>
      <c r="J370" t="s">
        <v>731</v>
      </c>
      <c r="K370" t="s">
        <v>1102</v>
      </c>
      <c r="L370">
        <v>1279.56</v>
      </c>
      <c r="M370">
        <v>3083.8</v>
      </c>
      <c r="N370">
        <v>0.106</v>
      </c>
      <c r="O370">
        <v>5</v>
      </c>
    </row>
    <row r="371" spans="1:15" x14ac:dyDescent="0.35">
      <c r="A371" t="s">
        <v>383</v>
      </c>
      <c r="B371" s="8">
        <v>45832</v>
      </c>
      <c r="C371" s="8">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5">
      <c r="A372" t="s">
        <v>384</v>
      </c>
      <c r="B372" s="8">
        <v>45286</v>
      </c>
      <c r="C372" s="8">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5">
      <c r="A373" t="s">
        <v>385</v>
      </c>
      <c r="B373" s="8">
        <v>44962</v>
      </c>
      <c r="C373" s="8">
        <v>44985</v>
      </c>
      <c r="D373" t="s">
        <v>648</v>
      </c>
      <c r="E373" t="s">
        <v>660</v>
      </c>
      <c r="F373" t="s">
        <v>697</v>
      </c>
      <c r="G373" t="s">
        <v>703</v>
      </c>
      <c r="H373" t="s">
        <v>710</v>
      </c>
      <c r="I373" t="s">
        <v>716</v>
      </c>
      <c r="J373" t="s">
        <v>730</v>
      </c>
      <c r="K373" t="s">
        <v>1105</v>
      </c>
      <c r="L373">
        <v>1214.49</v>
      </c>
      <c r="M373">
        <v>1533.95</v>
      </c>
      <c r="N373">
        <v>0</v>
      </c>
      <c r="O373">
        <v>11</v>
      </c>
    </row>
    <row r="374" spans="1:15" x14ac:dyDescent="0.35">
      <c r="A374" t="s">
        <v>386</v>
      </c>
      <c r="B374" s="8">
        <v>45022</v>
      </c>
      <c r="C374" s="8">
        <v>45024</v>
      </c>
      <c r="D374" t="s">
        <v>646</v>
      </c>
      <c r="E374" t="s">
        <v>651</v>
      </c>
      <c r="F374" t="s">
        <v>669</v>
      </c>
      <c r="G374" t="s">
        <v>705</v>
      </c>
      <c r="H374" t="s">
        <v>709</v>
      </c>
      <c r="I374" t="s">
        <v>723</v>
      </c>
      <c r="J374" t="s">
        <v>732</v>
      </c>
      <c r="K374" t="s">
        <v>1106</v>
      </c>
      <c r="L374">
        <v>720.35</v>
      </c>
      <c r="M374">
        <v>1571.66</v>
      </c>
      <c r="N374">
        <v>0.107</v>
      </c>
      <c r="O374">
        <v>23</v>
      </c>
    </row>
    <row r="375" spans="1:15" x14ac:dyDescent="0.35">
      <c r="A375" t="s">
        <v>387</v>
      </c>
      <c r="B375" s="8">
        <v>45751</v>
      </c>
      <c r="C375" s="8">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5">
      <c r="A376" t="s">
        <v>388</v>
      </c>
      <c r="B376" s="8">
        <v>45429</v>
      </c>
      <c r="C376" s="8">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5">
      <c r="A377" t="s">
        <v>389</v>
      </c>
      <c r="B377" s="8">
        <v>45354</v>
      </c>
      <c r="C377" s="8">
        <v>45370</v>
      </c>
      <c r="D377" t="s">
        <v>647</v>
      </c>
      <c r="E377" t="s">
        <v>659</v>
      </c>
      <c r="F377" t="s">
        <v>699</v>
      </c>
      <c r="G377" t="s">
        <v>704</v>
      </c>
      <c r="H377" t="s">
        <v>710</v>
      </c>
      <c r="I377" t="s">
        <v>715</v>
      </c>
      <c r="J377" t="s">
        <v>730</v>
      </c>
      <c r="K377" t="s">
        <v>1109</v>
      </c>
      <c r="L377">
        <v>988.83</v>
      </c>
      <c r="M377">
        <v>1206.04</v>
      </c>
      <c r="N377">
        <v>6.3E-2</v>
      </c>
      <c r="O377">
        <v>34</v>
      </c>
    </row>
    <row r="378" spans="1:15" x14ac:dyDescent="0.35">
      <c r="A378" t="s">
        <v>390</v>
      </c>
      <c r="B378" s="8">
        <v>45835</v>
      </c>
      <c r="C378" s="8">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5">
      <c r="A379" t="s">
        <v>391</v>
      </c>
      <c r="B379" s="8">
        <v>44998</v>
      </c>
      <c r="C379" s="8">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5">
      <c r="A380" t="s">
        <v>392</v>
      </c>
      <c r="B380" s="8">
        <v>45664</v>
      </c>
      <c r="C380" s="8">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5">
      <c r="A381" t="s">
        <v>393</v>
      </c>
      <c r="B381" s="8">
        <v>45694</v>
      </c>
      <c r="C381" s="8">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5">
      <c r="A382" t="s">
        <v>394</v>
      </c>
      <c r="B382" s="8">
        <v>45688</v>
      </c>
      <c r="C382" s="8">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5">
      <c r="A383" t="s">
        <v>395</v>
      </c>
      <c r="B383" s="8">
        <v>45876</v>
      </c>
      <c r="C383" s="8">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5">
      <c r="A384" t="s">
        <v>396</v>
      </c>
      <c r="B384" s="8">
        <v>45861</v>
      </c>
      <c r="C384" s="8">
        <v>45886</v>
      </c>
      <c r="D384" t="s">
        <v>649</v>
      </c>
      <c r="E384" t="s">
        <v>658</v>
      </c>
      <c r="F384" t="s">
        <v>674</v>
      </c>
      <c r="G384" t="s">
        <v>702</v>
      </c>
      <c r="H384" t="s">
        <v>708</v>
      </c>
      <c r="I384" t="s">
        <v>714</v>
      </c>
      <c r="J384" t="s">
        <v>728</v>
      </c>
      <c r="K384" t="s">
        <v>1115</v>
      </c>
      <c r="L384">
        <v>1142.06</v>
      </c>
      <c r="M384">
        <v>1455</v>
      </c>
      <c r="N384">
        <v>7.8E-2</v>
      </c>
      <c r="O384">
        <v>28</v>
      </c>
    </row>
    <row r="385" spans="1:15" x14ac:dyDescent="0.35">
      <c r="A385" t="s">
        <v>397</v>
      </c>
      <c r="B385" s="8">
        <v>45097</v>
      </c>
      <c r="C385" s="8">
        <v>45115</v>
      </c>
      <c r="D385" t="s">
        <v>648</v>
      </c>
      <c r="E385" t="s">
        <v>660</v>
      </c>
      <c r="F385" t="s">
        <v>700</v>
      </c>
      <c r="G385" t="s">
        <v>704</v>
      </c>
      <c r="H385" t="s">
        <v>709</v>
      </c>
      <c r="I385" t="s">
        <v>719</v>
      </c>
      <c r="J385" t="s">
        <v>729</v>
      </c>
      <c r="K385" t="s">
        <v>1116</v>
      </c>
      <c r="L385">
        <v>1145.53</v>
      </c>
      <c r="M385">
        <v>1278.3</v>
      </c>
      <c r="N385">
        <v>0.09</v>
      </c>
      <c r="O385">
        <v>41</v>
      </c>
    </row>
    <row r="386" spans="1:15" x14ac:dyDescent="0.35">
      <c r="A386" t="s">
        <v>398</v>
      </c>
      <c r="B386" s="8">
        <v>45491</v>
      </c>
      <c r="C386" s="8">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5">
      <c r="A387" t="s">
        <v>399</v>
      </c>
      <c r="B387" s="8">
        <v>45066</v>
      </c>
      <c r="C387" s="8">
        <v>45096</v>
      </c>
      <c r="D387" t="s">
        <v>647</v>
      </c>
      <c r="E387" t="s">
        <v>654</v>
      </c>
      <c r="F387" t="s">
        <v>680</v>
      </c>
      <c r="G387" t="s">
        <v>703</v>
      </c>
      <c r="H387" t="s">
        <v>709</v>
      </c>
      <c r="I387" t="s">
        <v>722</v>
      </c>
      <c r="J387" t="s">
        <v>731</v>
      </c>
      <c r="K387" t="s">
        <v>1118</v>
      </c>
      <c r="L387">
        <v>1161.2</v>
      </c>
      <c r="M387">
        <v>878.73</v>
      </c>
      <c r="N387">
        <v>0.19</v>
      </c>
      <c r="O387">
        <v>31</v>
      </c>
    </row>
    <row r="388" spans="1:15" x14ac:dyDescent="0.35">
      <c r="A388" t="s">
        <v>400</v>
      </c>
      <c r="B388" s="8">
        <v>45789</v>
      </c>
      <c r="C388" s="8">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5">
      <c r="A389" t="s">
        <v>401</v>
      </c>
      <c r="B389" s="8">
        <v>45419</v>
      </c>
      <c r="C389" s="8">
        <v>45424</v>
      </c>
      <c r="D389" t="s">
        <v>646</v>
      </c>
      <c r="E389" t="s">
        <v>651</v>
      </c>
      <c r="F389" t="s">
        <v>669</v>
      </c>
      <c r="G389" t="s">
        <v>703</v>
      </c>
      <c r="H389" t="s">
        <v>710</v>
      </c>
      <c r="I389" t="s">
        <v>716</v>
      </c>
      <c r="J389" t="s">
        <v>731</v>
      </c>
      <c r="K389" t="s">
        <v>1120</v>
      </c>
      <c r="L389">
        <v>1163.99</v>
      </c>
      <c r="M389">
        <v>1617.85</v>
      </c>
      <c r="N389">
        <v>0.127</v>
      </c>
      <c r="O389">
        <v>14</v>
      </c>
    </row>
    <row r="390" spans="1:15" x14ac:dyDescent="0.35">
      <c r="A390" t="s">
        <v>402</v>
      </c>
      <c r="B390" s="8">
        <v>45199</v>
      </c>
      <c r="C390" s="8">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5">
      <c r="A391" t="s">
        <v>403</v>
      </c>
      <c r="B391" s="8">
        <v>45225</v>
      </c>
      <c r="C391" s="8">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5">
      <c r="A392" t="s">
        <v>404</v>
      </c>
      <c r="B392" s="8">
        <v>45823</v>
      </c>
      <c r="C392" s="8">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5">
      <c r="A393" t="s">
        <v>405</v>
      </c>
      <c r="B393" s="8">
        <v>45514</v>
      </c>
      <c r="C393" s="8">
        <v>45542</v>
      </c>
      <c r="D393" t="s">
        <v>649</v>
      </c>
      <c r="E393" t="s">
        <v>657</v>
      </c>
      <c r="F393" t="s">
        <v>673</v>
      </c>
      <c r="G393" t="s">
        <v>703</v>
      </c>
      <c r="H393" t="s">
        <v>711</v>
      </c>
      <c r="I393" t="s">
        <v>721</v>
      </c>
      <c r="J393" t="s">
        <v>728</v>
      </c>
      <c r="K393" t="s">
        <v>1124</v>
      </c>
      <c r="L393">
        <v>229.96</v>
      </c>
      <c r="M393">
        <v>564.26</v>
      </c>
      <c r="N393">
        <v>0.105</v>
      </c>
      <c r="O393">
        <v>5</v>
      </c>
    </row>
    <row r="394" spans="1:15" x14ac:dyDescent="0.35">
      <c r="A394" t="s">
        <v>406</v>
      </c>
      <c r="B394" s="8">
        <v>45208</v>
      </c>
      <c r="C394" s="8">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5">
      <c r="A395" t="s">
        <v>407</v>
      </c>
      <c r="B395" s="8">
        <v>45360</v>
      </c>
      <c r="C395" s="8">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5">
      <c r="A396" t="s">
        <v>408</v>
      </c>
      <c r="B396" s="8">
        <v>45075</v>
      </c>
      <c r="C396" s="8">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5">
      <c r="A397" t="s">
        <v>409</v>
      </c>
      <c r="B397" s="8">
        <v>45804</v>
      </c>
      <c r="C397" s="8">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5">
      <c r="A398" t="s">
        <v>410</v>
      </c>
      <c r="B398" s="8">
        <v>45890</v>
      </c>
      <c r="C398" s="8">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5">
      <c r="A399" t="s">
        <v>411</v>
      </c>
      <c r="B399" s="8">
        <v>45638</v>
      </c>
      <c r="C399" s="8">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5">
      <c r="A400" t="s">
        <v>412</v>
      </c>
      <c r="B400" s="8">
        <v>45914</v>
      </c>
      <c r="C400" s="8">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5">
      <c r="A401" t="s">
        <v>413</v>
      </c>
      <c r="B401" s="8">
        <v>45541</v>
      </c>
      <c r="C401" s="8">
        <v>45569</v>
      </c>
      <c r="D401" t="s">
        <v>646</v>
      </c>
      <c r="E401" t="s">
        <v>661</v>
      </c>
      <c r="F401" t="s">
        <v>695</v>
      </c>
      <c r="G401" t="s">
        <v>701</v>
      </c>
      <c r="H401" t="s">
        <v>709</v>
      </c>
      <c r="I401" t="s">
        <v>726</v>
      </c>
      <c r="J401" t="s">
        <v>732</v>
      </c>
      <c r="K401" t="s">
        <v>1132</v>
      </c>
      <c r="L401">
        <v>1174.17</v>
      </c>
      <c r="M401">
        <v>1641.61</v>
      </c>
      <c r="N401">
        <v>0.122</v>
      </c>
      <c r="O401">
        <v>9</v>
      </c>
    </row>
    <row r="402" spans="1:15" x14ac:dyDescent="0.35">
      <c r="A402" t="s">
        <v>414</v>
      </c>
      <c r="B402" s="8">
        <v>45759</v>
      </c>
      <c r="C402" s="8">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5">
      <c r="A403" t="s">
        <v>415</v>
      </c>
      <c r="B403" s="8">
        <v>45516</v>
      </c>
      <c r="C403" s="8">
        <v>45519</v>
      </c>
      <c r="D403" t="s">
        <v>648</v>
      </c>
      <c r="E403" t="s">
        <v>660</v>
      </c>
      <c r="F403" t="s">
        <v>677</v>
      </c>
      <c r="G403" t="s">
        <v>701</v>
      </c>
      <c r="H403" t="s">
        <v>709</v>
      </c>
      <c r="I403" t="s">
        <v>726</v>
      </c>
      <c r="J403" t="s">
        <v>728</v>
      </c>
      <c r="K403" t="s">
        <v>1134</v>
      </c>
      <c r="L403">
        <v>850.7</v>
      </c>
      <c r="M403">
        <v>1118.56</v>
      </c>
      <c r="N403">
        <v>0.18</v>
      </c>
      <c r="O403">
        <v>19</v>
      </c>
    </row>
    <row r="404" spans="1:15" x14ac:dyDescent="0.35">
      <c r="A404" t="s">
        <v>416</v>
      </c>
      <c r="B404" s="8">
        <v>45601</v>
      </c>
      <c r="C404" s="8">
        <v>45604</v>
      </c>
      <c r="D404" t="s">
        <v>648</v>
      </c>
      <c r="E404" t="s">
        <v>653</v>
      </c>
      <c r="F404" t="s">
        <v>667</v>
      </c>
      <c r="G404" t="s">
        <v>702</v>
      </c>
      <c r="H404" t="s">
        <v>709</v>
      </c>
      <c r="I404" t="s">
        <v>719</v>
      </c>
      <c r="J404" t="s">
        <v>727</v>
      </c>
      <c r="K404" t="s">
        <v>1135</v>
      </c>
      <c r="L404">
        <v>1020.4</v>
      </c>
      <c r="M404">
        <v>1184.71</v>
      </c>
      <c r="N404">
        <v>0.106</v>
      </c>
      <c r="O404">
        <v>16</v>
      </c>
    </row>
    <row r="405" spans="1:15" x14ac:dyDescent="0.35">
      <c r="A405" t="s">
        <v>417</v>
      </c>
      <c r="B405" s="8">
        <v>45497</v>
      </c>
      <c r="C405" s="8">
        <v>45512</v>
      </c>
      <c r="D405" t="s">
        <v>649</v>
      </c>
      <c r="E405" t="s">
        <v>657</v>
      </c>
      <c r="F405" t="s">
        <v>673</v>
      </c>
      <c r="G405" t="s">
        <v>706</v>
      </c>
      <c r="H405" t="s">
        <v>709</v>
      </c>
      <c r="I405" t="s">
        <v>722</v>
      </c>
      <c r="J405" t="s">
        <v>731</v>
      </c>
      <c r="K405" t="s">
        <v>1136</v>
      </c>
      <c r="L405">
        <v>501.5</v>
      </c>
      <c r="M405">
        <v>1201.47</v>
      </c>
      <c r="N405">
        <v>0.126</v>
      </c>
      <c r="O405">
        <v>5</v>
      </c>
    </row>
    <row r="406" spans="1:15" x14ac:dyDescent="0.35">
      <c r="A406" t="s">
        <v>418</v>
      </c>
      <c r="B406" s="8">
        <v>45677</v>
      </c>
      <c r="C406" s="8">
        <v>45691</v>
      </c>
      <c r="D406" t="s">
        <v>648</v>
      </c>
      <c r="E406" t="s">
        <v>655</v>
      </c>
      <c r="F406" t="s">
        <v>672</v>
      </c>
      <c r="G406" t="s">
        <v>706</v>
      </c>
      <c r="H406" t="s">
        <v>709</v>
      </c>
      <c r="I406" t="s">
        <v>721</v>
      </c>
      <c r="J406" t="s">
        <v>727</v>
      </c>
      <c r="K406" t="s">
        <v>1137</v>
      </c>
      <c r="L406">
        <v>974.11</v>
      </c>
      <c r="M406">
        <v>880.99</v>
      </c>
      <c r="N406">
        <v>0.111</v>
      </c>
      <c r="O406">
        <v>10</v>
      </c>
    </row>
    <row r="407" spans="1:15" x14ac:dyDescent="0.35">
      <c r="A407" t="s">
        <v>419</v>
      </c>
      <c r="B407" s="8">
        <v>44991</v>
      </c>
      <c r="C407" s="8">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5">
      <c r="A408" t="s">
        <v>420</v>
      </c>
      <c r="B408" s="8">
        <v>45646</v>
      </c>
      <c r="C408" s="8">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5">
      <c r="A409" t="s">
        <v>421</v>
      </c>
      <c r="B409" s="8">
        <v>45709</v>
      </c>
      <c r="C409" s="8">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5">
      <c r="A410" t="s">
        <v>422</v>
      </c>
      <c r="B410" s="8">
        <v>45724</v>
      </c>
      <c r="C410" s="8">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5">
      <c r="A411" t="s">
        <v>423</v>
      </c>
      <c r="B411" s="8">
        <v>45276</v>
      </c>
      <c r="C411" s="8">
        <v>45279</v>
      </c>
      <c r="D411" t="s">
        <v>647</v>
      </c>
      <c r="E411" t="s">
        <v>659</v>
      </c>
      <c r="F411" t="s">
        <v>699</v>
      </c>
      <c r="G411" t="s">
        <v>702</v>
      </c>
      <c r="H411" t="s">
        <v>707</v>
      </c>
      <c r="I411" t="s">
        <v>720</v>
      </c>
      <c r="J411" t="s">
        <v>733</v>
      </c>
      <c r="K411" t="s">
        <v>1142</v>
      </c>
      <c r="L411">
        <v>1415.05</v>
      </c>
      <c r="M411">
        <v>1972.38</v>
      </c>
      <c r="N411">
        <v>0</v>
      </c>
      <c r="O411">
        <v>12</v>
      </c>
    </row>
    <row r="412" spans="1:15" x14ac:dyDescent="0.35">
      <c r="A412" t="s">
        <v>424</v>
      </c>
      <c r="B412" s="8">
        <v>45534</v>
      </c>
      <c r="C412" s="8">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5">
      <c r="A413" t="s">
        <v>425</v>
      </c>
      <c r="B413" s="8">
        <v>45430</v>
      </c>
      <c r="C413" s="8">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5">
      <c r="A414" t="s">
        <v>426</v>
      </c>
      <c r="B414" s="8">
        <v>45002</v>
      </c>
      <c r="C414" s="8">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5">
      <c r="A415" t="s">
        <v>427</v>
      </c>
      <c r="B415" s="8">
        <v>45163</v>
      </c>
      <c r="C415" s="8">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5">
      <c r="A416" t="s">
        <v>428</v>
      </c>
      <c r="B416" s="8">
        <v>45449</v>
      </c>
      <c r="C416" s="8">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5">
      <c r="A417" t="s">
        <v>429</v>
      </c>
      <c r="B417" s="8">
        <v>45167</v>
      </c>
      <c r="C417" s="8">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5">
      <c r="A418" t="s">
        <v>430</v>
      </c>
      <c r="B418" s="8">
        <v>45626</v>
      </c>
      <c r="C418" s="8">
        <v>45636</v>
      </c>
      <c r="D418" t="s">
        <v>647</v>
      </c>
      <c r="E418" t="s">
        <v>654</v>
      </c>
      <c r="F418" t="s">
        <v>696</v>
      </c>
      <c r="G418" t="s">
        <v>705</v>
      </c>
      <c r="H418" t="s">
        <v>707</v>
      </c>
      <c r="I418" t="s">
        <v>721</v>
      </c>
      <c r="J418" t="s">
        <v>733</v>
      </c>
      <c r="K418" t="s">
        <v>1149</v>
      </c>
      <c r="L418">
        <v>851.49</v>
      </c>
      <c r="M418">
        <v>901.79</v>
      </c>
      <c r="N418">
        <v>0.245</v>
      </c>
      <c r="O418">
        <v>16</v>
      </c>
    </row>
    <row r="419" spans="1:15" x14ac:dyDescent="0.35">
      <c r="A419" t="s">
        <v>431</v>
      </c>
      <c r="B419" s="8">
        <v>45813</v>
      </c>
      <c r="C419" s="8">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5">
      <c r="A420" t="s">
        <v>432</v>
      </c>
      <c r="B420" s="8">
        <v>45730</v>
      </c>
      <c r="C420" s="8">
        <v>45755</v>
      </c>
      <c r="D420" t="s">
        <v>647</v>
      </c>
      <c r="E420" t="s">
        <v>659</v>
      </c>
      <c r="G420" t="s">
        <v>701</v>
      </c>
      <c r="H420" t="s">
        <v>710</v>
      </c>
      <c r="I420" t="s">
        <v>726</v>
      </c>
      <c r="J420" t="s">
        <v>728</v>
      </c>
      <c r="K420" t="s">
        <v>1151</v>
      </c>
      <c r="L420">
        <v>80.59</v>
      </c>
      <c r="M420">
        <v>157.82</v>
      </c>
      <c r="N420">
        <v>0.217</v>
      </c>
      <c r="O420">
        <v>6</v>
      </c>
    </row>
    <row r="421" spans="1:15" x14ac:dyDescent="0.35">
      <c r="A421" t="s">
        <v>433</v>
      </c>
      <c r="B421" s="8">
        <v>45307</v>
      </c>
      <c r="C421" s="8">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5">
      <c r="A422" t="s">
        <v>434</v>
      </c>
      <c r="B422" s="8">
        <v>45211</v>
      </c>
      <c r="C422" s="8">
        <v>45228</v>
      </c>
      <c r="D422" t="s">
        <v>647</v>
      </c>
      <c r="E422" t="s">
        <v>652</v>
      </c>
      <c r="F422" t="s">
        <v>694</v>
      </c>
      <c r="G422" t="s">
        <v>703</v>
      </c>
      <c r="H422" t="s">
        <v>711</v>
      </c>
      <c r="I422" t="s">
        <v>722</v>
      </c>
      <c r="J422" t="s">
        <v>730</v>
      </c>
      <c r="K422" t="s">
        <v>1153</v>
      </c>
      <c r="L422">
        <v>1102.19</v>
      </c>
      <c r="M422">
        <v>1711.16</v>
      </c>
      <c r="N422">
        <v>0.151</v>
      </c>
      <c r="O422">
        <v>10</v>
      </c>
    </row>
    <row r="423" spans="1:15" x14ac:dyDescent="0.35">
      <c r="A423" t="s">
        <v>435</v>
      </c>
      <c r="B423" s="8">
        <v>45713</v>
      </c>
      <c r="C423" s="8">
        <v>45733</v>
      </c>
      <c r="D423" t="s">
        <v>648</v>
      </c>
      <c r="E423" t="s">
        <v>660</v>
      </c>
      <c r="F423" t="s">
        <v>686</v>
      </c>
      <c r="G423" t="s">
        <v>703</v>
      </c>
      <c r="H423" t="s">
        <v>709</v>
      </c>
      <c r="I423" t="s">
        <v>722</v>
      </c>
      <c r="J423" t="s">
        <v>730</v>
      </c>
      <c r="K423" t="s">
        <v>1154</v>
      </c>
      <c r="L423">
        <v>1205.26</v>
      </c>
      <c r="M423">
        <v>1696.35</v>
      </c>
      <c r="N423">
        <v>1.9E-2</v>
      </c>
      <c r="O423">
        <v>6</v>
      </c>
    </row>
    <row r="424" spans="1:15" x14ac:dyDescent="0.35">
      <c r="A424" t="s">
        <v>436</v>
      </c>
      <c r="B424" s="8">
        <v>45841</v>
      </c>
      <c r="C424" s="8">
        <v>45844</v>
      </c>
      <c r="D424" t="s">
        <v>646</v>
      </c>
      <c r="E424" t="s">
        <v>651</v>
      </c>
      <c r="F424" t="s">
        <v>665</v>
      </c>
      <c r="G424" t="s">
        <v>704</v>
      </c>
      <c r="H424" t="s">
        <v>708</v>
      </c>
      <c r="J424" t="s">
        <v>731</v>
      </c>
      <c r="K424" t="s">
        <v>1155</v>
      </c>
      <c r="L424">
        <v>1313.3</v>
      </c>
      <c r="M424">
        <v>2884.34</v>
      </c>
      <c r="N424">
        <v>0.157</v>
      </c>
      <c r="O424">
        <v>42</v>
      </c>
    </row>
    <row r="425" spans="1:15" x14ac:dyDescent="0.35">
      <c r="A425" t="s">
        <v>437</v>
      </c>
      <c r="B425" s="8">
        <v>45915</v>
      </c>
      <c r="C425" s="8">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5">
      <c r="A426" t="s">
        <v>438</v>
      </c>
      <c r="B426" s="8">
        <v>45341</v>
      </c>
      <c r="C426" s="8">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5">
      <c r="A427" t="s">
        <v>439</v>
      </c>
      <c r="B427" s="8">
        <v>45349</v>
      </c>
      <c r="C427" s="8">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5">
      <c r="A428" t="s">
        <v>440</v>
      </c>
      <c r="B428" s="8">
        <v>45897</v>
      </c>
      <c r="C428" s="8">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5">
      <c r="A429" t="s">
        <v>441</v>
      </c>
      <c r="B429" s="8">
        <v>45522</v>
      </c>
      <c r="C429" s="8">
        <v>45547</v>
      </c>
      <c r="D429" t="s">
        <v>647</v>
      </c>
      <c r="E429" t="s">
        <v>654</v>
      </c>
      <c r="F429" t="s">
        <v>691</v>
      </c>
      <c r="G429" t="s">
        <v>704</v>
      </c>
      <c r="H429" t="s">
        <v>709</v>
      </c>
      <c r="I429" t="s">
        <v>712</v>
      </c>
      <c r="J429" t="s">
        <v>730</v>
      </c>
      <c r="K429" t="s">
        <v>1160</v>
      </c>
      <c r="L429">
        <v>1154.03</v>
      </c>
      <c r="M429">
        <v>1590.36</v>
      </c>
      <c r="N429">
        <v>0.314</v>
      </c>
      <c r="O429">
        <v>18</v>
      </c>
    </row>
    <row r="430" spans="1:15" x14ac:dyDescent="0.35">
      <c r="A430" t="s">
        <v>442</v>
      </c>
      <c r="B430" s="8">
        <v>45347</v>
      </c>
      <c r="C430" s="8">
        <v>45360</v>
      </c>
      <c r="D430" t="s">
        <v>649</v>
      </c>
      <c r="E430" t="s">
        <v>657</v>
      </c>
      <c r="F430" t="s">
        <v>673</v>
      </c>
      <c r="G430" t="s">
        <v>705</v>
      </c>
      <c r="H430" t="s">
        <v>710</v>
      </c>
      <c r="I430" t="s">
        <v>718</v>
      </c>
      <c r="J430" t="s">
        <v>732</v>
      </c>
      <c r="K430" t="s">
        <v>1161</v>
      </c>
      <c r="L430">
        <v>322.44</v>
      </c>
      <c r="M430">
        <v>395.61</v>
      </c>
      <c r="N430">
        <v>0</v>
      </c>
      <c r="O430">
        <v>34</v>
      </c>
    </row>
    <row r="431" spans="1:15" x14ac:dyDescent="0.35">
      <c r="A431" t="s">
        <v>443</v>
      </c>
      <c r="B431" s="8">
        <v>45784</v>
      </c>
      <c r="C431" s="8">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5">
      <c r="A432" t="s">
        <v>444</v>
      </c>
      <c r="B432" s="8">
        <v>45597</v>
      </c>
      <c r="C432" s="8">
        <v>45608</v>
      </c>
      <c r="D432" t="s">
        <v>649</v>
      </c>
      <c r="E432" t="s">
        <v>656</v>
      </c>
      <c r="F432" t="s">
        <v>698</v>
      </c>
      <c r="G432" t="s">
        <v>704</v>
      </c>
      <c r="H432" t="s">
        <v>708</v>
      </c>
      <c r="I432" t="s">
        <v>717</v>
      </c>
      <c r="J432" t="s">
        <v>728</v>
      </c>
      <c r="K432" t="s">
        <v>1163</v>
      </c>
      <c r="L432">
        <v>599.84</v>
      </c>
      <c r="M432">
        <v>1330.85</v>
      </c>
      <c r="N432">
        <v>0.115</v>
      </c>
      <c r="O432">
        <v>11</v>
      </c>
    </row>
    <row r="433" spans="1:15" x14ac:dyDescent="0.35">
      <c r="A433" t="s">
        <v>445</v>
      </c>
      <c r="B433" s="8">
        <v>45654</v>
      </c>
      <c r="C433" s="8">
        <v>45665</v>
      </c>
      <c r="D433" t="s">
        <v>647</v>
      </c>
      <c r="E433" t="s">
        <v>659</v>
      </c>
      <c r="F433" t="s">
        <v>676</v>
      </c>
      <c r="G433" t="s">
        <v>706</v>
      </c>
      <c r="H433" t="s">
        <v>708</v>
      </c>
      <c r="I433" t="s">
        <v>723</v>
      </c>
      <c r="J433" t="s">
        <v>731</v>
      </c>
      <c r="K433" t="s">
        <v>1164</v>
      </c>
      <c r="L433">
        <v>1201.31</v>
      </c>
      <c r="M433">
        <v>2764.65</v>
      </c>
      <c r="N433">
        <v>0</v>
      </c>
      <c r="O433">
        <v>21</v>
      </c>
    </row>
    <row r="434" spans="1:15" x14ac:dyDescent="0.35">
      <c r="A434" t="s">
        <v>446</v>
      </c>
      <c r="B434" s="8">
        <v>45220</v>
      </c>
      <c r="C434" s="8">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5">
      <c r="A435" t="s">
        <v>447</v>
      </c>
      <c r="B435" s="8">
        <v>45636</v>
      </c>
      <c r="C435" s="8">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5">
      <c r="A436" t="s">
        <v>448</v>
      </c>
      <c r="B436" s="8">
        <v>45542</v>
      </c>
      <c r="C436" s="8">
        <v>45553</v>
      </c>
      <c r="D436" t="s">
        <v>647</v>
      </c>
      <c r="E436" t="s">
        <v>659</v>
      </c>
      <c r="F436" t="s">
        <v>699</v>
      </c>
      <c r="G436" t="s">
        <v>704</v>
      </c>
      <c r="H436" t="s">
        <v>710</v>
      </c>
      <c r="I436" t="s">
        <v>719</v>
      </c>
      <c r="J436" t="s">
        <v>729</v>
      </c>
      <c r="K436" t="s">
        <v>1167</v>
      </c>
      <c r="L436">
        <v>181.74</v>
      </c>
      <c r="M436">
        <v>190.84</v>
      </c>
      <c r="N436">
        <v>0.214</v>
      </c>
      <c r="O436">
        <v>13</v>
      </c>
    </row>
    <row r="437" spans="1:15" x14ac:dyDescent="0.35">
      <c r="A437" t="s">
        <v>449</v>
      </c>
      <c r="B437" s="8">
        <v>45217</v>
      </c>
      <c r="C437" s="8">
        <v>45219</v>
      </c>
      <c r="D437" t="s">
        <v>646</v>
      </c>
      <c r="E437" t="s">
        <v>650</v>
      </c>
      <c r="F437" t="s">
        <v>662</v>
      </c>
      <c r="G437" t="s">
        <v>704</v>
      </c>
      <c r="H437" t="s">
        <v>707</v>
      </c>
      <c r="I437" t="s">
        <v>713</v>
      </c>
      <c r="J437" t="s">
        <v>730</v>
      </c>
      <c r="K437" t="s">
        <v>1168</v>
      </c>
      <c r="L437">
        <v>774.12</v>
      </c>
      <c r="M437">
        <v>908.3</v>
      </c>
      <c r="N437">
        <v>0</v>
      </c>
      <c r="O437">
        <v>30</v>
      </c>
    </row>
    <row r="438" spans="1:15" x14ac:dyDescent="0.35">
      <c r="A438" t="s">
        <v>450</v>
      </c>
      <c r="B438" s="8">
        <v>45650</v>
      </c>
      <c r="C438" s="8">
        <v>45670</v>
      </c>
      <c r="D438" t="s">
        <v>647</v>
      </c>
      <c r="E438" t="s">
        <v>654</v>
      </c>
      <c r="F438" t="s">
        <v>668</v>
      </c>
      <c r="G438" t="s">
        <v>701</v>
      </c>
      <c r="H438" t="s">
        <v>709</v>
      </c>
      <c r="I438" t="s">
        <v>726</v>
      </c>
      <c r="J438" t="s">
        <v>729</v>
      </c>
      <c r="K438" t="s">
        <v>1169</v>
      </c>
      <c r="L438">
        <v>126.15</v>
      </c>
      <c r="M438">
        <v>284.23</v>
      </c>
      <c r="N438">
        <v>0.113</v>
      </c>
      <c r="O438">
        <v>22</v>
      </c>
    </row>
    <row r="439" spans="1:15" x14ac:dyDescent="0.35">
      <c r="A439" t="s">
        <v>451</v>
      </c>
      <c r="B439" s="8">
        <v>45037</v>
      </c>
      <c r="C439" s="8">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5">
      <c r="A440" t="s">
        <v>452</v>
      </c>
      <c r="B440" s="8">
        <v>45290</v>
      </c>
      <c r="C440" s="8">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5">
      <c r="A441" t="s">
        <v>453</v>
      </c>
      <c r="B441" s="8">
        <v>44978</v>
      </c>
      <c r="C441" s="8">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5">
      <c r="A442" t="s">
        <v>454</v>
      </c>
      <c r="B442" s="8">
        <v>45063</v>
      </c>
      <c r="C442" s="8">
        <v>45080</v>
      </c>
      <c r="D442" t="s">
        <v>647</v>
      </c>
      <c r="E442" t="s">
        <v>659</v>
      </c>
      <c r="F442" t="s">
        <v>699</v>
      </c>
      <c r="G442" t="s">
        <v>703</v>
      </c>
      <c r="H442" t="s">
        <v>710</v>
      </c>
      <c r="I442" t="s">
        <v>724</v>
      </c>
      <c r="J442" t="s">
        <v>728</v>
      </c>
      <c r="K442" t="s">
        <v>1173</v>
      </c>
      <c r="L442">
        <v>979.59</v>
      </c>
      <c r="M442">
        <v>2210.94</v>
      </c>
      <c r="N442">
        <v>0.15</v>
      </c>
      <c r="O442">
        <v>11</v>
      </c>
    </row>
    <row r="443" spans="1:15" x14ac:dyDescent="0.35">
      <c r="A443" t="s">
        <v>455</v>
      </c>
      <c r="B443" s="8">
        <v>45374</v>
      </c>
      <c r="C443" s="8">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5">
      <c r="A444" t="s">
        <v>456</v>
      </c>
      <c r="B444" s="8">
        <v>45189</v>
      </c>
      <c r="C444" s="8">
        <v>45197</v>
      </c>
      <c r="D444" t="s">
        <v>647</v>
      </c>
      <c r="E444" t="s">
        <v>654</v>
      </c>
      <c r="G444" t="s">
        <v>701</v>
      </c>
      <c r="I444" t="s">
        <v>717</v>
      </c>
      <c r="J444" t="s">
        <v>733</v>
      </c>
      <c r="K444" t="s">
        <v>1175</v>
      </c>
      <c r="L444">
        <v>1362.06</v>
      </c>
      <c r="M444">
        <v>3398.37</v>
      </c>
      <c r="N444">
        <v>0.157</v>
      </c>
      <c r="O444">
        <v>11</v>
      </c>
    </row>
    <row r="445" spans="1:15" x14ac:dyDescent="0.35">
      <c r="A445" t="s">
        <v>457</v>
      </c>
      <c r="B445" s="8">
        <v>45526</v>
      </c>
      <c r="C445" s="8">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5">
      <c r="A446" t="s">
        <v>458</v>
      </c>
      <c r="B446" s="8">
        <v>45560</v>
      </c>
      <c r="C446" s="8">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5">
      <c r="A447" t="s">
        <v>459</v>
      </c>
      <c r="B447" s="8">
        <v>45090</v>
      </c>
      <c r="C447" s="8">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5">
      <c r="A448" t="s">
        <v>460</v>
      </c>
      <c r="B448" s="8">
        <v>45284</v>
      </c>
      <c r="C448" s="8">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5">
      <c r="A449" t="s">
        <v>461</v>
      </c>
      <c r="B449" s="8">
        <v>45746</v>
      </c>
      <c r="C449" s="8">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5">
      <c r="A450" t="s">
        <v>462</v>
      </c>
      <c r="B450" s="8">
        <v>45446</v>
      </c>
      <c r="C450" s="8">
        <v>45467</v>
      </c>
      <c r="D450" t="s">
        <v>648</v>
      </c>
      <c r="E450" t="s">
        <v>653</v>
      </c>
      <c r="F450" t="s">
        <v>667</v>
      </c>
      <c r="G450" t="s">
        <v>705</v>
      </c>
      <c r="H450" t="s">
        <v>711</v>
      </c>
      <c r="I450" t="s">
        <v>715</v>
      </c>
      <c r="J450" t="s">
        <v>732</v>
      </c>
      <c r="K450" t="s">
        <v>1181</v>
      </c>
      <c r="L450">
        <v>1205.5</v>
      </c>
      <c r="M450">
        <v>2210.17</v>
      </c>
      <c r="N450">
        <v>0.104</v>
      </c>
      <c r="O450">
        <v>23</v>
      </c>
    </row>
    <row r="451" spans="1:15" x14ac:dyDescent="0.35">
      <c r="A451" t="s">
        <v>463</v>
      </c>
      <c r="B451" s="8">
        <v>45454</v>
      </c>
      <c r="C451" s="8">
        <v>45482</v>
      </c>
      <c r="D451" t="s">
        <v>646</v>
      </c>
      <c r="E451" t="s">
        <v>651</v>
      </c>
      <c r="F451" t="s">
        <v>663</v>
      </c>
      <c r="G451" t="s">
        <v>701</v>
      </c>
      <c r="H451" t="s">
        <v>709</v>
      </c>
      <c r="I451" t="s">
        <v>714</v>
      </c>
      <c r="J451" t="s">
        <v>730</v>
      </c>
      <c r="K451" t="s">
        <v>1182</v>
      </c>
      <c r="L451">
        <v>895.54</v>
      </c>
      <c r="M451">
        <v>1045</v>
      </c>
      <c r="N451">
        <v>0.216</v>
      </c>
      <c r="O451">
        <v>15</v>
      </c>
    </row>
    <row r="452" spans="1:15" x14ac:dyDescent="0.35">
      <c r="A452" t="s">
        <v>464</v>
      </c>
      <c r="B452" s="8">
        <v>45129</v>
      </c>
      <c r="C452" s="8">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5">
      <c r="A453" t="s">
        <v>465</v>
      </c>
      <c r="B453" s="8">
        <v>44945</v>
      </c>
      <c r="C453" s="8">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5">
      <c r="A454" t="s">
        <v>466</v>
      </c>
      <c r="B454" s="8">
        <v>45413</v>
      </c>
      <c r="C454" s="8">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5">
      <c r="A455" t="s">
        <v>467</v>
      </c>
      <c r="B455" s="8">
        <v>45817</v>
      </c>
      <c r="C455" s="8">
        <v>45832</v>
      </c>
      <c r="D455" t="s">
        <v>647</v>
      </c>
      <c r="E455" t="s">
        <v>652</v>
      </c>
      <c r="F455" t="s">
        <v>694</v>
      </c>
      <c r="G455" t="s">
        <v>701</v>
      </c>
      <c r="H455" t="s">
        <v>711</v>
      </c>
      <c r="I455" t="s">
        <v>717</v>
      </c>
      <c r="J455" t="s">
        <v>730</v>
      </c>
      <c r="K455" t="s">
        <v>1186</v>
      </c>
      <c r="L455">
        <v>400.39</v>
      </c>
      <c r="M455">
        <v>712.75</v>
      </c>
      <c r="N455">
        <v>0.115</v>
      </c>
      <c r="O455">
        <v>19</v>
      </c>
    </row>
    <row r="456" spans="1:15" x14ac:dyDescent="0.35">
      <c r="A456" t="s">
        <v>468</v>
      </c>
      <c r="B456" s="8">
        <v>45070</v>
      </c>
      <c r="C456" s="8">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5">
      <c r="A457" t="s">
        <v>469</v>
      </c>
      <c r="B457" s="8">
        <v>45653</v>
      </c>
      <c r="C457" s="8">
        <v>45655</v>
      </c>
      <c r="D457" t="s">
        <v>648</v>
      </c>
      <c r="E457" t="s">
        <v>653</v>
      </c>
      <c r="F457" t="s">
        <v>688</v>
      </c>
      <c r="G457" t="s">
        <v>706</v>
      </c>
      <c r="H457" t="s">
        <v>709</v>
      </c>
      <c r="I457" t="s">
        <v>712</v>
      </c>
      <c r="J457" t="s">
        <v>733</v>
      </c>
      <c r="K457" t="s">
        <v>1188</v>
      </c>
      <c r="L457">
        <v>1146.72</v>
      </c>
      <c r="M457">
        <v>2074.34</v>
      </c>
      <c r="N457">
        <v>0.111</v>
      </c>
      <c r="O457">
        <v>8</v>
      </c>
    </row>
    <row r="458" spans="1:15" x14ac:dyDescent="0.35">
      <c r="A458" t="s">
        <v>470</v>
      </c>
      <c r="B458" s="8">
        <v>45265</v>
      </c>
      <c r="C458" s="8">
        <v>45272</v>
      </c>
      <c r="D458" t="s">
        <v>648</v>
      </c>
      <c r="E458" t="s">
        <v>655</v>
      </c>
      <c r="F458" t="s">
        <v>672</v>
      </c>
      <c r="G458" t="s">
        <v>701</v>
      </c>
      <c r="H458" t="s">
        <v>711</v>
      </c>
      <c r="I458" t="s">
        <v>721</v>
      </c>
      <c r="J458" t="s">
        <v>730</v>
      </c>
      <c r="K458" t="s">
        <v>1189</v>
      </c>
      <c r="L458">
        <v>307.43</v>
      </c>
      <c r="M458">
        <v>495.19</v>
      </c>
      <c r="N458">
        <v>0</v>
      </c>
      <c r="O458">
        <v>42</v>
      </c>
    </row>
    <row r="459" spans="1:15" x14ac:dyDescent="0.35">
      <c r="A459" t="s">
        <v>471</v>
      </c>
      <c r="B459" s="8">
        <v>45048</v>
      </c>
      <c r="C459" s="8">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5">
      <c r="A460" t="s">
        <v>472</v>
      </c>
      <c r="B460" s="8">
        <v>45260</v>
      </c>
      <c r="C460" s="8">
        <v>45270</v>
      </c>
      <c r="D460" t="s">
        <v>649</v>
      </c>
      <c r="E460" t="s">
        <v>656</v>
      </c>
      <c r="F460" t="s">
        <v>684</v>
      </c>
      <c r="G460" t="s">
        <v>705</v>
      </c>
      <c r="H460" t="s">
        <v>711</v>
      </c>
      <c r="I460" t="s">
        <v>721</v>
      </c>
      <c r="J460" t="s">
        <v>731</v>
      </c>
      <c r="K460" t="s">
        <v>1191</v>
      </c>
      <c r="L460">
        <v>174.74</v>
      </c>
      <c r="M460">
        <v>415.96</v>
      </c>
      <c r="N460">
        <v>0.125</v>
      </c>
      <c r="O460">
        <v>21</v>
      </c>
    </row>
    <row r="461" spans="1:15" x14ac:dyDescent="0.35">
      <c r="A461" t="s">
        <v>473</v>
      </c>
      <c r="B461" s="8">
        <v>45417</v>
      </c>
      <c r="C461" s="8">
        <v>45430</v>
      </c>
      <c r="D461" t="s">
        <v>649</v>
      </c>
      <c r="E461" t="s">
        <v>657</v>
      </c>
      <c r="F461" t="s">
        <v>673</v>
      </c>
      <c r="G461" t="s">
        <v>701</v>
      </c>
      <c r="H461" t="s">
        <v>709</v>
      </c>
      <c r="I461" t="s">
        <v>720</v>
      </c>
      <c r="J461" t="s">
        <v>727</v>
      </c>
      <c r="K461" t="s">
        <v>1192</v>
      </c>
      <c r="L461">
        <v>1264.04</v>
      </c>
      <c r="M461">
        <v>1870.89</v>
      </c>
      <c r="N461">
        <v>0</v>
      </c>
      <c r="O461">
        <v>13</v>
      </c>
    </row>
    <row r="462" spans="1:15" x14ac:dyDescent="0.35">
      <c r="A462" t="s">
        <v>474</v>
      </c>
      <c r="B462" s="8">
        <v>45116</v>
      </c>
      <c r="C462" s="8">
        <v>45126</v>
      </c>
      <c r="D462" t="s">
        <v>647</v>
      </c>
      <c r="E462" t="s">
        <v>652</v>
      </c>
      <c r="F462" t="s">
        <v>689</v>
      </c>
      <c r="G462" t="s">
        <v>706</v>
      </c>
      <c r="H462" t="s">
        <v>710</v>
      </c>
      <c r="I462" t="s">
        <v>725</v>
      </c>
      <c r="J462" t="s">
        <v>727</v>
      </c>
      <c r="K462" t="s">
        <v>1193</v>
      </c>
      <c r="L462">
        <v>141.26</v>
      </c>
      <c r="M462">
        <v>206.88</v>
      </c>
      <c r="N462">
        <v>0.107</v>
      </c>
      <c r="O462">
        <v>9</v>
      </c>
    </row>
    <row r="463" spans="1:15" x14ac:dyDescent="0.35">
      <c r="A463" t="s">
        <v>475</v>
      </c>
      <c r="B463" s="8">
        <v>45063</v>
      </c>
      <c r="C463" s="8">
        <v>45092</v>
      </c>
      <c r="D463" t="s">
        <v>646</v>
      </c>
      <c r="E463" t="s">
        <v>661</v>
      </c>
      <c r="F463" t="s">
        <v>687</v>
      </c>
      <c r="G463" t="s">
        <v>706</v>
      </c>
      <c r="H463" t="s">
        <v>707</v>
      </c>
      <c r="I463" t="s">
        <v>723</v>
      </c>
      <c r="J463" t="s">
        <v>733</v>
      </c>
      <c r="K463" t="s">
        <v>1194</v>
      </c>
      <c r="L463">
        <v>40.89</v>
      </c>
      <c r="M463">
        <v>62.82</v>
      </c>
      <c r="N463">
        <v>0.129</v>
      </c>
      <c r="O463">
        <v>17</v>
      </c>
    </row>
    <row r="464" spans="1:15" x14ac:dyDescent="0.35">
      <c r="A464" t="s">
        <v>476</v>
      </c>
      <c r="B464" s="8">
        <v>45358</v>
      </c>
      <c r="C464" s="8">
        <v>45385</v>
      </c>
      <c r="D464" t="s">
        <v>649</v>
      </c>
      <c r="E464" t="s">
        <v>656</v>
      </c>
      <c r="F464" t="s">
        <v>698</v>
      </c>
      <c r="G464" t="s">
        <v>701</v>
      </c>
      <c r="H464" t="s">
        <v>711</v>
      </c>
      <c r="I464" t="s">
        <v>724</v>
      </c>
      <c r="J464" t="s">
        <v>728</v>
      </c>
      <c r="K464" t="s">
        <v>1195</v>
      </c>
      <c r="L464">
        <v>738.16</v>
      </c>
      <c r="M464">
        <v>956.49</v>
      </c>
      <c r="N464">
        <v>0.152</v>
      </c>
      <c r="O464">
        <v>5</v>
      </c>
    </row>
    <row r="465" spans="1:15" x14ac:dyDescent="0.35">
      <c r="A465" t="s">
        <v>477</v>
      </c>
      <c r="B465" s="8">
        <v>45757</v>
      </c>
      <c r="C465" s="8">
        <v>45766</v>
      </c>
      <c r="D465" t="s">
        <v>646</v>
      </c>
      <c r="E465" t="s">
        <v>661</v>
      </c>
      <c r="F465" t="s">
        <v>687</v>
      </c>
      <c r="G465" t="s">
        <v>706</v>
      </c>
      <c r="I465" t="s">
        <v>715</v>
      </c>
      <c r="J465" t="s">
        <v>729</v>
      </c>
      <c r="K465" t="s">
        <v>1196</v>
      </c>
      <c r="L465">
        <v>113.74</v>
      </c>
      <c r="M465">
        <v>165.7</v>
      </c>
      <c r="N465">
        <v>0.124</v>
      </c>
      <c r="O465">
        <v>13</v>
      </c>
    </row>
    <row r="466" spans="1:15" x14ac:dyDescent="0.35">
      <c r="A466" t="s">
        <v>478</v>
      </c>
      <c r="B466" s="8">
        <v>45865</v>
      </c>
      <c r="C466" s="8">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5">
      <c r="A467" t="s">
        <v>479</v>
      </c>
      <c r="B467" s="8">
        <v>45618</v>
      </c>
      <c r="C467" s="8">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5">
      <c r="A468" t="s">
        <v>480</v>
      </c>
      <c r="B468" s="8">
        <v>45466</v>
      </c>
      <c r="C468" s="8">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5">
      <c r="A469" t="s">
        <v>481</v>
      </c>
      <c r="B469" s="8">
        <v>45278</v>
      </c>
      <c r="C469" s="8">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5">
      <c r="A470" t="s">
        <v>482</v>
      </c>
      <c r="B470" s="8">
        <v>45809</v>
      </c>
      <c r="C470" s="8">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5">
      <c r="A471" t="s">
        <v>483</v>
      </c>
      <c r="B471" s="8">
        <v>45739</v>
      </c>
      <c r="C471" s="8">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5">
      <c r="A472" t="s">
        <v>484</v>
      </c>
      <c r="B472" s="8">
        <v>45060</v>
      </c>
      <c r="C472" s="8">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5">
      <c r="A473" t="s">
        <v>485</v>
      </c>
      <c r="B473" s="8">
        <v>45167</v>
      </c>
      <c r="C473" s="8">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5">
      <c r="A474" t="s">
        <v>486</v>
      </c>
      <c r="B474" s="8">
        <v>45841</v>
      </c>
      <c r="C474" s="8">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5">
      <c r="A475" t="s">
        <v>487</v>
      </c>
      <c r="B475" s="8">
        <v>45328</v>
      </c>
      <c r="C475" s="8">
        <v>45350</v>
      </c>
      <c r="D475" t="s">
        <v>646</v>
      </c>
      <c r="E475" t="s">
        <v>650</v>
      </c>
      <c r="F475" t="s">
        <v>662</v>
      </c>
      <c r="G475" t="s">
        <v>703</v>
      </c>
      <c r="H475" t="s">
        <v>708</v>
      </c>
      <c r="I475" t="s">
        <v>723</v>
      </c>
      <c r="J475" t="s">
        <v>732</v>
      </c>
      <c r="K475" t="s">
        <v>1206</v>
      </c>
      <c r="L475">
        <v>834.93</v>
      </c>
      <c r="M475">
        <v>1588.53</v>
      </c>
      <c r="N475">
        <v>0.126</v>
      </c>
      <c r="O475">
        <v>6</v>
      </c>
    </row>
    <row r="476" spans="1:15" x14ac:dyDescent="0.35">
      <c r="A476" t="s">
        <v>488</v>
      </c>
      <c r="B476" s="8">
        <v>45882</v>
      </c>
      <c r="C476" s="8">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5">
      <c r="A477" t="s">
        <v>489</v>
      </c>
      <c r="B477" s="8">
        <v>45069</v>
      </c>
      <c r="C477" s="8">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5">
      <c r="A478" t="s">
        <v>490</v>
      </c>
      <c r="B478" s="8">
        <v>45422</v>
      </c>
      <c r="C478" s="8">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5">
      <c r="A479" t="s">
        <v>491</v>
      </c>
      <c r="B479" s="8">
        <v>44999</v>
      </c>
      <c r="C479" s="8">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5">
      <c r="A480" t="s">
        <v>492</v>
      </c>
      <c r="B480" s="8">
        <v>45123</v>
      </c>
      <c r="C480" s="8">
        <v>45151</v>
      </c>
      <c r="D480" t="s">
        <v>649</v>
      </c>
      <c r="E480" t="s">
        <v>658</v>
      </c>
      <c r="F480" t="s">
        <v>693</v>
      </c>
      <c r="G480" t="s">
        <v>703</v>
      </c>
      <c r="H480" t="s">
        <v>708</v>
      </c>
      <c r="I480" t="s">
        <v>713</v>
      </c>
      <c r="J480" t="s">
        <v>731</v>
      </c>
      <c r="K480" t="s">
        <v>1211</v>
      </c>
      <c r="L480">
        <v>1039.03</v>
      </c>
      <c r="M480">
        <v>2545.81</v>
      </c>
      <c r="N480">
        <v>0.216</v>
      </c>
      <c r="O480">
        <v>21</v>
      </c>
    </row>
    <row r="481" spans="1:15" x14ac:dyDescent="0.35">
      <c r="A481" t="s">
        <v>493</v>
      </c>
      <c r="B481" s="8">
        <v>45032</v>
      </c>
      <c r="C481" s="8">
        <v>45035</v>
      </c>
      <c r="D481" t="s">
        <v>649</v>
      </c>
      <c r="E481" t="s">
        <v>656</v>
      </c>
      <c r="F481" t="s">
        <v>684</v>
      </c>
      <c r="G481" t="s">
        <v>701</v>
      </c>
      <c r="H481" t="s">
        <v>711</v>
      </c>
      <c r="I481" t="s">
        <v>717</v>
      </c>
      <c r="J481" t="s">
        <v>733</v>
      </c>
      <c r="K481" t="s">
        <v>1212</v>
      </c>
      <c r="L481">
        <v>553.61</v>
      </c>
      <c r="M481">
        <v>699.47</v>
      </c>
      <c r="N481">
        <v>0.02</v>
      </c>
      <c r="O481">
        <v>33</v>
      </c>
    </row>
    <row r="482" spans="1:15" x14ac:dyDescent="0.35">
      <c r="A482" t="s">
        <v>494</v>
      </c>
      <c r="B482" s="8">
        <v>45293</v>
      </c>
      <c r="C482" s="8">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5">
      <c r="A483" t="s">
        <v>495</v>
      </c>
      <c r="B483" s="8">
        <v>45538</v>
      </c>
      <c r="C483" s="8">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5">
      <c r="A484" t="s">
        <v>496</v>
      </c>
      <c r="B484" s="8">
        <v>45899</v>
      </c>
      <c r="C484" s="8">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5">
      <c r="A485" t="s">
        <v>497</v>
      </c>
      <c r="B485" s="8">
        <v>45775</v>
      </c>
      <c r="C485" s="8">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5">
      <c r="A486" t="s">
        <v>498</v>
      </c>
      <c r="B486" s="8">
        <v>45148</v>
      </c>
      <c r="C486" s="8">
        <v>45153</v>
      </c>
      <c r="D486" t="s">
        <v>648</v>
      </c>
      <c r="E486" t="s">
        <v>655</v>
      </c>
      <c r="F486" t="s">
        <v>670</v>
      </c>
      <c r="G486" t="s">
        <v>702</v>
      </c>
      <c r="H486" t="s">
        <v>711</v>
      </c>
      <c r="I486" t="s">
        <v>715</v>
      </c>
      <c r="J486" t="s">
        <v>729</v>
      </c>
      <c r="K486" t="s">
        <v>1217</v>
      </c>
      <c r="L486">
        <v>1307.52</v>
      </c>
      <c r="M486">
        <v>1921.65</v>
      </c>
      <c r="N486">
        <v>0.123</v>
      </c>
      <c r="O486">
        <v>13</v>
      </c>
    </row>
    <row r="487" spans="1:15" x14ac:dyDescent="0.35">
      <c r="A487" t="s">
        <v>499</v>
      </c>
      <c r="B487" s="8">
        <v>45634</v>
      </c>
      <c r="C487" s="8">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5">
      <c r="A488" t="s">
        <v>500</v>
      </c>
      <c r="B488" s="8">
        <v>45224</v>
      </c>
      <c r="C488" s="8">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5">
      <c r="A489" t="s">
        <v>501</v>
      </c>
      <c r="B489" s="8">
        <v>45613</v>
      </c>
      <c r="C489" s="8">
        <v>45624</v>
      </c>
      <c r="D489" t="s">
        <v>648</v>
      </c>
      <c r="E489" t="s">
        <v>653</v>
      </c>
      <c r="G489" t="s">
        <v>704</v>
      </c>
      <c r="H489" t="s">
        <v>710</v>
      </c>
      <c r="I489" t="s">
        <v>720</v>
      </c>
      <c r="J489" t="s">
        <v>728</v>
      </c>
      <c r="K489" t="s">
        <v>1220</v>
      </c>
      <c r="L489">
        <v>1008.16</v>
      </c>
      <c r="M489">
        <v>2077.5</v>
      </c>
      <c r="N489">
        <v>7.3999999999999996E-2</v>
      </c>
      <c r="O489">
        <v>15</v>
      </c>
    </row>
    <row r="490" spans="1:15" x14ac:dyDescent="0.35">
      <c r="A490" t="s">
        <v>502</v>
      </c>
      <c r="B490" s="8">
        <v>45424</v>
      </c>
      <c r="C490" s="8">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5">
      <c r="A491" t="s">
        <v>503</v>
      </c>
      <c r="B491" s="8">
        <v>45792</v>
      </c>
      <c r="C491" s="8">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5">
      <c r="A492" t="s">
        <v>504</v>
      </c>
      <c r="B492" s="8">
        <v>45403</v>
      </c>
      <c r="C492" s="8">
        <v>45431</v>
      </c>
      <c r="D492" t="s">
        <v>646</v>
      </c>
      <c r="E492" t="s">
        <v>651</v>
      </c>
      <c r="F492" t="s">
        <v>665</v>
      </c>
      <c r="G492" t="s">
        <v>701</v>
      </c>
      <c r="H492" t="s">
        <v>710</v>
      </c>
      <c r="I492" t="s">
        <v>720</v>
      </c>
      <c r="J492" t="s">
        <v>733</v>
      </c>
      <c r="K492" t="s">
        <v>1223</v>
      </c>
      <c r="L492">
        <v>187.22</v>
      </c>
      <c r="M492">
        <v>309.47000000000003</v>
      </c>
      <c r="N492">
        <v>0</v>
      </c>
      <c r="O492">
        <v>5</v>
      </c>
    </row>
    <row r="493" spans="1:15" x14ac:dyDescent="0.35">
      <c r="A493" t="s">
        <v>505</v>
      </c>
      <c r="B493" s="8">
        <v>45523</v>
      </c>
      <c r="C493" s="8">
        <v>45542</v>
      </c>
      <c r="D493" t="s">
        <v>649</v>
      </c>
      <c r="E493" t="s">
        <v>657</v>
      </c>
      <c r="F493" t="s">
        <v>679</v>
      </c>
      <c r="G493" t="s">
        <v>701</v>
      </c>
      <c r="H493" t="s">
        <v>711</v>
      </c>
      <c r="I493" t="s">
        <v>713</v>
      </c>
      <c r="J493" t="s">
        <v>727</v>
      </c>
      <c r="K493" t="s">
        <v>1224</v>
      </c>
      <c r="L493">
        <v>297.58999999999997</v>
      </c>
      <c r="M493">
        <v>666.41</v>
      </c>
      <c r="N493">
        <v>0</v>
      </c>
      <c r="O493">
        <v>10</v>
      </c>
    </row>
    <row r="494" spans="1:15" x14ac:dyDescent="0.35">
      <c r="A494" t="s">
        <v>506</v>
      </c>
      <c r="B494" s="8">
        <v>45861</v>
      </c>
      <c r="C494" s="8">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5">
      <c r="A495" t="s">
        <v>507</v>
      </c>
      <c r="B495" s="8">
        <v>45352</v>
      </c>
      <c r="C495" s="8">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5">
      <c r="A496" t="s">
        <v>508</v>
      </c>
      <c r="B496" s="8">
        <v>45439</v>
      </c>
      <c r="C496" s="8">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5">
      <c r="A497" t="s">
        <v>509</v>
      </c>
      <c r="B497" s="8">
        <v>45508</v>
      </c>
      <c r="C497" s="8">
        <v>45521</v>
      </c>
      <c r="D497" t="s">
        <v>648</v>
      </c>
      <c r="E497" t="s">
        <v>660</v>
      </c>
      <c r="F497" t="s">
        <v>697</v>
      </c>
      <c r="G497" t="s">
        <v>704</v>
      </c>
      <c r="H497" t="s">
        <v>707</v>
      </c>
      <c r="I497" t="s">
        <v>726</v>
      </c>
      <c r="J497" t="s">
        <v>732</v>
      </c>
      <c r="K497" t="s">
        <v>1228</v>
      </c>
      <c r="L497">
        <v>352.79</v>
      </c>
      <c r="M497">
        <v>754.22</v>
      </c>
      <c r="N497">
        <v>0.113</v>
      </c>
      <c r="O497">
        <v>7</v>
      </c>
    </row>
    <row r="498" spans="1:15" x14ac:dyDescent="0.35">
      <c r="A498" t="s">
        <v>510</v>
      </c>
      <c r="B498" s="8">
        <v>45097</v>
      </c>
      <c r="C498" s="8">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5">
      <c r="A499" t="s">
        <v>511</v>
      </c>
      <c r="B499" s="8">
        <v>45544</v>
      </c>
      <c r="C499" s="8">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5">
      <c r="A500" t="s">
        <v>512</v>
      </c>
      <c r="B500" s="8">
        <v>45224</v>
      </c>
      <c r="C500" s="8">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5">
      <c r="A501" t="s">
        <v>513</v>
      </c>
      <c r="B501" s="8">
        <v>45908</v>
      </c>
      <c r="C501" s="8">
        <v>45935</v>
      </c>
      <c r="D501" t="s">
        <v>648</v>
      </c>
      <c r="E501" t="s">
        <v>655</v>
      </c>
      <c r="F501" t="s">
        <v>692</v>
      </c>
      <c r="G501" t="s">
        <v>702</v>
      </c>
      <c r="H501" t="s">
        <v>708</v>
      </c>
      <c r="I501" t="s">
        <v>712</v>
      </c>
      <c r="J501" t="s">
        <v>732</v>
      </c>
      <c r="K501" t="s">
        <v>1232</v>
      </c>
      <c r="L501">
        <v>660.78</v>
      </c>
      <c r="M501">
        <v>1630.39</v>
      </c>
      <c r="N501">
        <v>0.218</v>
      </c>
      <c r="O501">
        <v>13</v>
      </c>
    </row>
    <row r="502" spans="1:15" x14ac:dyDescent="0.35">
      <c r="A502" t="s">
        <v>514</v>
      </c>
      <c r="B502" s="8">
        <v>45048</v>
      </c>
      <c r="C502" s="8">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5">
      <c r="A503" t="s">
        <v>515</v>
      </c>
      <c r="B503" s="8">
        <v>45408</v>
      </c>
      <c r="C503" s="8">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5">
      <c r="A504" t="s">
        <v>516</v>
      </c>
      <c r="B504" s="8">
        <v>44980</v>
      </c>
      <c r="C504" s="8">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5">
      <c r="A505" t="s">
        <v>517</v>
      </c>
      <c r="B505" s="8">
        <v>45740</v>
      </c>
      <c r="C505" s="8">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5">
      <c r="A506" t="s">
        <v>518</v>
      </c>
      <c r="B506" s="8">
        <v>45726</v>
      </c>
      <c r="C506" s="8">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5">
      <c r="A507" t="s">
        <v>519</v>
      </c>
      <c r="B507" s="8">
        <v>45387</v>
      </c>
      <c r="C507" s="8">
        <v>45391</v>
      </c>
      <c r="D507" t="s">
        <v>646</v>
      </c>
      <c r="E507" t="s">
        <v>651</v>
      </c>
      <c r="F507" t="s">
        <v>665</v>
      </c>
      <c r="G507" t="s">
        <v>703</v>
      </c>
      <c r="H507" t="s">
        <v>711</v>
      </c>
      <c r="I507" t="s">
        <v>723</v>
      </c>
      <c r="J507" t="s">
        <v>727</v>
      </c>
      <c r="K507" t="s">
        <v>1238</v>
      </c>
      <c r="L507">
        <v>395.07</v>
      </c>
      <c r="M507">
        <v>970.27</v>
      </c>
      <c r="N507">
        <v>0.123</v>
      </c>
      <c r="O507">
        <v>38</v>
      </c>
    </row>
    <row r="508" spans="1:15" x14ac:dyDescent="0.35">
      <c r="A508" t="s">
        <v>520</v>
      </c>
      <c r="B508" s="8">
        <v>45774</v>
      </c>
      <c r="C508" s="8">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5">
      <c r="A509" t="s">
        <v>521</v>
      </c>
      <c r="B509" s="8">
        <v>45589</v>
      </c>
      <c r="C509" s="8">
        <v>45593</v>
      </c>
      <c r="D509" t="s">
        <v>647</v>
      </c>
      <c r="E509" t="s">
        <v>659</v>
      </c>
      <c r="F509" t="s">
        <v>685</v>
      </c>
      <c r="G509" t="s">
        <v>705</v>
      </c>
      <c r="H509" t="s">
        <v>710</v>
      </c>
      <c r="I509" t="s">
        <v>714</v>
      </c>
      <c r="J509" t="s">
        <v>729</v>
      </c>
      <c r="K509" t="s">
        <v>1240</v>
      </c>
      <c r="L509">
        <v>1331.77</v>
      </c>
      <c r="M509">
        <v>2606.11</v>
      </c>
      <c r="N509">
        <v>0.02</v>
      </c>
      <c r="O509">
        <v>6</v>
      </c>
    </row>
    <row r="510" spans="1:15" x14ac:dyDescent="0.35">
      <c r="A510" t="s">
        <v>522</v>
      </c>
      <c r="B510" s="8">
        <v>45029</v>
      </c>
      <c r="C510" s="8">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5">
      <c r="A511" t="s">
        <v>523</v>
      </c>
      <c r="B511" s="8">
        <v>45608</v>
      </c>
      <c r="C511" s="8">
        <v>45617</v>
      </c>
      <c r="D511" t="s">
        <v>647</v>
      </c>
      <c r="E511" t="s">
        <v>654</v>
      </c>
      <c r="F511" t="s">
        <v>691</v>
      </c>
      <c r="G511" t="s">
        <v>701</v>
      </c>
      <c r="H511" t="s">
        <v>711</v>
      </c>
      <c r="I511" t="s">
        <v>722</v>
      </c>
      <c r="J511" t="s">
        <v>731</v>
      </c>
      <c r="K511" t="s">
        <v>1242</v>
      </c>
      <c r="L511">
        <v>903.41</v>
      </c>
      <c r="M511">
        <v>1860.41</v>
      </c>
      <c r="N511">
        <v>0.108</v>
      </c>
      <c r="O511">
        <v>5</v>
      </c>
    </row>
    <row r="512" spans="1:15" x14ac:dyDescent="0.35">
      <c r="A512" t="s">
        <v>524</v>
      </c>
      <c r="B512" s="8">
        <v>45056</v>
      </c>
      <c r="C512" s="8">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5">
      <c r="A513" t="s">
        <v>525</v>
      </c>
      <c r="B513" s="8">
        <v>45353</v>
      </c>
      <c r="C513" s="8">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5">
      <c r="A514" t="s">
        <v>526</v>
      </c>
      <c r="B514" s="8">
        <v>45575</v>
      </c>
      <c r="C514" s="8">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5">
      <c r="A515" t="s">
        <v>527</v>
      </c>
      <c r="B515" s="8">
        <v>45078</v>
      </c>
      <c r="C515" s="8">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5">
      <c r="A516" t="s">
        <v>528</v>
      </c>
      <c r="B516" s="8">
        <v>45661</v>
      </c>
      <c r="C516" s="8">
        <v>45662</v>
      </c>
      <c r="D516" t="s">
        <v>647</v>
      </c>
      <c r="E516" t="s">
        <v>654</v>
      </c>
      <c r="F516" t="s">
        <v>680</v>
      </c>
      <c r="G516" t="s">
        <v>702</v>
      </c>
      <c r="H516" t="s">
        <v>707</v>
      </c>
      <c r="I516" t="s">
        <v>714</v>
      </c>
      <c r="J516" t="s">
        <v>727</v>
      </c>
      <c r="K516" t="s">
        <v>1247</v>
      </c>
      <c r="L516">
        <v>1428.33</v>
      </c>
      <c r="M516">
        <v>3028.05</v>
      </c>
      <c r="N516">
        <v>0</v>
      </c>
      <c r="O516">
        <v>11</v>
      </c>
    </row>
    <row r="517" spans="1:15" x14ac:dyDescent="0.35">
      <c r="A517" t="s">
        <v>529</v>
      </c>
      <c r="B517" s="8">
        <v>45874</v>
      </c>
      <c r="C517" s="8">
        <v>45897</v>
      </c>
      <c r="D517" t="s">
        <v>647</v>
      </c>
      <c r="E517" t="s">
        <v>654</v>
      </c>
      <c r="F517" t="s">
        <v>691</v>
      </c>
      <c r="G517" t="s">
        <v>703</v>
      </c>
      <c r="H517" t="s">
        <v>710</v>
      </c>
      <c r="I517" t="s">
        <v>725</v>
      </c>
      <c r="J517" t="s">
        <v>731</v>
      </c>
      <c r="K517" t="s">
        <v>1248</v>
      </c>
      <c r="L517">
        <v>638.54</v>
      </c>
      <c r="M517">
        <v>987.24</v>
      </c>
      <c r="N517">
        <v>0</v>
      </c>
      <c r="O517">
        <v>11</v>
      </c>
    </row>
    <row r="518" spans="1:15" x14ac:dyDescent="0.35">
      <c r="A518" t="s">
        <v>530</v>
      </c>
      <c r="B518" s="8">
        <v>45199</v>
      </c>
      <c r="C518" s="8">
        <v>45229</v>
      </c>
      <c r="D518" t="s">
        <v>647</v>
      </c>
      <c r="E518" t="s">
        <v>652</v>
      </c>
      <c r="F518" t="s">
        <v>689</v>
      </c>
      <c r="G518" t="s">
        <v>706</v>
      </c>
      <c r="H518" t="s">
        <v>708</v>
      </c>
      <c r="I518" t="s">
        <v>726</v>
      </c>
      <c r="J518" t="s">
        <v>728</v>
      </c>
      <c r="K518" t="s">
        <v>1249</v>
      </c>
      <c r="L518">
        <v>649.13</v>
      </c>
      <c r="M518">
        <v>975.43</v>
      </c>
      <c r="N518">
        <v>0.157</v>
      </c>
      <c r="O518">
        <v>27</v>
      </c>
    </row>
    <row r="519" spans="1:15" x14ac:dyDescent="0.35">
      <c r="A519" t="s">
        <v>531</v>
      </c>
      <c r="B519" s="8">
        <v>45794</v>
      </c>
      <c r="C519" s="8">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5">
      <c r="A520" t="s">
        <v>532</v>
      </c>
      <c r="B520" s="8">
        <v>45413</v>
      </c>
      <c r="C520" s="8">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5">
      <c r="A521" t="s">
        <v>533</v>
      </c>
      <c r="B521" s="8">
        <v>45047</v>
      </c>
      <c r="C521" s="8">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5">
      <c r="A522" t="s">
        <v>534</v>
      </c>
      <c r="B522" s="8">
        <v>45482</v>
      </c>
      <c r="C522" s="8">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5">
      <c r="A523" t="s">
        <v>535</v>
      </c>
      <c r="B523" s="8">
        <v>45056</v>
      </c>
      <c r="C523" s="8">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5">
      <c r="A524" t="s">
        <v>536</v>
      </c>
      <c r="B524" s="8">
        <v>45482</v>
      </c>
      <c r="C524" s="8">
        <v>45485</v>
      </c>
      <c r="D524" t="s">
        <v>647</v>
      </c>
      <c r="E524" t="s">
        <v>659</v>
      </c>
      <c r="F524" t="s">
        <v>685</v>
      </c>
      <c r="G524" t="s">
        <v>705</v>
      </c>
      <c r="H524" t="s">
        <v>707</v>
      </c>
      <c r="I524" t="s">
        <v>726</v>
      </c>
      <c r="J524" t="s">
        <v>733</v>
      </c>
      <c r="K524" t="s">
        <v>1255</v>
      </c>
      <c r="L524">
        <v>748.39</v>
      </c>
      <c r="M524">
        <v>979.42</v>
      </c>
      <c r="N524">
        <v>0</v>
      </c>
      <c r="O524">
        <v>23</v>
      </c>
    </row>
    <row r="525" spans="1:15" x14ac:dyDescent="0.35">
      <c r="A525" t="s">
        <v>537</v>
      </c>
      <c r="B525" s="8">
        <v>45406</v>
      </c>
      <c r="C525" s="8">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5">
      <c r="A526" t="s">
        <v>538</v>
      </c>
      <c r="B526" s="8">
        <v>45304</v>
      </c>
      <c r="C526" s="8">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5">
      <c r="A527" t="s">
        <v>539</v>
      </c>
      <c r="B527" s="8">
        <v>45398</v>
      </c>
      <c r="C527" s="8">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5">
      <c r="A528" t="s">
        <v>540</v>
      </c>
      <c r="B528" s="8">
        <v>45695</v>
      </c>
      <c r="C528" s="8">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5">
      <c r="A529" t="s">
        <v>541</v>
      </c>
      <c r="B529" s="8">
        <v>44938</v>
      </c>
      <c r="C529" s="8">
        <v>44952</v>
      </c>
      <c r="D529" t="s">
        <v>647</v>
      </c>
      <c r="E529" t="s">
        <v>659</v>
      </c>
      <c r="F529" t="s">
        <v>676</v>
      </c>
      <c r="G529" t="s">
        <v>703</v>
      </c>
      <c r="H529" t="s">
        <v>707</v>
      </c>
      <c r="I529" t="s">
        <v>724</v>
      </c>
      <c r="J529" t="s">
        <v>728</v>
      </c>
      <c r="K529" t="s">
        <v>1260</v>
      </c>
      <c r="L529">
        <v>1083.0899999999999</v>
      </c>
      <c r="M529">
        <v>1425.87</v>
      </c>
      <c r="N529">
        <v>0</v>
      </c>
      <c r="O529">
        <v>8</v>
      </c>
    </row>
    <row r="530" spans="1:15" x14ac:dyDescent="0.35">
      <c r="A530" t="s">
        <v>542</v>
      </c>
      <c r="B530" s="8">
        <v>45448</v>
      </c>
      <c r="C530" s="8">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5">
      <c r="A531" t="s">
        <v>543</v>
      </c>
      <c r="B531" s="8">
        <v>45162</v>
      </c>
      <c r="C531" s="8">
        <v>45189</v>
      </c>
      <c r="D531" t="s">
        <v>646</v>
      </c>
      <c r="E531" t="s">
        <v>661</v>
      </c>
      <c r="F531" t="s">
        <v>687</v>
      </c>
      <c r="G531" t="s">
        <v>705</v>
      </c>
      <c r="H531" t="s">
        <v>709</v>
      </c>
      <c r="I531" t="s">
        <v>724</v>
      </c>
      <c r="J531" t="s">
        <v>728</v>
      </c>
      <c r="K531" t="s">
        <v>1262</v>
      </c>
      <c r="L531">
        <v>1399.64</v>
      </c>
      <c r="M531">
        <v>3342.11</v>
      </c>
      <c r="N531">
        <v>0</v>
      </c>
      <c r="O531">
        <v>10</v>
      </c>
    </row>
    <row r="532" spans="1:15" x14ac:dyDescent="0.35">
      <c r="A532" t="s">
        <v>544</v>
      </c>
      <c r="B532" s="8">
        <v>45316</v>
      </c>
      <c r="C532" s="8">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5">
      <c r="A533" t="s">
        <v>545</v>
      </c>
      <c r="B533" s="8">
        <v>45727</v>
      </c>
      <c r="C533" s="8">
        <v>45742</v>
      </c>
      <c r="D533" t="s">
        <v>649</v>
      </c>
      <c r="E533" t="s">
        <v>656</v>
      </c>
      <c r="F533" t="s">
        <v>671</v>
      </c>
      <c r="G533" t="s">
        <v>705</v>
      </c>
      <c r="H533" t="s">
        <v>708</v>
      </c>
      <c r="I533" t="s">
        <v>714</v>
      </c>
      <c r="J533" t="s">
        <v>730</v>
      </c>
      <c r="K533" t="s">
        <v>1264</v>
      </c>
      <c r="L533">
        <v>116.97</v>
      </c>
      <c r="M533">
        <v>140.82</v>
      </c>
      <c r="N533">
        <v>0.122</v>
      </c>
      <c r="O533">
        <v>5</v>
      </c>
    </row>
    <row r="534" spans="1:15" x14ac:dyDescent="0.35">
      <c r="A534" t="s">
        <v>546</v>
      </c>
      <c r="B534" s="8">
        <v>45769</v>
      </c>
      <c r="C534" s="8">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5">
      <c r="A535" t="s">
        <v>547</v>
      </c>
      <c r="B535" s="8">
        <v>45155</v>
      </c>
      <c r="C535" s="8">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5">
      <c r="A536" t="s">
        <v>548</v>
      </c>
      <c r="B536" s="8">
        <v>45832</v>
      </c>
      <c r="C536" s="8">
        <v>45852</v>
      </c>
      <c r="D536" t="s">
        <v>646</v>
      </c>
      <c r="E536" t="s">
        <v>661</v>
      </c>
      <c r="F536" t="s">
        <v>682</v>
      </c>
      <c r="G536" t="s">
        <v>706</v>
      </c>
      <c r="H536" t="s">
        <v>709</v>
      </c>
      <c r="I536" t="s">
        <v>713</v>
      </c>
      <c r="J536" t="s">
        <v>731</v>
      </c>
      <c r="K536" t="s">
        <v>1267</v>
      </c>
      <c r="L536">
        <v>1151.06</v>
      </c>
      <c r="M536">
        <v>2821.36</v>
      </c>
      <c r="N536">
        <v>0.248</v>
      </c>
      <c r="O536">
        <v>20</v>
      </c>
    </row>
    <row r="537" spans="1:15" x14ac:dyDescent="0.35">
      <c r="A537" t="s">
        <v>549</v>
      </c>
      <c r="B537" s="8">
        <v>45667</v>
      </c>
      <c r="C537" s="8">
        <v>45694</v>
      </c>
      <c r="D537" t="s">
        <v>648</v>
      </c>
      <c r="E537" t="s">
        <v>655</v>
      </c>
      <c r="F537" t="s">
        <v>672</v>
      </c>
      <c r="G537" t="s">
        <v>703</v>
      </c>
      <c r="H537" t="s">
        <v>707</v>
      </c>
      <c r="I537" t="s">
        <v>717</v>
      </c>
      <c r="J537" t="s">
        <v>731</v>
      </c>
      <c r="K537" t="s">
        <v>1268</v>
      </c>
      <c r="L537">
        <v>725.62</v>
      </c>
      <c r="M537">
        <v>1559.19</v>
      </c>
      <c r="N537">
        <v>0.19</v>
      </c>
      <c r="O537">
        <v>12</v>
      </c>
    </row>
    <row r="538" spans="1:15" x14ac:dyDescent="0.35">
      <c r="A538" t="s">
        <v>550</v>
      </c>
      <c r="B538" s="8">
        <v>45108</v>
      </c>
      <c r="C538" s="8">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5">
      <c r="A539" t="s">
        <v>551</v>
      </c>
      <c r="B539" s="8">
        <v>45520</v>
      </c>
      <c r="C539" s="8">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5">
      <c r="A540" t="s">
        <v>552</v>
      </c>
      <c r="B540" s="8">
        <v>45114</v>
      </c>
      <c r="C540" s="8">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5">
      <c r="A541" t="s">
        <v>553</v>
      </c>
      <c r="B541" s="8">
        <v>45288</v>
      </c>
      <c r="C541" s="8">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5">
      <c r="A542" t="s">
        <v>554</v>
      </c>
      <c r="B542" s="8">
        <v>44952</v>
      </c>
      <c r="C542" s="8">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5">
      <c r="A543" t="s">
        <v>555</v>
      </c>
      <c r="B543" s="8">
        <v>45115</v>
      </c>
      <c r="C543" s="8">
        <v>45116</v>
      </c>
      <c r="D543" t="s">
        <v>646</v>
      </c>
      <c r="E543" t="s">
        <v>650</v>
      </c>
      <c r="F543" t="s">
        <v>664</v>
      </c>
      <c r="G543" t="s">
        <v>704</v>
      </c>
      <c r="H543" t="s">
        <v>708</v>
      </c>
      <c r="I543" t="s">
        <v>726</v>
      </c>
      <c r="J543" t="s">
        <v>731</v>
      </c>
      <c r="K543" t="s">
        <v>1273</v>
      </c>
      <c r="L543">
        <v>1258.72</v>
      </c>
      <c r="M543">
        <v>2797.41</v>
      </c>
      <c r="N543">
        <v>0</v>
      </c>
      <c r="O543">
        <v>7</v>
      </c>
    </row>
    <row r="544" spans="1:15" x14ac:dyDescent="0.35">
      <c r="A544" t="s">
        <v>556</v>
      </c>
      <c r="B544" s="8">
        <v>45450</v>
      </c>
      <c r="C544" s="8">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5">
      <c r="A545" t="s">
        <v>557</v>
      </c>
      <c r="B545" s="8">
        <v>44968</v>
      </c>
      <c r="C545" s="8">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5">
      <c r="A546" t="s">
        <v>558</v>
      </c>
      <c r="B546" s="8">
        <v>45108</v>
      </c>
      <c r="C546" s="8">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5">
      <c r="A547" t="s">
        <v>559</v>
      </c>
      <c r="B547" s="8">
        <v>45889</v>
      </c>
      <c r="C547" s="8">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5">
      <c r="A548" t="s">
        <v>560</v>
      </c>
      <c r="B548" s="8">
        <v>45355</v>
      </c>
      <c r="C548" s="8">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5">
      <c r="A549" t="s">
        <v>561</v>
      </c>
      <c r="B549" s="8">
        <v>45177</v>
      </c>
      <c r="C549" s="8">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5">
      <c r="A550" t="s">
        <v>562</v>
      </c>
      <c r="B550" s="8">
        <v>44985</v>
      </c>
      <c r="C550" s="8">
        <v>44991</v>
      </c>
      <c r="D550" t="s">
        <v>649</v>
      </c>
      <c r="E550" t="s">
        <v>656</v>
      </c>
      <c r="F550" t="s">
        <v>698</v>
      </c>
      <c r="G550" t="s">
        <v>705</v>
      </c>
      <c r="H550" t="s">
        <v>709</v>
      </c>
      <c r="I550" t="s">
        <v>726</v>
      </c>
      <c r="J550" t="s">
        <v>728</v>
      </c>
      <c r="K550" t="s">
        <v>1280</v>
      </c>
      <c r="L550">
        <v>880.02</v>
      </c>
      <c r="M550">
        <v>1251.21</v>
      </c>
      <c r="N550">
        <v>0.123</v>
      </c>
      <c r="O550">
        <v>29</v>
      </c>
    </row>
    <row r="551" spans="1:15" x14ac:dyDescent="0.35">
      <c r="A551" t="s">
        <v>563</v>
      </c>
      <c r="B551" s="8">
        <v>45486</v>
      </c>
      <c r="C551" s="8">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5">
      <c r="A552" t="s">
        <v>564</v>
      </c>
      <c r="B552" s="8">
        <v>45633</v>
      </c>
      <c r="C552" s="8">
        <v>45652</v>
      </c>
      <c r="D552" t="s">
        <v>649</v>
      </c>
      <c r="E552" t="s">
        <v>658</v>
      </c>
      <c r="F552" t="s">
        <v>683</v>
      </c>
      <c r="G552" t="s">
        <v>706</v>
      </c>
      <c r="H552" t="s">
        <v>708</v>
      </c>
      <c r="I552" t="s">
        <v>726</v>
      </c>
      <c r="J552" t="s">
        <v>729</v>
      </c>
      <c r="K552" t="s">
        <v>1282</v>
      </c>
      <c r="L552">
        <v>1035.24</v>
      </c>
      <c r="M552">
        <v>2383.41</v>
      </c>
      <c r="N552">
        <v>0.17</v>
      </c>
      <c r="O552">
        <v>15</v>
      </c>
    </row>
    <row r="553" spans="1:15" x14ac:dyDescent="0.35">
      <c r="A553" t="s">
        <v>565</v>
      </c>
      <c r="B553" s="8">
        <v>45875</v>
      </c>
      <c r="C553" s="8">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5">
      <c r="A554" t="s">
        <v>566</v>
      </c>
      <c r="B554" s="8">
        <v>44988</v>
      </c>
      <c r="C554" s="8">
        <v>45005</v>
      </c>
      <c r="D554" t="s">
        <v>647</v>
      </c>
      <c r="E554" t="s">
        <v>652</v>
      </c>
      <c r="F554" t="s">
        <v>694</v>
      </c>
      <c r="G554" t="s">
        <v>705</v>
      </c>
      <c r="H554" t="s">
        <v>708</v>
      </c>
      <c r="I554" t="s">
        <v>726</v>
      </c>
      <c r="J554" t="s">
        <v>729</v>
      </c>
      <c r="K554" t="s">
        <v>1284</v>
      </c>
      <c r="L554">
        <v>1171.17</v>
      </c>
      <c r="M554">
        <v>2030.64</v>
      </c>
      <c r="N554">
        <v>0.157</v>
      </c>
      <c r="O554">
        <v>11</v>
      </c>
    </row>
    <row r="555" spans="1:15" x14ac:dyDescent="0.35">
      <c r="A555" t="s">
        <v>567</v>
      </c>
      <c r="B555" s="8">
        <v>45704</v>
      </c>
      <c r="C555" s="8">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5">
      <c r="A556" t="s">
        <v>568</v>
      </c>
      <c r="B556" s="8">
        <v>45703</v>
      </c>
      <c r="C556" s="8">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5">
      <c r="A557" t="s">
        <v>569</v>
      </c>
      <c r="B557" s="8">
        <v>45535</v>
      </c>
      <c r="C557" s="8">
        <v>45561</v>
      </c>
      <c r="D557" t="s">
        <v>647</v>
      </c>
      <c r="E557" t="s">
        <v>652</v>
      </c>
      <c r="F557" t="s">
        <v>689</v>
      </c>
      <c r="G557" t="s">
        <v>702</v>
      </c>
      <c r="H557" t="s">
        <v>708</v>
      </c>
      <c r="I557" t="s">
        <v>714</v>
      </c>
      <c r="J557" t="s">
        <v>730</v>
      </c>
      <c r="K557" t="s">
        <v>1287</v>
      </c>
      <c r="L557">
        <v>1189.03</v>
      </c>
      <c r="M557">
        <v>2949.62</v>
      </c>
      <c r="N557">
        <v>0.125</v>
      </c>
      <c r="O557">
        <v>13</v>
      </c>
    </row>
    <row r="558" spans="1:15" x14ac:dyDescent="0.35">
      <c r="A558" t="s">
        <v>570</v>
      </c>
      <c r="B558" s="8">
        <v>45053</v>
      </c>
      <c r="C558" s="8">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5">
      <c r="A559" t="s">
        <v>571</v>
      </c>
      <c r="B559" s="8">
        <v>45791</v>
      </c>
      <c r="C559" s="8">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5">
      <c r="A560" t="s">
        <v>572</v>
      </c>
      <c r="B560" s="8">
        <v>45362</v>
      </c>
      <c r="C560" s="8">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5">
      <c r="A561" t="s">
        <v>573</v>
      </c>
      <c r="B561" s="8">
        <v>45430</v>
      </c>
      <c r="C561" s="8">
        <v>45434</v>
      </c>
      <c r="D561" t="s">
        <v>646</v>
      </c>
      <c r="E561" t="s">
        <v>650</v>
      </c>
      <c r="F561" t="s">
        <v>664</v>
      </c>
      <c r="G561" t="s">
        <v>701</v>
      </c>
      <c r="H561" t="s">
        <v>711</v>
      </c>
      <c r="I561" t="s">
        <v>722</v>
      </c>
      <c r="J561" t="s">
        <v>733</v>
      </c>
      <c r="K561" t="s">
        <v>1291</v>
      </c>
      <c r="L561">
        <v>857.42</v>
      </c>
      <c r="M561">
        <v>1658.92</v>
      </c>
      <c r="N561">
        <v>0.122</v>
      </c>
      <c r="O561">
        <v>9</v>
      </c>
    </row>
    <row r="562" spans="1:15" x14ac:dyDescent="0.35">
      <c r="A562" t="s">
        <v>574</v>
      </c>
      <c r="B562" s="8">
        <v>45299</v>
      </c>
      <c r="C562" s="8">
        <v>45303</v>
      </c>
      <c r="D562" t="s">
        <v>647</v>
      </c>
      <c r="E562" t="s">
        <v>654</v>
      </c>
      <c r="F562" t="s">
        <v>668</v>
      </c>
      <c r="G562" t="s">
        <v>701</v>
      </c>
      <c r="H562" t="s">
        <v>711</v>
      </c>
      <c r="I562" t="s">
        <v>718</v>
      </c>
      <c r="J562" t="s">
        <v>728</v>
      </c>
      <c r="K562" t="s">
        <v>1292</v>
      </c>
      <c r="L562">
        <v>802.32</v>
      </c>
      <c r="M562">
        <v>602.34</v>
      </c>
      <c r="N562">
        <v>0.12</v>
      </c>
      <c r="O562">
        <v>25</v>
      </c>
    </row>
    <row r="563" spans="1:15" x14ac:dyDescent="0.35">
      <c r="A563" t="s">
        <v>575</v>
      </c>
      <c r="B563" s="8">
        <v>45590</v>
      </c>
      <c r="C563" s="8">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5">
      <c r="A564" t="s">
        <v>576</v>
      </c>
      <c r="B564" s="8">
        <v>45626</v>
      </c>
      <c r="C564" s="8">
        <v>45645</v>
      </c>
      <c r="D564" t="s">
        <v>646</v>
      </c>
      <c r="E564" t="s">
        <v>650</v>
      </c>
      <c r="F564" t="s">
        <v>662</v>
      </c>
      <c r="G564" t="s">
        <v>701</v>
      </c>
      <c r="H564" t="s">
        <v>708</v>
      </c>
      <c r="I564" t="s">
        <v>716</v>
      </c>
      <c r="J564" t="s">
        <v>730</v>
      </c>
      <c r="K564" t="s">
        <v>1294</v>
      </c>
      <c r="L564">
        <v>1195.98</v>
      </c>
      <c r="M564">
        <v>1841.9</v>
      </c>
      <c r="N564">
        <v>5.5E-2</v>
      </c>
      <c r="O564">
        <v>19</v>
      </c>
    </row>
    <row r="565" spans="1:15" x14ac:dyDescent="0.35">
      <c r="A565" t="s">
        <v>577</v>
      </c>
      <c r="B565" s="8">
        <v>45029</v>
      </c>
      <c r="C565" s="8">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5">
      <c r="A566" t="s">
        <v>578</v>
      </c>
      <c r="B566" s="8">
        <v>45692</v>
      </c>
      <c r="C566" s="8">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5">
      <c r="A567" t="s">
        <v>579</v>
      </c>
      <c r="B567" s="8">
        <v>45315</v>
      </c>
      <c r="C567" s="8">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5">
      <c r="A568" t="s">
        <v>580</v>
      </c>
      <c r="B568" s="8">
        <v>45330</v>
      </c>
      <c r="C568" s="8">
        <v>45331</v>
      </c>
      <c r="D568" t="s">
        <v>646</v>
      </c>
      <c r="E568" t="s">
        <v>650</v>
      </c>
      <c r="F568" t="s">
        <v>675</v>
      </c>
      <c r="G568" t="s">
        <v>701</v>
      </c>
      <c r="H568" t="s">
        <v>711</v>
      </c>
      <c r="I568" t="s">
        <v>721</v>
      </c>
      <c r="J568" t="s">
        <v>727</v>
      </c>
      <c r="K568" t="s">
        <v>1298</v>
      </c>
      <c r="L568">
        <v>1233.52</v>
      </c>
      <c r="M568">
        <v>1543.76</v>
      </c>
      <c r="N568">
        <v>0.126</v>
      </c>
      <c r="O568">
        <v>13</v>
      </c>
    </row>
    <row r="569" spans="1:15" x14ac:dyDescent="0.35">
      <c r="A569" t="s">
        <v>581</v>
      </c>
      <c r="B569" s="8">
        <v>45834</v>
      </c>
      <c r="C569" s="8">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5">
      <c r="A570" t="s">
        <v>582</v>
      </c>
      <c r="B570" s="8">
        <v>45600</v>
      </c>
      <c r="C570" s="8">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5">
      <c r="A571" t="s">
        <v>583</v>
      </c>
      <c r="B571" s="8">
        <v>45342</v>
      </c>
      <c r="C571" s="8">
        <v>45342</v>
      </c>
      <c r="D571" t="s">
        <v>648</v>
      </c>
      <c r="E571" t="s">
        <v>660</v>
      </c>
      <c r="F571" t="s">
        <v>700</v>
      </c>
      <c r="G571" t="s">
        <v>706</v>
      </c>
      <c r="H571" t="s">
        <v>708</v>
      </c>
      <c r="I571" t="s">
        <v>712</v>
      </c>
      <c r="J571" t="s">
        <v>729</v>
      </c>
      <c r="K571" t="s">
        <v>1301</v>
      </c>
      <c r="L571">
        <v>1407.05</v>
      </c>
      <c r="M571">
        <v>2858.93</v>
      </c>
      <c r="N571">
        <v>0</v>
      </c>
      <c r="O571">
        <v>12</v>
      </c>
    </row>
    <row r="572" spans="1:15" x14ac:dyDescent="0.35">
      <c r="A572" t="s">
        <v>584</v>
      </c>
      <c r="B572" s="8">
        <v>45760</v>
      </c>
      <c r="C572" s="8">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5">
      <c r="A573" t="s">
        <v>585</v>
      </c>
      <c r="B573" s="8">
        <v>45078</v>
      </c>
      <c r="C573" s="8">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5">
      <c r="A574" t="s">
        <v>586</v>
      </c>
      <c r="B574" s="8">
        <v>45740</v>
      </c>
      <c r="C574" s="8">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5">
      <c r="A575" t="s">
        <v>587</v>
      </c>
      <c r="B575" s="8">
        <v>45293</v>
      </c>
      <c r="C575" s="8">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5">
      <c r="A576" t="s">
        <v>588</v>
      </c>
      <c r="B576" s="8">
        <v>45279</v>
      </c>
      <c r="C576" s="8">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5">
      <c r="A577" t="s">
        <v>589</v>
      </c>
      <c r="B577" s="8">
        <v>45042</v>
      </c>
      <c r="C577" s="8">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5">
      <c r="A578" t="s">
        <v>590</v>
      </c>
      <c r="B578" s="8">
        <v>45872</v>
      </c>
      <c r="C578" s="8">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5">
      <c r="A579" t="s">
        <v>591</v>
      </c>
      <c r="B579" s="8">
        <v>45140</v>
      </c>
      <c r="C579" s="8">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5">
      <c r="A580" t="s">
        <v>592</v>
      </c>
      <c r="B580" s="8">
        <v>45092</v>
      </c>
      <c r="C580" s="8">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5">
      <c r="A581" t="s">
        <v>593</v>
      </c>
      <c r="B581" s="8">
        <v>45607</v>
      </c>
      <c r="C581" s="8">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5">
      <c r="A582" t="s">
        <v>594</v>
      </c>
      <c r="B582" s="8">
        <v>45849</v>
      </c>
      <c r="C582" s="8">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5">
      <c r="A583" t="s">
        <v>595</v>
      </c>
      <c r="B583" s="8">
        <v>45080</v>
      </c>
      <c r="C583" s="8">
        <v>45108</v>
      </c>
      <c r="D583" t="s">
        <v>648</v>
      </c>
      <c r="E583" t="s">
        <v>655</v>
      </c>
      <c r="F583" t="s">
        <v>672</v>
      </c>
      <c r="G583" t="s">
        <v>705</v>
      </c>
      <c r="H583" t="s">
        <v>709</v>
      </c>
      <c r="I583" t="s">
        <v>720</v>
      </c>
      <c r="J583" t="s">
        <v>727</v>
      </c>
      <c r="K583" t="s">
        <v>1313</v>
      </c>
      <c r="L583">
        <v>860.4</v>
      </c>
      <c r="M583">
        <v>2066.6</v>
      </c>
      <c r="N583">
        <v>0.01</v>
      </c>
      <c r="O583">
        <v>3</v>
      </c>
    </row>
    <row r="584" spans="1:15" x14ac:dyDescent="0.35">
      <c r="A584" t="s">
        <v>596</v>
      </c>
      <c r="B584" s="8">
        <v>44955</v>
      </c>
      <c r="C584" s="8">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5">
      <c r="A585" t="s">
        <v>597</v>
      </c>
      <c r="B585" s="8">
        <v>45541</v>
      </c>
      <c r="C585" s="8">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5">
      <c r="A586" t="s">
        <v>598</v>
      </c>
      <c r="B586" s="8">
        <v>45507</v>
      </c>
      <c r="C586" s="8">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5">
      <c r="A587" t="s">
        <v>599</v>
      </c>
      <c r="B587" s="8">
        <v>45764</v>
      </c>
      <c r="C587" s="8">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5">
      <c r="A588" t="s">
        <v>600</v>
      </c>
      <c r="B588" s="8">
        <v>45049</v>
      </c>
      <c r="C588" s="8">
        <v>45062</v>
      </c>
      <c r="D588" t="s">
        <v>648</v>
      </c>
      <c r="E588" t="s">
        <v>660</v>
      </c>
      <c r="F588" t="s">
        <v>700</v>
      </c>
      <c r="G588" t="s">
        <v>701</v>
      </c>
      <c r="H588" t="s">
        <v>709</v>
      </c>
      <c r="I588" t="s">
        <v>716</v>
      </c>
      <c r="J588" t="s">
        <v>730</v>
      </c>
      <c r="K588" t="s">
        <v>1318</v>
      </c>
      <c r="L588">
        <v>64.5</v>
      </c>
      <c r="M588">
        <v>123.62</v>
      </c>
      <c r="N588">
        <v>0</v>
      </c>
      <c r="O588">
        <v>3</v>
      </c>
    </row>
    <row r="589" spans="1:15" x14ac:dyDescent="0.35">
      <c r="A589" t="s">
        <v>601</v>
      </c>
      <c r="B589" s="8">
        <v>45364</v>
      </c>
      <c r="C589" s="8">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5">
      <c r="A590" t="s">
        <v>602</v>
      </c>
      <c r="B590" s="8">
        <v>45459</v>
      </c>
      <c r="C590" s="8">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5">
      <c r="A591" t="s">
        <v>603</v>
      </c>
      <c r="B591" s="8">
        <v>45703</v>
      </c>
      <c r="C591" s="8">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5">
      <c r="A592" t="s">
        <v>604</v>
      </c>
      <c r="B592" s="8">
        <v>45019</v>
      </c>
      <c r="C592" s="8">
        <v>45032</v>
      </c>
      <c r="D592" t="s">
        <v>649</v>
      </c>
      <c r="E592" t="s">
        <v>657</v>
      </c>
      <c r="F592" t="s">
        <v>673</v>
      </c>
      <c r="G592" t="s">
        <v>703</v>
      </c>
      <c r="H592" t="s">
        <v>709</v>
      </c>
      <c r="I592" t="s">
        <v>724</v>
      </c>
      <c r="J592" t="s">
        <v>733</v>
      </c>
      <c r="K592" t="s">
        <v>1322</v>
      </c>
      <c r="L592">
        <v>790.54</v>
      </c>
      <c r="M592">
        <v>601.49</v>
      </c>
      <c r="N592">
        <v>0</v>
      </c>
      <c r="O592">
        <v>15</v>
      </c>
    </row>
    <row r="593" spans="1:15" x14ac:dyDescent="0.35">
      <c r="A593" t="s">
        <v>605</v>
      </c>
      <c r="B593" s="8">
        <v>45899</v>
      </c>
      <c r="C593" s="8">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5">
      <c r="A594" t="s">
        <v>606</v>
      </c>
      <c r="B594" s="8">
        <v>44984</v>
      </c>
      <c r="C594" s="8">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5">
      <c r="A595" t="s">
        <v>607</v>
      </c>
      <c r="B595" s="8">
        <v>45504</v>
      </c>
      <c r="C595" s="8">
        <v>45519</v>
      </c>
      <c r="D595" t="s">
        <v>647</v>
      </c>
      <c r="E595" t="s">
        <v>652</v>
      </c>
      <c r="F595" t="s">
        <v>689</v>
      </c>
      <c r="G595" t="s">
        <v>701</v>
      </c>
      <c r="H595" t="s">
        <v>709</v>
      </c>
      <c r="I595" t="s">
        <v>721</v>
      </c>
      <c r="J595" t="s">
        <v>732</v>
      </c>
      <c r="K595" t="s">
        <v>1325</v>
      </c>
      <c r="L595">
        <v>1252.52</v>
      </c>
      <c r="M595">
        <v>1417.24</v>
      </c>
      <c r="N595">
        <v>0.192</v>
      </c>
      <c r="O595">
        <v>5</v>
      </c>
    </row>
    <row r="596" spans="1:15" x14ac:dyDescent="0.35">
      <c r="A596" t="s">
        <v>608</v>
      </c>
      <c r="B596" s="8">
        <v>45823</v>
      </c>
      <c r="C596" s="8">
        <v>45850</v>
      </c>
      <c r="D596" t="s">
        <v>649</v>
      </c>
      <c r="E596" t="s">
        <v>657</v>
      </c>
      <c r="F596" t="s">
        <v>673</v>
      </c>
      <c r="G596" t="s">
        <v>704</v>
      </c>
      <c r="H596" t="s">
        <v>711</v>
      </c>
      <c r="I596" t="s">
        <v>712</v>
      </c>
      <c r="J596" t="s">
        <v>733</v>
      </c>
      <c r="K596" t="s">
        <v>1326</v>
      </c>
      <c r="L596">
        <v>318.83</v>
      </c>
      <c r="M596">
        <v>699.5</v>
      </c>
      <c r="N596">
        <v>0.08</v>
      </c>
      <c r="O596">
        <v>13</v>
      </c>
    </row>
    <row r="597" spans="1:15" x14ac:dyDescent="0.35">
      <c r="A597" t="s">
        <v>609</v>
      </c>
      <c r="B597" s="8">
        <v>45473</v>
      </c>
      <c r="C597" s="8">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5">
      <c r="A598" t="s">
        <v>610</v>
      </c>
      <c r="B598" s="8">
        <v>45705</v>
      </c>
      <c r="C598" s="8">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5">
      <c r="A599" t="s">
        <v>611</v>
      </c>
      <c r="B599" s="8">
        <v>44933</v>
      </c>
      <c r="C599" s="8">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5">
      <c r="A600" t="s">
        <v>612</v>
      </c>
      <c r="B600" s="8">
        <v>45726</v>
      </c>
      <c r="C600" s="8">
        <v>45751</v>
      </c>
      <c r="D600" t="s">
        <v>647</v>
      </c>
      <c r="E600" t="s">
        <v>652</v>
      </c>
      <c r="F600" t="s">
        <v>666</v>
      </c>
      <c r="G600" t="s">
        <v>701</v>
      </c>
      <c r="H600" t="s">
        <v>711</v>
      </c>
      <c r="I600" t="s">
        <v>722</v>
      </c>
      <c r="J600" t="s">
        <v>728</v>
      </c>
      <c r="K600" t="s">
        <v>1330</v>
      </c>
      <c r="L600">
        <v>783.72</v>
      </c>
      <c r="M600">
        <v>1355.94</v>
      </c>
      <c r="N600">
        <v>0.187</v>
      </c>
      <c r="O600">
        <v>4</v>
      </c>
    </row>
    <row r="601" spans="1:15" x14ac:dyDescent="0.35">
      <c r="A601" t="s">
        <v>613</v>
      </c>
      <c r="B601" s="8">
        <v>45521</v>
      </c>
      <c r="C601" s="8">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5">
      <c r="A602" t="s">
        <v>614</v>
      </c>
      <c r="B602" s="8">
        <v>45360</v>
      </c>
      <c r="C602" s="8">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5">
      <c r="A603" t="s">
        <v>615</v>
      </c>
      <c r="B603" s="8">
        <v>45523</v>
      </c>
      <c r="C603" s="8">
        <v>45537</v>
      </c>
      <c r="D603" t="s">
        <v>648</v>
      </c>
      <c r="E603" t="s">
        <v>653</v>
      </c>
      <c r="F603" t="s">
        <v>667</v>
      </c>
      <c r="G603" t="s">
        <v>704</v>
      </c>
      <c r="H603" t="s">
        <v>710</v>
      </c>
      <c r="I603" t="s">
        <v>712</v>
      </c>
      <c r="J603" t="s">
        <v>728</v>
      </c>
      <c r="K603" t="s">
        <v>1333</v>
      </c>
      <c r="L603">
        <v>1337.01</v>
      </c>
      <c r="M603">
        <v>1269.78</v>
      </c>
      <c r="N603">
        <v>0.16</v>
      </c>
      <c r="O603">
        <v>7</v>
      </c>
    </row>
    <row r="604" spans="1:15" x14ac:dyDescent="0.35">
      <c r="A604" t="s">
        <v>616</v>
      </c>
      <c r="B604" s="8">
        <v>45880</v>
      </c>
      <c r="C604" s="8">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5">
      <c r="A605" t="s">
        <v>617</v>
      </c>
      <c r="B605" s="8">
        <v>45793</v>
      </c>
      <c r="C605" s="8">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5">
      <c r="A606" t="s">
        <v>618</v>
      </c>
      <c r="B606" s="8">
        <v>45026</v>
      </c>
      <c r="C606" s="8">
        <v>45041</v>
      </c>
      <c r="D606" t="s">
        <v>649</v>
      </c>
      <c r="E606" t="s">
        <v>658</v>
      </c>
      <c r="F606" t="s">
        <v>683</v>
      </c>
      <c r="G606" t="s">
        <v>705</v>
      </c>
      <c r="H606" t="s">
        <v>707</v>
      </c>
      <c r="I606" t="s">
        <v>726</v>
      </c>
      <c r="J606" t="s">
        <v>728</v>
      </c>
      <c r="K606" t="s">
        <v>1336</v>
      </c>
      <c r="L606">
        <v>405.66</v>
      </c>
      <c r="M606">
        <v>962.51</v>
      </c>
      <c r="N606">
        <v>0.19</v>
      </c>
      <c r="O606">
        <v>7</v>
      </c>
    </row>
    <row r="607" spans="1:15" x14ac:dyDescent="0.35">
      <c r="A607" t="s">
        <v>619</v>
      </c>
      <c r="B607" s="8">
        <v>45186</v>
      </c>
      <c r="C607" s="8">
        <v>45201</v>
      </c>
      <c r="D607" t="s">
        <v>648</v>
      </c>
      <c r="E607" t="s">
        <v>655</v>
      </c>
      <c r="F607" t="s">
        <v>692</v>
      </c>
      <c r="G607" t="s">
        <v>705</v>
      </c>
      <c r="H607" t="s">
        <v>707</v>
      </c>
      <c r="I607" t="s">
        <v>717</v>
      </c>
      <c r="J607" t="s">
        <v>731</v>
      </c>
      <c r="K607" t="s">
        <v>1337</v>
      </c>
      <c r="L607">
        <v>689.33</v>
      </c>
      <c r="M607">
        <v>668.27</v>
      </c>
      <c r="N607">
        <v>0.186</v>
      </c>
      <c r="O607">
        <v>13</v>
      </c>
    </row>
    <row r="608" spans="1:15" x14ac:dyDescent="0.35">
      <c r="A608" t="s">
        <v>620</v>
      </c>
      <c r="B608" s="8">
        <v>45038</v>
      </c>
      <c r="C608" s="8">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5">
      <c r="A609" t="s">
        <v>621</v>
      </c>
      <c r="B609" s="8">
        <v>45827</v>
      </c>
      <c r="C609" s="8">
        <v>45829</v>
      </c>
      <c r="D609" t="s">
        <v>646</v>
      </c>
      <c r="E609" t="s">
        <v>661</v>
      </c>
      <c r="F609" t="s">
        <v>682</v>
      </c>
      <c r="G609" t="s">
        <v>705</v>
      </c>
      <c r="I609" t="s">
        <v>722</v>
      </c>
      <c r="J609" t="s">
        <v>730</v>
      </c>
      <c r="K609" t="s">
        <v>1339</v>
      </c>
      <c r="L609">
        <v>1466.27</v>
      </c>
      <c r="M609">
        <v>3589.89</v>
      </c>
      <c r="N609">
        <v>9.7000000000000003E-2</v>
      </c>
      <c r="O609">
        <v>9</v>
      </c>
    </row>
    <row r="610" spans="1:15" x14ac:dyDescent="0.35">
      <c r="A610" t="s">
        <v>622</v>
      </c>
      <c r="B610" s="8">
        <v>45623</v>
      </c>
      <c r="C610" s="8">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5">
      <c r="A611" t="s">
        <v>623</v>
      </c>
      <c r="B611" s="8">
        <v>45319</v>
      </c>
      <c r="C611" s="8">
        <v>45318</v>
      </c>
      <c r="D611" t="s">
        <v>646</v>
      </c>
      <c r="E611" t="s">
        <v>661</v>
      </c>
      <c r="F611" t="s">
        <v>695</v>
      </c>
      <c r="G611" t="s">
        <v>706</v>
      </c>
      <c r="H611" t="s">
        <v>711</v>
      </c>
      <c r="I611" t="s">
        <v>719</v>
      </c>
      <c r="J611" t="s">
        <v>727</v>
      </c>
      <c r="K611" t="s">
        <v>1341</v>
      </c>
      <c r="L611">
        <v>109.75</v>
      </c>
      <c r="M611">
        <v>124.25</v>
      </c>
      <c r="N611">
        <v>0.12</v>
      </c>
      <c r="O611">
        <v>19</v>
      </c>
    </row>
    <row r="612" spans="1:15" x14ac:dyDescent="0.35">
      <c r="A612" t="s">
        <v>624</v>
      </c>
      <c r="B612" s="8">
        <v>45032</v>
      </c>
      <c r="C612" s="8">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5">
      <c r="A613" t="s">
        <v>625</v>
      </c>
      <c r="B613" s="8">
        <v>45323</v>
      </c>
      <c r="C613" s="8">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5">
      <c r="A614" t="s">
        <v>626</v>
      </c>
      <c r="B614" s="8">
        <v>45584</v>
      </c>
      <c r="C614" s="8">
        <v>45602</v>
      </c>
      <c r="D614" t="s">
        <v>648</v>
      </c>
      <c r="E614" t="s">
        <v>660</v>
      </c>
      <c r="F614" t="s">
        <v>677</v>
      </c>
      <c r="G614" t="s">
        <v>702</v>
      </c>
      <c r="I614" t="s">
        <v>712</v>
      </c>
      <c r="J614" t="s">
        <v>732</v>
      </c>
      <c r="K614" t="s">
        <v>1344</v>
      </c>
      <c r="L614">
        <v>942.02</v>
      </c>
      <c r="M614">
        <v>1028.46</v>
      </c>
      <c r="N614">
        <v>0</v>
      </c>
      <c r="O614">
        <v>9</v>
      </c>
    </row>
    <row r="615" spans="1:15" x14ac:dyDescent="0.35">
      <c r="A615" t="s">
        <v>627</v>
      </c>
      <c r="B615" s="8">
        <v>45468</v>
      </c>
      <c r="C615" s="8">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5">
      <c r="A616" t="s">
        <v>628</v>
      </c>
      <c r="B616" s="8">
        <v>45137</v>
      </c>
      <c r="C616" s="8">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5">
      <c r="A617" t="s">
        <v>629</v>
      </c>
      <c r="B617" s="8">
        <v>45727</v>
      </c>
      <c r="C617" s="8">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5">
      <c r="A618" t="s">
        <v>630</v>
      </c>
      <c r="B618" s="8">
        <v>45208</v>
      </c>
      <c r="C618" s="8">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5">
      <c r="A619" t="s">
        <v>631</v>
      </c>
      <c r="B619" s="8">
        <v>45643</v>
      </c>
      <c r="C619" s="8">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5">
      <c r="A620" t="s">
        <v>632</v>
      </c>
      <c r="B620" s="8">
        <v>45849</v>
      </c>
      <c r="C620" s="8">
        <v>45854</v>
      </c>
      <c r="D620" t="s">
        <v>649</v>
      </c>
      <c r="E620" t="s">
        <v>658</v>
      </c>
      <c r="F620" t="s">
        <v>683</v>
      </c>
      <c r="G620" t="s">
        <v>706</v>
      </c>
      <c r="H620" t="s">
        <v>708</v>
      </c>
      <c r="I620" t="s">
        <v>723</v>
      </c>
      <c r="J620" t="s">
        <v>728</v>
      </c>
      <c r="K620" t="s">
        <v>1350</v>
      </c>
      <c r="L620">
        <v>930.03</v>
      </c>
      <c r="M620">
        <v>1086.68</v>
      </c>
      <c r="N620">
        <v>0.109</v>
      </c>
      <c r="O620">
        <v>26</v>
      </c>
    </row>
    <row r="621" spans="1:15" x14ac:dyDescent="0.35">
      <c r="A621" t="s">
        <v>633</v>
      </c>
      <c r="B621" s="8">
        <v>45578</v>
      </c>
      <c r="C621" s="8">
        <v>45589</v>
      </c>
      <c r="D621" t="s">
        <v>649</v>
      </c>
      <c r="E621" t="s">
        <v>657</v>
      </c>
      <c r="F621" t="s">
        <v>690</v>
      </c>
      <c r="G621" t="s">
        <v>702</v>
      </c>
      <c r="H621" t="s">
        <v>710</v>
      </c>
      <c r="I621" t="s">
        <v>721</v>
      </c>
      <c r="J621" t="s">
        <v>727</v>
      </c>
      <c r="K621" t="s">
        <v>1351</v>
      </c>
      <c r="L621">
        <v>816.7</v>
      </c>
      <c r="M621">
        <v>1010.75</v>
      </c>
      <c r="N621">
        <v>4.7E-2</v>
      </c>
      <c r="O621">
        <v>43</v>
      </c>
    </row>
    <row r="622" spans="1:15" x14ac:dyDescent="0.35">
      <c r="A622" t="s">
        <v>634</v>
      </c>
      <c r="B622" s="8">
        <v>45177</v>
      </c>
      <c r="C622" s="8">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5">
      <c r="A623" t="s">
        <v>635</v>
      </c>
      <c r="B623" s="8">
        <v>45764</v>
      </c>
      <c r="C623" s="8">
        <v>45780</v>
      </c>
      <c r="D623" t="s">
        <v>648</v>
      </c>
      <c r="E623" t="s">
        <v>655</v>
      </c>
      <c r="F623" t="s">
        <v>692</v>
      </c>
      <c r="G623" t="s">
        <v>704</v>
      </c>
      <c r="H623" t="s">
        <v>709</v>
      </c>
      <c r="I623" t="s">
        <v>713</v>
      </c>
      <c r="J623" t="s">
        <v>729</v>
      </c>
      <c r="K623" t="s">
        <v>1353</v>
      </c>
      <c r="L623">
        <v>168.68</v>
      </c>
      <c r="M623">
        <v>413.34</v>
      </c>
      <c r="N623">
        <v>0.186</v>
      </c>
      <c r="O623">
        <v>7</v>
      </c>
    </row>
    <row r="624" spans="1:15" x14ac:dyDescent="0.35">
      <c r="A624" t="s">
        <v>636</v>
      </c>
      <c r="B624" s="8">
        <v>45501</v>
      </c>
      <c r="C624" s="8">
        <v>45527</v>
      </c>
      <c r="D624" t="s">
        <v>647</v>
      </c>
      <c r="E624" t="s">
        <v>654</v>
      </c>
      <c r="F624" t="s">
        <v>696</v>
      </c>
      <c r="G624" t="s">
        <v>701</v>
      </c>
      <c r="H624" t="s">
        <v>707</v>
      </c>
      <c r="I624" t="s">
        <v>713</v>
      </c>
      <c r="J624" t="s">
        <v>729</v>
      </c>
      <c r="K624" t="s">
        <v>1354</v>
      </c>
      <c r="L624">
        <v>1339.24</v>
      </c>
      <c r="M624">
        <v>1558.89</v>
      </c>
      <c r="N624">
        <v>0.192</v>
      </c>
      <c r="O624">
        <v>24</v>
      </c>
    </row>
    <row r="625" spans="1:15" x14ac:dyDescent="0.35">
      <c r="A625" t="s">
        <v>637</v>
      </c>
      <c r="B625" s="8">
        <v>45857</v>
      </c>
      <c r="C625" s="8">
        <v>45869</v>
      </c>
      <c r="D625" t="s">
        <v>646</v>
      </c>
      <c r="E625" t="s">
        <v>650</v>
      </c>
      <c r="F625" t="s">
        <v>664</v>
      </c>
      <c r="G625" t="s">
        <v>705</v>
      </c>
      <c r="H625" t="s">
        <v>709</v>
      </c>
      <c r="I625" t="s">
        <v>719</v>
      </c>
      <c r="J625" t="s">
        <v>733</v>
      </c>
      <c r="K625" t="s">
        <v>1355</v>
      </c>
      <c r="L625">
        <v>619.64</v>
      </c>
      <c r="M625">
        <v>861.16</v>
      </c>
      <c r="N625">
        <v>0.113</v>
      </c>
      <c r="O625">
        <v>14</v>
      </c>
    </row>
    <row r="626" spans="1:15" x14ac:dyDescent="0.35">
      <c r="A626" t="s">
        <v>638</v>
      </c>
      <c r="B626" s="8">
        <v>45141</v>
      </c>
      <c r="C626" s="8">
        <v>45140</v>
      </c>
      <c r="D626" t="s">
        <v>647</v>
      </c>
      <c r="E626" t="s">
        <v>659</v>
      </c>
      <c r="F626" t="s">
        <v>685</v>
      </c>
      <c r="G626" t="s">
        <v>703</v>
      </c>
      <c r="H626" t="s">
        <v>711</v>
      </c>
      <c r="I626" t="s">
        <v>713</v>
      </c>
      <c r="J626" t="s">
        <v>729</v>
      </c>
      <c r="K626" t="s">
        <v>1356</v>
      </c>
      <c r="L626">
        <v>1021.97</v>
      </c>
      <c r="M626">
        <v>2296.25</v>
      </c>
      <c r="N626">
        <v>0.161</v>
      </c>
      <c r="O626">
        <v>26</v>
      </c>
    </row>
    <row r="627" spans="1:15" x14ac:dyDescent="0.35">
      <c r="A627" t="s">
        <v>639</v>
      </c>
      <c r="B627" s="8">
        <v>45249</v>
      </c>
      <c r="C627" s="8">
        <v>45272</v>
      </c>
      <c r="D627" t="s">
        <v>647</v>
      </c>
      <c r="E627" t="s">
        <v>654</v>
      </c>
      <c r="F627" t="s">
        <v>680</v>
      </c>
      <c r="G627" t="s">
        <v>705</v>
      </c>
      <c r="H627" t="s">
        <v>711</v>
      </c>
      <c r="I627" t="s">
        <v>712</v>
      </c>
      <c r="J627" t="s">
        <v>729</v>
      </c>
      <c r="K627" t="s">
        <v>1357</v>
      </c>
      <c r="L627">
        <v>1349.04</v>
      </c>
      <c r="M627">
        <v>2636.6</v>
      </c>
      <c r="N627">
        <v>0.114</v>
      </c>
      <c r="O627">
        <v>14</v>
      </c>
    </row>
    <row r="628" spans="1:15" x14ac:dyDescent="0.35">
      <c r="A628" t="s">
        <v>640</v>
      </c>
      <c r="B628" s="8">
        <v>45282</v>
      </c>
      <c r="C628" s="8">
        <v>45307</v>
      </c>
      <c r="D628" t="s">
        <v>647</v>
      </c>
      <c r="E628" t="s">
        <v>654</v>
      </c>
      <c r="F628" t="s">
        <v>696</v>
      </c>
      <c r="G628" t="s">
        <v>705</v>
      </c>
      <c r="H628" t="s">
        <v>707</v>
      </c>
      <c r="I628" t="s">
        <v>720</v>
      </c>
      <c r="J628" t="s">
        <v>727</v>
      </c>
      <c r="K628" t="s">
        <v>1358</v>
      </c>
      <c r="L628">
        <v>1346.81</v>
      </c>
      <c r="M628">
        <v>978.09</v>
      </c>
      <c r="N628">
        <v>0.159</v>
      </c>
      <c r="O628">
        <v>17</v>
      </c>
    </row>
    <row r="629" spans="1:15" x14ac:dyDescent="0.35">
      <c r="A629" t="s">
        <v>641</v>
      </c>
      <c r="B629" s="8">
        <v>45141</v>
      </c>
      <c r="C629" s="8">
        <v>45168</v>
      </c>
      <c r="D629" t="s">
        <v>647</v>
      </c>
      <c r="E629" t="s">
        <v>659</v>
      </c>
      <c r="F629" t="s">
        <v>685</v>
      </c>
      <c r="G629" t="s">
        <v>704</v>
      </c>
      <c r="H629" t="s">
        <v>710</v>
      </c>
      <c r="I629" t="s">
        <v>725</v>
      </c>
      <c r="J629" t="s">
        <v>732</v>
      </c>
      <c r="K629" t="s">
        <v>1359</v>
      </c>
      <c r="L629">
        <v>226.04</v>
      </c>
      <c r="M629">
        <v>545.72</v>
      </c>
      <c r="N629">
        <v>0.151</v>
      </c>
      <c r="O629">
        <v>11</v>
      </c>
    </row>
    <row r="630" spans="1:15" x14ac:dyDescent="0.35">
      <c r="A630" t="s">
        <v>642</v>
      </c>
      <c r="B630" s="8">
        <v>45100</v>
      </c>
      <c r="C630" s="8">
        <v>45125</v>
      </c>
      <c r="D630" t="s">
        <v>648</v>
      </c>
      <c r="E630" t="s">
        <v>653</v>
      </c>
      <c r="F630" t="s">
        <v>688</v>
      </c>
      <c r="G630" t="s">
        <v>706</v>
      </c>
      <c r="H630" t="s">
        <v>708</v>
      </c>
      <c r="I630" t="s">
        <v>725</v>
      </c>
      <c r="J630" t="s">
        <v>730</v>
      </c>
      <c r="K630" t="s">
        <v>1360</v>
      </c>
      <c r="L630">
        <v>807.02</v>
      </c>
      <c r="M630">
        <v>1435.54</v>
      </c>
      <c r="N630">
        <v>0</v>
      </c>
      <c r="O630">
        <v>23</v>
      </c>
    </row>
    <row r="631" spans="1:15" x14ac:dyDescent="0.35">
      <c r="A631" t="s">
        <v>643</v>
      </c>
      <c r="B631" s="8">
        <v>45267</v>
      </c>
      <c r="C631" s="8">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5">
      <c r="A632" t="s">
        <v>644</v>
      </c>
      <c r="B632" s="8">
        <v>45249</v>
      </c>
      <c r="C632" s="8">
        <v>45279</v>
      </c>
      <c r="D632" t="s">
        <v>647</v>
      </c>
      <c r="E632" t="s">
        <v>652</v>
      </c>
      <c r="F632" t="s">
        <v>694</v>
      </c>
      <c r="G632" t="s">
        <v>704</v>
      </c>
      <c r="H632" t="s">
        <v>707</v>
      </c>
      <c r="J632" t="s">
        <v>730</v>
      </c>
      <c r="K632" t="s">
        <v>1362</v>
      </c>
      <c r="L632">
        <v>807.11</v>
      </c>
      <c r="M632">
        <v>1853.86</v>
      </c>
      <c r="N632">
        <v>0.13900000000000001</v>
      </c>
      <c r="O632">
        <v>8</v>
      </c>
    </row>
    <row r="633" spans="1:15" x14ac:dyDescent="0.35">
      <c r="A633" t="s">
        <v>645</v>
      </c>
      <c r="B633" s="8">
        <v>45716</v>
      </c>
      <c r="C633" s="8">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F6EDD-9FB7-45BF-BA12-8FE3ED3BABFF}">
  <dimension ref="A3:B48"/>
  <sheetViews>
    <sheetView workbookViewId="0">
      <selection activeCell="J9" sqref="J9"/>
    </sheetView>
  </sheetViews>
  <sheetFormatPr defaultRowHeight="14.5" x14ac:dyDescent="0.35"/>
  <cols>
    <col min="1" max="1" width="16.1796875" bestFit="1" customWidth="1"/>
    <col min="2" max="2" width="19.1796875" bestFit="1" customWidth="1"/>
    <col min="3" max="3" width="10.81640625" bestFit="1" customWidth="1"/>
  </cols>
  <sheetData>
    <row r="3" spans="1:2" x14ac:dyDescent="0.35">
      <c r="A3" s="19" t="s">
        <v>1463</v>
      </c>
      <c r="B3" t="s">
        <v>1471</v>
      </c>
    </row>
    <row r="4" spans="1:2" x14ac:dyDescent="0.35">
      <c r="A4" s="20" t="s">
        <v>655</v>
      </c>
      <c r="B4" s="29">
        <v>365817.49280999997</v>
      </c>
    </row>
    <row r="5" spans="1:2" x14ac:dyDescent="0.35">
      <c r="A5" s="21" t="s">
        <v>1503</v>
      </c>
      <c r="B5" s="29">
        <v>37495.48805</v>
      </c>
    </row>
    <row r="6" spans="1:2" x14ac:dyDescent="0.35">
      <c r="A6" s="23" t="s">
        <v>1498</v>
      </c>
      <c r="B6" s="29">
        <v>37495.48805</v>
      </c>
    </row>
    <row r="7" spans="1:2" x14ac:dyDescent="0.35">
      <c r="A7" s="21" t="s">
        <v>1504</v>
      </c>
      <c r="B7" s="29">
        <v>35396.277799999996</v>
      </c>
    </row>
    <row r="8" spans="1:2" x14ac:dyDescent="0.35">
      <c r="A8" s="23" t="s">
        <v>1500</v>
      </c>
      <c r="B8" s="29">
        <v>35396.277799999996</v>
      </c>
    </row>
    <row r="9" spans="1:2" x14ac:dyDescent="0.35">
      <c r="A9" s="21" t="s">
        <v>1505</v>
      </c>
      <c r="B9" s="29">
        <v>12153.267360000002</v>
      </c>
    </row>
    <row r="10" spans="1:2" x14ac:dyDescent="0.35">
      <c r="A10" s="23" t="s">
        <v>1502</v>
      </c>
      <c r="B10" s="29">
        <v>12153.267360000002</v>
      </c>
    </row>
    <row r="11" spans="1:2" x14ac:dyDescent="0.35">
      <c r="A11" s="21" t="s">
        <v>1506</v>
      </c>
      <c r="B11" s="29">
        <v>24894.430559999997</v>
      </c>
    </row>
    <row r="12" spans="1:2" x14ac:dyDescent="0.35">
      <c r="A12" s="23" t="s">
        <v>1493</v>
      </c>
      <c r="B12" s="29">
        <v>24894.430559999997</v>
      </c>
    </row>
    <row r="13" spans="1:2" x14ac:dyDescent="0.35">
      <c r="A13" s="21" t="s">
        <v>1507</v>
      </c>
      <c r="B13" s="29">
        <v>703.2428000000001</v>
      </c>
    </row>
    <row r="14" spans="1:2" x14ac:dyDescent="0.35">
      <c r="A14" s="23" t="s">
        <v>1494</v>
      </c>
      <c r="B14" s="29">
        <v>703.2428000000001</v>
      </c>
    </row>
    <row r="15" spans="1:2" x14ac:dyDescent="0.35">
      <c r="A15" s="21" t="s">
        <v>1508</v>
      </c>
      <c r="B15" s="29">
        <v>15155.326800000001</v>
      </c>
    </row>
    <row r="16" spans="1:2" x14ac:dyDescent="0.35">
      <c r="A16" s="23" t="s">
        <v>1495</v>
      </c>
      <c r="B16" s="29">
        <v>15155.326800000001</v>
      </c>
    </row>
    <row r="17" spans="1:2" x14ac:dyDescent="0.35">
      <c r="A17" s="21" t="s">
        <v>1509</v>
      </c>
      <c r="B17" s="29">
        <v>28072.190160000002</v>
      </c>
    </row>
    <row r="18" spans="1:2" x14ac:dyDescent="0.35">
      <c r="A18" s="23" t="s">
        <v>1499</v>
      </c>
      <c r="B18" s="29">
        <v>28072.190160000002</v>
      </c>
    </row>
    <row r="19" spans="1:2" x14ac:dyDescent="0.35">
      <c r="A19" s="21" t="s">
        <v>1510</v>
      </c>
      <c r="B19" s="29">
        <v>10161.46624</v>
      </c>
    </row>
    <row r="20" spans="1:2" x14ac:dyDescent="0.35">
      <c r="A20" s="23" t="s">
        <v>1496</v>
      </c>
      <c r="B20" s="29">
        <v>10161.46624</v>
      </c>
    </row>
    <row r="21" spans="1:2" x14ac:dyDescent="0.35">
      <c r="A21" s="21" t="s">
        <v>1511</v>
      </c>
      <c r="B21" s="29">
        <v>8596.2905599999995</v>
      </c>
    </row>
    <row r="22" spans="1:2" x14ac:dyDescent="0.35">
      <c r="A22" s="23" t="s">
        <v>1497</v>
      </c>
      <c r="B22" s="29">
        <v>8596.2905599999995</v>
      </c>
    </row>
    <row r="23" spans="1:2" x14ac:dyDescent="0.35">
      <c r="A23" s="21" t="s">
        <v>1512</v>
      </c>
      <c r="B23" s="29">
        <v>4968.5039999999999</v>
      </c>
    </row>
    <row r="24" spans="1:2" x14ac:dyDescent="0.35">
      <c r="A24" s="23" t="s">
        <v>1495</v>
      </c>
      <c r="B24" s="29">
        <v>4968.5039999999999</v>
      </c>
    </row>
    <row r="25" spans="1:2" x14ac:dyDescent="0.35">
      <c r="A25" s="21" t="s">
        <v>1513</v>
      </c>
      <c r="B25" s="29">
        <v>27194.152039999997</v>
      </c>
    </row>
    <row r="26" spans="1:2" x14ac:dyDescent="0.35">
      <c r="A26" s="23" t="s">
        <v>1496</v>
      </c>
      <c r="B26" s="29">
        <v>27194.152039999997</v>
      </c>
    </row>
    <row r="27" spans="1:2" x14ac:dyDescent="0.35">
      <c r="A27" s="21" t="s">
        <v>1514</v>
      </c>
      <c r="B27" s="29">
        <v>9469.7678000000014</v>
      </c>
    </row>
    <row r="28" spans="1:2" x14ac:dyDescent="0.35">
      <c r="A28" s="23" t="s">
        <v>1497</v>
      </c>
      <c r="B28" s="29">
        <v>9469.7678000000014</v>
      </c>
    </row>
    <row r="29" spans="1:2" x14ac:dyDescent="0.35">
      <c r="A29" s="21" t="s">
        <v>1515</v>
      </c>
      <c r="B29" s="29">
        <v>60928.502359999999</v>
      </c>
    </row>
    <row r="30" spans="1:2" x14ac:dyDescent="0.35">
      <c r="A30" s="23" t="s">
        <v>1498</v>
      </c>
      <c r="B30" s="29">
        <v>60928.502359999999</v>
      </c>
    </row>
    <row r="31" spans="1:2" x14ac:dyDescent="0.35">
      <c r="A31" s="21" t="s">
        <v>1516</v>
      </c>
      <c r="B31" s="29">
        <v>7071.6331400000008</v>
      </c>
    </row>
    <row r="32" spans="1:2" x14ac:dyDescent="0.35">
      <c r="A32" s="23" t="s">
        <v>1499</v>
      </c>
      <c r="B32" s="29">
        <v>7071.6331400000008</v>
      </c>
    </row>
    <row r="33" spans="1:2" x14ac:dyDescent="0.35">
      <c r="A33" s="21" t="s">
        <v>1517</v>
      </c>
      <c r="B33" s="29">
        <v>59403.568400000004</v>
      </c>
    </row>
    <row r="34" spans="1:2" x14ac:dyDescent="0.35">
      <c r="A34" s="23" t="s">
        <v>1500</v>
      </c>
      <c r="B34" s="29">
        <v>59403.568400000004</v>
      </c>
    </row>
    <row r="35" spans="1:2" x14ac:dyDescent="0.35">
      <c r="A35" s="21" t="s">
        <v>1518</v>
      </c>
      <c r="B35" s="29">
        <v>24153.384740000001</v>
      </c>
    </row>
    <row r="36" spans="1:2" x14ac:dyDescent="0.35">
      <c r="A36" s="23" t="s">
        <v>1501</v>
      </c>
      <c r="B36" s="29">
        <v>24153.384740000001</v>
      </c>
    </row>
    <row r="37" spans="1:2" x14ac:dyDescent="0.35">
      <c r="A37" s="20" t="s">
        <v>653</v>
      </c>
      <c r="B37" s="29">
        <v>366888.86791000003</v>
      </c>
    </row>
    <row r="38" spans="1:2" x14ac:dyDescent="0.35">
      <c r="A38" s="20" t="s">
        <v>659</v>
      </c>
      <c r="B38" s="29">
        <v>383153.69530000002</v>
      </c>
    </row>
    <row r="39" spans="1:2" x14ac:dyDescent="0.35">
      <c r="A39" s="20" t="s">
        <v>657</v>
      </c>
      <c r="B39" s="29">
        <v>280621.30069</v>
      </c>
    </row>
    <row r="40" spans="1:2" x14ac:dyDescent="0.35">
      <c r="A40" s="20" t="s">
        <v>656</v>
      </c>
      <c r="B40" s="29">
        <v>257935.02148999998</v>
      </c>
    </row>
    <row r="41" spans="1:2" x14ac:dyDescent="0.35">
      <c r="A41" s="20" t="s">
        <v>654</v>
      </c>
      <c r="B41" s="29">
        <v>413647.99491000001</v>
      </c>
    </row>
    <row r="42" spans="1:2" x14ac:dyDescent="0.35">
      <c r="A42" s="20" t="s">
        <v>652</v>
      </c>
      <c r="B42" s="29">
        <v>310001.49932</v>
      </c>
    </row>
    <row r="43" spans="1:2" x14ac:dyDescent="0.35">
      <c r="A43" s="20" t="s">
        <v>650</v>
      </c>
      <c r="B43" s="29">
        <v>405179.03894</v>
      </c>
    </row>
    <row r="44" spans="1:2" x14ac:dyDescent="0.35">
      <c r="A44" s="20" t="s">
        <v>651</v>
      </c>
      <c r="B44" s="29">
        <v>406606.53686000005</v>
      </c>
    </row>
    <row r="45" spans="1:2" x14ac:dyDescent="0.35">
      <c r="A45" s="20" t="s">
        <v>661</v>
      </c>
      <c r="B45" s="29">
        <v>140342.39514000001</v>
      </c>
    </row>
    <row r="46" spans="1:2" x14ac:dyDescent="0.35">
      <c r="A46" s="20" t="s">
        <v>658</v>
      </c>
      <c r="B46" s="29">
        <v>513353.51287999999</v>
      </c>
    </row>
    <row r="47" spans="1:2" x14ac:dyDescent="0.35">
      <c r="A47" s="20" t="s">
        <v>660</v>
      </c>
      <c r="B47" s="29">
        <v>260098.67287000004</v>
      </c>
    </row>
    <row r="48" spans="1:2" x14ac:dyDescent="0.35">
      <c r="A48" s="20" t="s">
        <v>1464</v>
      </c>
      <c r="B48" s="29">
        <v>4103646.0291199996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67918-4AE4-4C32-B555-5B9467D7957C}">
  <dimension ref="A3:D41"/>
  <sheetViews>
    <sheetView workbookViewId="0">
      <selection activeCell="B86" sqref="B86"/>
    </sheetView>
  </sheetViews>
  <sheetFormatPr defaultRowHeight="14.5" x14ac:dyDescent="0.35"/>
  <cols>
    <col min="1" max="1" width="13.36328125" bestFit="1" customWidth="1"/>
    <col min="2" max="2" width="19.1796875" bestFit="1" customWidth="1"/>
  </cols>
  <sheetData>
    <row r="3" spans="1:4" x14ac:dyDescent="0.35">
      <c r="A3" s="19" t="s">
        <v>1463</v>
      </c>
      <c r="B3" t="s">
        <v>1471</v>
      </c>
    </row>
    <row r="4" spans="1:4" x14ac:dyDescent="0.35">
      <c r="A4" s="20" t="s">
        <v>731</v>
      </c>
      <c r="B4" s="13">
        <v>0.17371833081881868</v>
      </c>
    </row>
    <row r="5" spans="1:4" x14ac:dyDescent="0.35">
      <c r="A5" s="20" t="s">
        <v>729</v>
      </c>
      <c r="B5" s="13">
        <v>0.14809383893189315</v>
      </c>
      <c r="D5" s="24" t="e">
        <f>GETPIVOTDATA("GrossRevenue",$A$3,"ProductCategory","Accessories","SKU","ACC-1021")/GETPIVOTDATA("GrossRevenue",$A$3,"ProductCategory","Accessories")*100</f>
        <v>#REF!</v>
      </c>
    </row>
    <row r="6" spans="1:4" x14ac:dyDescent="0.35">
      <c r="A6" s="21" t="s">
        <v>781</v>
      </c>
      <c r="B6" s="25">
        <v>2.6621204466659776E-2</v>
      </c>
    </row>
    <row r="7" spans="1:4" x14ac:dyDescent="0.35">
      <c r="A7" s="21" t="s">
        <v>1324</v>
      </c>
      <c r="B7" s="25">
        <v>1.26151674761045E-2</v>
      </c>
    </row>
    <row r="8" spans="1:4" x14ac:dyDescent="0.35">
      <c r="A8" s="21" t="s">
        <v>937</v>
      </c>
      <c r="B8" s="25">
        <v>1.1687830100269464E-2</v>
      </c>
    </row>
    <row r="9" spans="1:4" x14ac:dyDescent="0.35">
      <c r="A9" s="21" t="s">
        <v>1056</v>
      </c>
      <c r="B9" s="25">
        <v>9.636984832359077E-3</v>
      </c>
    </row>
    <row r="10" spans="1:4" x14ac:dyDescent="0.35">
      <c r="A10" s="21" t="s">
        <v>782</v>
      </c>
      <c r="B10" s="25">
        <v>8.6804032480449472E-3</v>
      </c>
    </row>
    <row r="11" spans="1:4" x14ac:dyDescent="0.35">
      <c r="A11" s="21" t="s">
        <v>1087</v>
      </c>
      <c r="B11" s="25">
        <v>8.4843984478520599E-3</v>
      </c>
    </row>
    <row r="12" spans="1:4" x14ac:dyDescent="0.35">
      <c r="A12" s="21" t="s">
        <v>1301</v>
      </c>
      <c r="B12" s="25">
        <v>8.3601655105123539E-3</v>
      </c>
    </row>
    <row r="13" spans="1:4" x14ac:dyDescent="0.35">
      <c r="A13" s="21" t="s">
        <v>779</v>
      </c>
      <c r="B13" s="25">
        <v>7.9213848293272059E-3</v>
      </c>
    </row>
    <row r="14" spans="1:4" x14ac:dyDescent="0.35">
      <c r="A14" s="21" t="s">
        <v>1354</v>
      </c>
      <c r="B14" s="25">
        <v>7.3666185303225646E-3</v>
      </c>
    </row>
    <row r="15" spans="1:4" x14ac:dyDescent="0.35">
      <c r="A15" s="21" t="s">
        <v>1282</v>
      </c>
      <c r="B15" s="25">
        <v>7.2309975786004309E-3</v>
      </c>
    </row>
    <row r="16" spans="1:4" x14ac:dyDescent="0.35">
      <c r="A16" s="21" t="s">
        <v>818</v>
      </c>
      <c r="B16" s="25">
        <v>5.1326582094403349E-3</v>
      </c>
    </row>
    <row r="17" spans="1:2" x14ac:dyDescent="0.35">
      <c r="A17" s="21" t="s">
        <v>763</v>
      </c>
      <c r="B17" s="25">
        <v>4.8942168933383641E-3</v>
      </c>
    </row>
    <row r="18" spans="1:2" x14ac:dyDescent="0.35">
      <c r="A18" s="21" t="s">
        <v>1284</v>
      </c>
      <c r="B18" s="25">
        <v>4.5886327881057513E-3</v>
      </c>
    </row>
    <row r="19" spans="1:2" x14ac:dyDescent="0.35">
      <c r="A19" s="21" t="s">
        <v>863</v>
      </c>
      <c r="B19" s="25">
        <v>3.9163827888553087E-3</v>
      </c>
    </row>
    <row r="20" spans="1:2" x14ac:dyDescent="0.35">
      <c r="A20" s="21" t="s">
        <v>1309</v>
      </c>
      <c r="B20" s="25">
        <v>3.3829919787153359E-3</v>
      </c>
    </row>
    <row r="21" spans="1:2" x14ac:dyDescent="0.35">
      <c r="A21" s="21" t="s">
        <v>1277</v>
      </c>
      <c r="B21" s="25">
        <v>2.6300117123684787E-3</v>
      </c>
    </row>
    <row r="22" spans="1:2" x14ac:dyDescent="0.35">
      <c r="A22" s="21" t="s">
        <v>775</v>
      </c>
      <c r="B22" s="25">
        <v>2.5730143206976973E-3</v>
      </c>
    </row>
    <row r="23" spans="1:2" x14ac:dyDescent="0.35">
      <c r="A23" s="21" t="s">
        <v>1251</v>
      </c>
      <c r="B23" s="25">
        <v>2.3900171238948734E-3</v>
      </c>
    </row>
    <row r="24" spans="1:2" x14ac:dyDescent="0.35">
      <c r="A24" s="21" t="s">
        <v>889</v>
      </c>
      <c r="B24" s="25">
        <v>2.1711581887852594E-3</v>
      </c>
    </row>
    <row r="25" spans="1:2" x14ac:dyDescent="0.35">
      <c r="A25" s="21" t="s">
        <v>1236</v>
      </c>
      <c r="B25" s="25">
        <v>2.1047593746413326E-3</v>
      </c>
    </row>
    <row r="26" spans="1:2" x14ac:dyDescent="0.35">
      <c r="A26" s="21" t="s">
        <v>1311</v>
      </c>
      <c r="B26" s="25">
        <v>1.0431403219536368E-3</v>
      </c>
    </row>
    <row r="27" spans="1:2" x14ac:dyDescent="0.35">
      <c r="A27" s="21" t="s">
        <v>928</v>
      </c>
      <c r="B27" s="25">
        <v>9.5729011033693259E-4</v>
      </c>
    </row>
    <row r="28" spans="1:2" x14ac:dyDescent="0.35">
      <c r="A28" s="21" t="s">
        <v>1041</v>
      </c>
      <c r="B28" s="26">
        <v>8.8806911077111137E-4</v>
      </c>
    </row>
    <row r="29" spans="1:2" x14ac:dyDescent="0.35">
      <c r="A29" s="21" t="s">
        <v>1272</v>
      </c>
      <c r="B29" s="26">
        <v>8.140655837015206E-4</v>
      </c>
    </row>
    <row r="30" spans="1:2" x14ac:dyDescent="0.35">
      <c r="A30" s="21" t="s">
        <v>1172</v>
      </c>
      <c r="B30" s="26">
        <v>6.8125720887274137E-4</v>
      </c>
    </row>
    <row r="31" spans="1:2" x14ac:dyDescent="0.35">
      <c r="A31" s="21" t="s">
        <v>842</v>
      </c>
      <c r="B31" s="26">
        <v>4.0461579488522837E-4</v>
      </c>
    </row>
    <row r="32" spans="1:2" x14ac:dyDescent="0.35">
      <c r="A32" s="21" t="s">
        <v>848</v>
      </c>
      <c r="B32" s="26">
        <v>3.6533852807024339E-4</v>
      </c>
    </row>
    <row r="33" spans="1:2" x14ac:dyDescent="0.35">
      <c r="A33" s="21" t="s">
        <v>1334</v>
      </c>
      <c r="B33" s="26">
        <v>2.5893807420516372E-4</v>
      </c>
    </row>
    <row r="34" spans="1:2" x14ac:dyDescent="0.35">
      <c r="A34" s="21" t="s">
        <v>1045</v>
      </c>
      <c r="B34" s="27">
        <v>2.1421399257199293E-4</v>
      </c>
    </row>
    <row r="35" spans="1:2" x14ac:dyDescent="0.35">
      <c r="A35" s="21" t="s">
        <v>736</v>
      </c>
      <c r="B35" s="27">
        <v>7.7911807629412518E-5</v>
      </c>
    </row>
    <row r="36" spans="1:2" x14ac:dyDescent="0.35">
      <c r="A36" s="20" t="s">
        <v>727</v>
      </c>
      <c r="B36" s="13">
        <v>0.14586504735116279</v>
      </c>
    </row>
    <row r="37" spans="1:2" x14ac:dyDescent="0.35">
      <c r="A37" s="20" t="s">
        <v>728</v>
      </c>
      <c r="B37" s="13">
        <v>0.14144084876016172</v>
      </c>
    </row>
    <row r="38" spans="1:2" x14ac:dyDescent="0.35">
      <c r="A38" s="20" t="s">
        <v>733</v>
      </c>
      <c r="B38" s="13">
        <v>0.13802811691374481</v>
      </c>
    </row>
    <row r="39" spans="1:2" x14ac:dyDescent="0.35">
      <c r="A39" s="20" t="s">
        <v>730</v>
      </c>
      <c r="B39" s="13">
        <v>0.13607176897509923</v>
      </c>
    </row>
    <row r="40" spans="1:2" x14ac:dyDescent="0.35">
      <c r="A40" s="20" t="s">
        <v>732</v>
      </c>
      <c r="B40" s="13">
        <v>0.11678204824911964</v>
      </c>
    </row>
    <row r="41" spans="1:2" x14ac:dyDescent="0.35">
      <c r="A41" s="20" t="s">
        <v>1464</v>
      </c>
      <c r="B41" s="1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D8972-D64F-4029-B95D-FBC0E3DD9D68}">
  <dimension ref="A3:C20"/>
  <sheetViews>
    <sheetView tabSelected="1" topLeftCell="A2" workbookViewId="0">
      <selection activeCell="B9" sqref="B9"/>
    </sheetView>
  </sheetViews>
  <sheetFormatPr defaultRowHeight="14.5" x14ac:dyDescent="0.35"/>
  <cols>
    <col min="1" max="1" width="12.36328125" bestFit="1" customWidth="1"/>
    <col min="2" max="2" width="15.36328125" bestFit="1" customWidth="1"/>
    <col min="3" max="3" width="16.6328125" bestFit="1" customWidth="1"/>
  </cols>
  <sheetData>
    <row r="3" spans="1:3" x14ac:dyDescent="0.35">
      <c r="A3" s="19" t="s">
        <v>1463</v>
      </c>
      <c r="B3" t="s">
        <v>1519</v>
      </c>
      <c r="C3" t="s">
        <v>1520</v>
      </c>
    </row>
    <row r="4" spans="1:3" x14ac:dyDescent="0.35">
      <c r="A4" s="20" t="s">
        <v>720</v>
      </c>
      <c r="B4" s="29">
        <v>22</v>
      </c>
      <c r="C4" s="29">
        <v>149281.63269999996</v>
      </c>
    </row>
    <row r="5" spans="1:3" x14ac:dyDescent="0.35">
      <c r="A5" s="20" t="s">
        <v>717</v>
      </c>
      <c r="B5" s="29">
        <v>15</v>
      </c>
      <c r="C5" s="29">
        <v>86681.369429999992</v>
      </c>
    </row>
    <row r="6" spans="1:3" x14ac:dyDescent="0.35">
      <c r="A6" s="20" t="s">
        <v>712</v>
      </c>
      <c r="B6" s="29">
        <v>12</v>
      </c>
      <c r="C6" s="29">
        <v>64977.458639999983</v>
      </c>
    </row>
    <row r="7" spans="1:3" x14ac:dyDescent="0.35">
      <c r="A7" s="20" t="s">
        <v>726</v>
      </c>
      <c r="B7" s="29">
        <v>16</v>
      </c>
      <c r="C7" s="29">
        <v>71371.217329999985</v>
      </c>
    </row>
    <row r="8" spans="1:3" x14ac:dyDescent="0.35">
      <c r="A8" s="20" t="s">
        <v>718</v>
      </c>
      <c r="B8" s="29">
        <v>14</v>
      </c>
      <c r="C8" s="29">
        <v>114318.52962000003</v>
      </c>
    </row>
    <row r="9" spans="1:3" x14ac:dyDescent="0.35">
      <c r="A9" s="20" t="s">
        <v>721</v>
      </c>
      <c r="B9" s="29">
        <v>13</v>
      </c>
      <c r="C9" s="29">
        <v>26759.06956</v>
      </c>
    </row>
    <row r="10" spans="1:3" x14ac:dyDescent="0.35">
      <c r="A10" s="20" t="s">
        <v>715</v>
      </c>
      <c r="B10" s="29">
        <v>8</v>
      </c>
      <c r="C10" s="29">
        <v>31998.115910000011</v>
      </c>
    </row>
    <row r="11" spans="1:3" x14ac:dyDescent="0.35">
      <c r="A11" s="20" t="s">
        <v>722</v>
      </c>
      <c r="B11" s="29">
        <v>16</v>
      </c>
      <c r="C11" s="29">
        <v>107480.99931</v>
      </c>
    </row>
    <row r="12" spans="1:3" x14ac:dyDescent="0.35">
      <c r="A12" s="20" t="s">
        <v>714</v>
      </c>
      <c r="B12" s="29">
        <v>12</v>
      </c>
      <c r="C12" s="29">
        <v>47016.215489999995</v>
      </c>
    </row>
    <row r="13" spans="1:3" x14ac:dyDescent="0.35">
      <c r="A13" s="20" t="s">
        <v>713</v>
      </c>
      <c r="B13" s="29">
        <v>18</v>
      </c>
      <c r="C13" s="29">
        <v>78176.624599999981</v>
      </c>
    </row>
    <row r="14" spans="1:3" x14ac:dyDescent="0.35">
      <c r="A14" s="20" t="s">
        <v>723</v>
      </c>
      <c r="B14" s="29">
        <v>20</v>
      </c>
      <c r="C14" s="29">
        <v>110400.70138</v>
      </c>
    </row>
    <row r="15" spans="1:3" x14ac:dyDescent="0.35">
      <c r="A15" s="20" t="s">
        <v>716</v>
      </c>
      <c r="B15" s="29">
        <v>12</v>
      </c>
      <c r="C15" s="29">
        <v>62749.973510000003</v>
      </c>
    </row>
    <row r="16" spans="1:3" x14ac:dyDescent="0.35">
      <c r="A16" s="20" t="s">
        <v>724</v>
      </c>
      <c r="B16" s="29">
        <v>18</v>
      </c>
      <c r="C16" s="29">
        <v>130004.46140999996</v>
      </c>
    </row>
    <row r="17" spans="1:3" x14ac:dyDescent="0.35">
      <c r="A17" s="20" t="s">
        <v>725</v>
      </c>
      <c r="B17" s="29">
        <v>9</v>
      </c>
      <c r="C17" s="29">
        <v>48759.860899999985</v>
      </c>
    </row>
    <row r="18" spans="1:3" x14ac:dyDescent="0.35">
      <c r="A18" s="20" t="s">
        <v>719</v>
      </c>
      <c r="B18" s="29">
        <v>13</v>
      </c>
      <c r="C18" s="29">
        <v>69962.997009999992</v>
      </c>
    </row>
    <row r="19" spans="1:3" x14ac:dyDescent="0.35">
      <c r="A19" s="20" t="s">
        <v>1423</v>
      </c>
      <c r="B19" s="29">
        <v>4</v>
      </c>
      <c r="C19" s="29">
        <v>71812.642319999999</v>
      </c>
    </row>
    <row r="20" spans="1:3" x14ac:dyDescent="0.35">
      <c r="A20" s="20" t="s">
        <v>1464</v>
      </c>
      <c r="B20" s="29">
        <v>222</v>
      </c>
      <c r="C20" s="29">
        <v>1271751.8691199997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812E-F196-41BF-9EE6-2307DFD277DC}">
  <dimension ref="A3:D9"/>
  <sheetViews>
    <sheetView workbookViewId="0">
      <selection activeCell="D6" sqref="D6"/>
    </sheetView>
  </sheetViews>
  <sheetFormatPr defaultRowHeight="14.5" x14ac:dyDescent="0.35"/>
  <cols>
    <col min="1" max="1" width="19.1796875" bestFit="1" customWidth="1"/>
    <col min="2" max="2" width="15.26953125" bestFit="1" customWidth="1"/>
    <col min="3" max="4" width="11.81640625" bestFit="1" customWidth="1"/>
    <col min="5" max="5" width="20.1796875" bestFit="1" customWidth="1"/>
    <col min="6" max="6" width="24" bestFit="1" customWidth="1"/>
    <col min="7" max="7" width="25" bestFit="1" customWidth="1"/>
    <col min="8" max="9" width="11.81640625" bestFit="1" customWidth="1"/>
    <col min="10" max="10" width="19.1796875" bestFit="1" customWidth="1"/>
    <col min="11" max="11" width="20.1796875" bestFit="1" customWidth="1"/>
    <col min="12" max="12" width="19.1796875" bestFit="1" customWidth="1"/>
    <col min="13" max="13" width="20.1796875" bestFit="1" customWidth="1"/>
    <col min="14" max="14" width="19.1796875" bestFit="1" customWidth="1"/>
    <col min="15" max="15" width="20.1796875" bestFit="1" customWidth="1"/>
    <col min="16" max="16" width="24" bestFit="1" customWidth="1"/>
    <col min="17" max="17" width="25" bestFit="1" customWidth="1"/>
  </cols>
  <sheetData>
    <row r="3" spans="1:4" x14ac:dyDescent="0.35">
      <c r="A3" s="19" t="s">
        <v>1471</v>
      </c>
      <c r="B3" s="19" t="s">
        <v>1521</v>
      </c>
    </row>
    <row r="4" spans="1:4" x14ac:dyDescent="0.35">
      <c r="A4" s="19" t="s">
        <v>1463</v>
      </c>
      <c r="B4" t="s">
        <v>708</v>
      </c>
      <c r="C4" t="s">
        <v>707</v>
      </c>
      <c r="D4" t="s">
        <v>1464</v>
      </c>
    </row>
    <row r="5" spans="1:4" x14ac:dyDescent="0.35">
      <c r="A5" s="20" t="s">
        <v>646</v>
      </c>
      <c r="B5" s="29">
        <v>433406.33627000003</v>
      </c>
      <c r="C5" s="29">
        <v>518721.63466999994</v>
      </c>
      <c r="D5" s="29">
        <v>952127.97093999991</v>
      </c>
    </row>
    <row r="6" spans="1:4" x14ac:dyDescent="0.35">
      <c r="A6" s="20" t="s">
        <v>648</v>
      </c>
      <c r="B6" s="29">
        <v>689951.45436999993</v>
      </c>
      <c r="C6" s="29">
        <v>302853.57922000001</v>
      </c>
      <c r="D6" s="29">
        <v>992805.03358999989</v>
      </c>
    </row>
    <row r="7" spans="1:4" x14ac:dyDescent="0.35">
      <c r="A7" s="20" t="s">
        <v>647</v>
      </c>
      <c r="B7" s="29">
        <v>413661.50969000009</v>
      </c>
      <c r="C7" s="29">
        <v>693141.67983999988</v>
      </c>
      <c r="D7" s="29">
        <v>1106803.1895300001</v>
      </c>
    </row>
    <row r="8" spans="1:4" x14ac:dyDescent="0.35">
      <c r="A8" s="20" t="s">
        <v>649</v>
      </c>
      <c r="B8" s="29">
        <v>585406.72276999999</v>
      </c>
      <c r="C8" s="29">
        <v>466503.11229000008</v>
      </c>
      <c r="D8" s="29">
        <v>1051909.83506</v>
      </c>
    </row>
    <row r="9" spans="1:4" x14ac:dyDescent="0.35">
      <c r="A9" s="20" t="s">
        <v>1464</v>
      </c>
      <c r="B9" s="29">
        <v>2122426.0230999999</v>
      </c>
      <c r="C9" s="29">
        <v>1981220.00602</v>
      </c>
      <c r="D9" s="29">
        <v>4103646.0291199996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59850-0F1C-4F25-B349-816074C65A68}">
  <dimension ref="A1:B7"/>
  <sheetViews>
    <sheetView workbookViewId="0">
      <selection activeCell="A4" sqref="A4:B7"/>
    </sheetView>
  </sheetViews>
  <sheetFormatPr defaultRowHeight="14.5" x14ac:dyDescent="0.35"/>
  <cols>
    <col min="1" max="1" width="14.7265625" bestFit="1" customWidth="1"/>
    <col min="2" max="2" width="16.453125" bestFit="1" customWidth="1"/>
  </cols>
  <sheetData>
    <row r="1" spans="1:2" x14ac:dyDescent="0.35">
      <c r="A1" s="19" t="s">
        <v>4</v>
      </c>
      <c r="B1" t="s">
        <v>1522</v>
      </c>
    </row>
    <row r="2" spans="1:2" x14ac:dyDescent="0.35">
      <c r="A2" s="19" t="s">
        <v>9</v>
      </c>
      <c r="B2" t="s">
        <v>1534</v>
      </c>
    </row>
    <row r="4" spans="1:2" x14ac:dyDescent="0.35">
      <c r="A4" s="19" t="s">
        <v>1463</v>
      </c>
      <c r="B4" t="s">
        <v>1519</v>
      </c>
    </row>
    <row r="5" spans="1:2" x14ac:dyDescent="0.35">
      <c r="A5" s="20" t="s">
        <v>1524</v>
      </c>
      <c r="B5" s="29">
        <v>42</v>
      </c>
    </row>
    <row r="6" spans="1:2" x14ac:dyDescent="0.35">
      <c r="A6" s="20" t="s">
        <v>1525</v>
      </c>
      <c r="B6" s="29">
        <v>180</v>
      </c>
    </row>
    <row r="7" spans="1:2" x14ac:dyDescent="0.35">
      <c r="A7" s="20" t="s">
        <v>1464</v>
      </c>
      <c r="B7" s="29">
        <v>222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9D4D-A120-4639-A7EC-A4BE11453C55}">
  <dimension ref="A3:B5"/>
  <sheetViews>
    <sheetView workbookViewId="0">
      <selection activeCell="B4" sqref="B4"/>
    </sheetView>
  </sheetViews>
  <sheetFormatPr defaultRowHeight="14.5" x14ac:dyDescent="0.35"/>
  <cols>
    <col min="1" max="1" width="12.36328125" bestFit="1" customWidth="1"/>
    <col min="2" max="2" width="21.81640625" bestFit="1" customWidth="1"/>
  </cols>
  <sheetData>
    <row r="3" spans="1:2" x14ac:dyDescent="0.35">
      <c r="A3" s="19" t="s">
        <v>1463</v>
      </c>
      <c r="B3" t="s">
        <v>1526</v>
      </c>
    </row>
    <row r="4" spans="1:2" x14ac:dyDescent="0.35">
      <c r="A4" s="20" t="s">
        <v>1527</v>
      </c>
      <c r="B4" s="29">
        <v>222</v>
      </c>
    </row>
    <row r="5" spans="1:2" x14ac:dyDescent="0.35">
      <c r="A5" s="20" t="s">
        <v>1464</v>
      </c>
      <c r="B5" s="29">
        <v>222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6AC6-C642-4BB5-8025-6588052C0330}">
  <dimension ref="A2:F11"/>
  <sheetViews>
    <sheetView workbookViewId="0">
      <selection activeCell="C8" sqref="C8"/>
    </sheetView>
  </sheetViews>
  <sheetFormatPr defaultRowHeight="14.5" x14ac:dyDescent="0.35"/>
  <cols>
    <col min="1" max="1" width="22.36328125" bestFit="1" customWidth="1"/>
    <col min="2" max="2" width="17.08984375" bestFit="1" customWidth="1"/>
    <col min="3" max="3" width="16.6328125" bestFit="1" customWidth="1"/>
    <col min="5" max="5" width="17.7265625" bestFit="1" customWidth="1"/>
    <col min="9" max="9" width="19.1796875" bestFit="1" customWidth="1"/>
  </cols>
  <sheetData>
    <row r="2" spans="1:6" x14ac:dyDescent="0.35">
      <c r="A2" t="s">
        <v>1533</v>
      </c>
    </row>
    <row r="3" spans="1:6" x14ac:dyDescent="0.35">
      <c r="A3" t="s">
        <v>1532</v>
      </c>
      <c r="C3" t="s">
        <v>1528</v>
      </c>
      <c r="E3" t="s">
        <v>1478</v>
      </c>
    </row>
    <row r="4" spans="1:6" x14ac:dyDescent="0.35">
      <c r="A4" s="29">
        <v>18484.892023063057</v>
      </c>
      <c r="C4" t="s">
        <v>1471</v>
      </c>
      <c r="E4" t="s">
        <v>1530</v>
      </c>
    </row>
    <row r="5" spans="1:6" x14ac:dyDescent="0.35">
      <c r="C5" s="29">
        <v>4103646.0291199987</v>
      </c>
      <c r="E5" s="29">
        <v>-9.681797821679157E-2</v>
      </c>
    </row>
    <row r="7" spans="1:6" x14ac:dyDescent="0.35">
      <c r="C7" t="s">
        <v>1529</v>
      </c>
      <c r="E7" t="s">
        <v>1531</v>
      </c>
    </row>
    <row r="8" spans="1:6" x14ac:dyDescent="0.35">
      <c r="C8" t="s">
        <v>1520</v>
      </c>
      <c r="E8" s="28" t="s">
        <v>1463</v>
      </c>
      <c r="F8" s="28" t="s">
        <v>1519</v>
      </c>
    </row>
    <row r="9" spans="1:6" x14ac:dyDescent="0.35">
      <c r="C9" s="29">
        <v>1271751.8691199995</v>
      </c>
      <c r="E9" s="20" t="s">
        <v>1524</v>
      </c>
      <c r="F9" s="29">
        <v>138</v>
      </c>
    </row>
    <row r="10" spans="1:6" x14ac:dyDescent="0.35">
      <c r="E10" s="20" t="s">
        <v>1525</v>
      </c>
      <c r="F10" s="29">
        <v>494</v>
      </c>
    </row>
    <row r="11" spans="1:6" x14ac:dyDescent="0.35">
      <c r="E11" s="31" t="s">
        <v>1464</v>
      </c>
      <c r="F11" s="32">
        <v>632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EE855-B010-4A59-B18C-77B6B719B1EB}">
  <dimension ref="A3:B16"/>
  <sheetViews>
    <sheetView workbookViewId="0">
      <selection activeCell="M10" sqref="M10"/>
    </sheetView>
  </sheetViews>
  <sheetFormatPr defaultRowHeight="14.5" x14ac:dyDescent="0.35"/>
  <cols>
    <col min="1" max="1" width="12.36328125" bestFit="1" customWidth="1"/>
    <col min="2" max="2" width="19.1796875" bestFit="1" customWidth="1"/>
  </cols>
  <sheetData>
    <row r="3" spans="1:2" x14ac:dyDescent="0.35">
      <c r="A3" s="19" t="s">
        <v>1463</v>
      </c>
      <c r="B3" t="s">
        <v>1471</v>
      </c>
    </row>
    <row r="4" spans="1:2" x14ac:dyDescent="0.35">
      <c r="A4" s="20" t="s">
        <v>1472</v>
      </c>
      <c r="B4" s="29">
        <v>318134.74194999994</v>
      </c>
    </row>
    <row r="5" spans="1:2" x14ac:dyDescent="0.35">
      <c r="A5" s="20" t="s">
        <v>1473</v>
      </c>
      <c r="B5" s="29">
        <v>284475.12923000002</v>
      </c>
    </row>
    <row r="6" spans="1:2" x14ac:dyDescent="0.35">
      <c r="A6" s="20" t="s">
        <v>1474</v>
      </c>
      <c r="B6" s="29">
        <v>283874.26403999998</v>
      </c>
    </row>
    <row r="7" spans="1:2" x14ac:dyDescent="0.35">
      <c r="A7" s="20" t="s">
        <v>1484</v>
      </c>
      <c r="B7" s="29">
        <v>267535.34538999997</v>
      </c>
    </row>
    <row r="8" spans="1:2" x14ac:dyDescent="0.35">
      <c r="A8" s="20" t="s">
        <v>1485</v>
      </c>
      <c r="B8" s="29">
        <v>652806.9549100002</v>
      </c>
    </row>
    <row r="9" spans="1:2" x14ac:dyDescent="0.35">
      <c r="A9" s="20" t="s">
        <v>1486</v>
      </c>
      <c r="B9" s="29">
        <v>258387.97100000002</v>
      </c>
    </row>
    <row r="10" spans="1:2" x14ac:dyDescent="0.35">
      <c r="A10" s="20" t="s">
        <v>1487</v>
      </c>
      <c r="B10" s="29">
        <v>676583.1457799999</v>
      </c>
    </row>
    <row r="11" spans="1:2" x14ac:dyDescent="0.35">
      <c r="A11" s="20" t="s">
        <v>1488</v>
      </c>
      <c r="B11" s="29">
        <v>386725.99842999998</v>
      </c>
    </row>
    <row r="12" spans="1:2" x14ac:dyDescent="0.35">
      <c r="A12" s="20" t="s">
        <v>1489</v>
      </c>
      <c r="B12" s="29">
        <v>335741.81115999998</v>
      </c>
    </row>
    <row r="13" spans="1:2" x14ac:dyDescent="0.35">
      <c r="A13" s="20" t="s">
        <v>1490</v>
      </c>
      <c r="B13" s="29">
        <v>186218.98044000001</v>
      </c>
    </row>
    <row r="14" spans="1:2" x14ac:dyDescent="0.35">
      <c r="A14" s="20" t="s">
        <v>1491</v>
      </c>
      <c r="B14" s="29">
        <v>176442.57738</v>
      </c>
    </row>
    <row r="15" spans="1:2" x14ac:dyDescent="0.35">
      <c r="A15" s="20" t="s">
        <v>1492</v>
      </c>
      <c r="B15" s="29">
        <v>276719.10940999998</v>
      </c>
    </row>
    <row r="16" spans="1:2" x14ac:dyDescent="0.35">
      <c r="A16" s="20" t="s">
        <v>1464</v>
      </c>
      <c r="B16" s="29">
        <v>4103646.0291200005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3436-6C45-4D32-AA56-1C01DCD16BD2}">
  <dimension ref="A1:AQ633"/>
  <sheetViews>
    <sheetView topLeftCell="AF26" workbookViewId="0">
      <selection activeCell="AJ41" sqref="AJ41"/>
    </sheetView>
  </sheetViews>
  <sheetFormatPr defaultRowHeight="14.5" x14ac:dyDescent="0.35"/>
  <cols>
    <col min="1" max="1" width="15.90625" style="2" bestFit="1" customWidth="1"/>
    <col min="2" max="2" width="15" style="5" bestFit="1" customWidth="1"/>
    <col min="3" max="7" width="15" style="5" customWidth="1"/>
    <col min="8" max="8" width="18.08984375" style="5" bestFit="1" customWidth="1"/>
    <col min="9" max="10" width="23.26953125" style="5" bestFit="1" customWidth="1"/>
    <col min="11" max="12" width="23.26953125" style="16" customWidth="1"/>
    <col min="13" max="13" width="11.6328125" style="2" bestFit="1" customWidth="1"/>
    <col min="14" max="14" width="14.1796875" style="2" bestFit="1" customWidth="1"/>
    <col min="15" max="15" width="12.453125" style="2" bestFit="1" customWidth="1"/>
    <col min="16" max="16" width="34.36328125" style="29" bestFit="1" customWidth="1"/>
    <col min="17" max="17" width="22.36328125" style="2" bestFit="1" customWidth="1"/>
    <col min="18" max="18" width="12.81640625" style="2" bestFit="1" customWidth="1"/>
    <col min="19" max="19" width="16.36328125" style="2" bestFit="1" customWidth="1"/>
    <col min="20" max="20" width="20.7265625" style="2" bestFit="1" customWidth="1"/>
    <col min="21" max="21" width="20.7265625" customWidth="1"/>
    <col min="22" max="22" width="9.81640625" style="2" bestFit="1" customWidth="1"/>
    <col min="23" max="23" width="13.26953125" style="7" bestFit="1" customWidth="1"/>
    <col min="24" max="24" width="13.81640625" style="7" bestFit="1" customWidth="1"/>
    <col min="25" max="25" width="18.54296875" style="7" bestFit="1" customWidth="1"/>
    <col min="26" max="26" width="18.54296875" style="7" customWidth="1"/>
    <col min="27" max="27" width="16.1796875" style="13" bestFit="1" customWidth="1"/>
    <col min="28" max="28" width="16.1796875" style="13" customWidth="1"/>
    <col min="29" max="29" width="22.08984375" style="13" bestFit="1" customWidth="1"/>
    <col min="30" max="30" width="13.26953125" style="7" bestFit="1" customWidth="1"/>
    <col min="31" max="31" width="14" bestFit="1" customWidth="1"/>
    <col min="32" max="33" width="14" customWidth="1"/>
    <col min="34" max="35" width="14" style="13" customWidth="1"/>
    <col min="36" max="36" width="16.7265625" bestFit="1" customWidth="1"/>
  </cols>
  <sheetData>
    <row r="1" spans="1:43" ht="15.5" x14ac:dyDescent="0.35">
      <c r="A1" s="3" t="s">
        <v>0</v>
      </c>
      <c r="B1" s="4" t="s">
        <v>1</v>
      </c>
      <c r="C1" s="4" t="s">
        <v>1475</v>
      </c>
      <c r="D1" s="4" t="s">
        <v>1483</v>
      </c>
      <c r="E1" s="4" t="s">
        <v>1476</v>
      </c>
      <c r="F1" s="4" t="s">
        <v>1470</v>
      </c>
      <c r="G1" s="4" t="s">
        <v>1469</v>
      </c>
      <c r="H1" s="4" t="s">
        <v>2</v>
      </c>
      <c r="I1" s="4" t="s">
        <v>1441</v>
      </c>
      <c r="J1" s="4" t="s">
        <v>1444</v>
      </c>
      <c r="K1" s="15" t="s">
        <v>1452</v>
      </c>
      <c r="L1" s="15" t="s">
        <v>1523</v>
      </c>
      <c r="M1" s="3" t="s">
        <v>3</v>
      </c>
      <c r="N1" s="3" t="s">
        <v>4</v>
      </c>
      <c r="O1" s="3" t="s">
        <v>5</v>
      </c>
      <c r="P1" s="30" t="s">
        <v>1477</v>
      </c>
      <c r="Q1" s="3" t="s">
        <v>6</v>
      </c>
      <c r="R1" s="3" t="s">
        <v>7</v>
      </c>
      <c r="S1" s="3" t="s">
        <v>8</v>
      </c>
      <c r="T1" s="3" t="s">
        <v>9</v>
      </c>
      <c r="U1" s="22" t="s">
        <v>1481</v>
      </c>
      <c r="V1" s="3" t="s">
        <v>10</v>
      </c>
      <c r="W1" s="6" t="s">
        <v>11</v>
      </c>
      <c r="X1" s="6" t="s">
        <v>12</v>
      </c>
      <c r="Y1" s="6" t="s">
        <v>1436</v>
      </c>
      <c r="Z1" s="6" t="s">
        <v>1482</v>
      </c>
      <c r="AA1" s="12" t="s">
        <v>1479</v>
      </c>
      <c r="AB1" s="12" t="s">
        <v>1480</v>
      </c>
      <c r="AC1" s="12" t="s">
        <v>1440</v>
      </c>
      <c r="AD1" s="6" t="s">
        <v>14</v>
      </c>
      <c r="AE1" s="17" t="s">
        <v>1455</v>
      </c>
      <c r="AF1" s="18" t="s">
        <v>1456</v>
      </c>
      <c r="AG1" s="18" t="s">
        <v>1457</v>
      </c>
      <c r="AH1" s="18" t="s">
        <v>1478</v>
      </c>
      <c r="AI1" s="18"/>
      <c r="AJ1" s="9" t="s">
        <v>1424</v>
      </c>
    </row>
    <row r="2" spans="1:43" x14ac:dyDescent="0.35">
      <c r="A2" s="2" t="s">
        <v>15</v>
      </c>
      <c r="B2" s="5">
        <v>45362</v>
      </c>
      <c r="C2" s="5">
        <f>IF(H2&lt;B2,H2,B2)</f>
        <v>45362</v>
      </c>
      <c r="D2" s="5" t="str">
        <f>TEXT(B2,"MMM-YYYY")</f>
        <v>Mar-2024</v>
      </c>
      <c r="E2" s="5" t="str">
        <f>TEXT(C2,"MMM")</f>
        <v>Mar</v>
      </c>
      <c r="F2" s="5" t="str">
        <f>TEXT(C2,"YYYY")</f>
        <v>2024</v>
      </c>
      <c r="G2" s="5" t="str">
        <f>IF(MONTH(D2)&lt;=3,"Q1",IF(MONTH(D2)&lt;=6,"Q2",IF(MONTH(D2)&lt;=9,"Q3","Q4")))&amp;"-"&amp;YEAR(C2)</f>
        <v>Q1-2024</v>
      </c>
      <c r="H2" s="5">
        <v>45388</v>
      </c>
      <c r="I2" s="5">
        <f>IF(H2&lt;B2, B2+7, H2)</f>
        <v>45388</v>
      </c>
      <c r="J2" s="5" t="str">
        <f>IF(H2&lt;B2, "Invalid","Okay")</f>
        <v>Okay</v>
      </c>
      <c r="K2" s="16">
        <f>I2-C2</f>
        <v>26</v>
      </c>
      <c r="L2" s="16" t="str">
        <f>IF(K2&lt;=7,"Target Met","Target Not Met")</f>
        <v>Target Not Met</v>
      </c>
      <c r="M2" s="2" t="s">
        <v>646</v>
      </c>
      <c r="N2" s="2" t="s">
        <v>650</v>
      </c>
      <c r="O2" s="2" t="s">
        <v>662</v>
      </c>
      <c r="P2" s="29" t="str">
        <f>_xlfn.CONCAT(M2,"→",N2,"→",O2)</f>
        <v>Africa→Kenya→Kisumu</v>
      </c>
      <c r="Q2" s="2" t="s">
        <v>701</v>
      </c>
      <c r="R2" s="2" t="s">
        <v>707</v>
      </c>
      <c r="S2" s="2" t="s">
        <v>712</v>
      </c>
      <c r="T2" s="2" t="s">
        <v>727</v>
      </c>
      <c r="U2" t="e">
        <f>(AE2/#REF!)*100</f>
        <v>#REF!</v>
      </c>
      <c r="V2" s="2" t="s">
        <v>734</v>
      </c>
      <c r="W2" s="7">
        <v>279.24</v>
      </c>
      <c r="X2" s="7">
        <v>608.9</v>
      </c>
      <c r="Y2" s="7">
        <f>ABS(X2)</f>
        <v>608.9</v>
      </c>
      <c r="Z2" s="7" t="str">
        <f>IF(Y2&lt;1193.97,"Low",IF(Y2&lt;1912.05,"Medium","High"))</f>
        <v>Low</v>
      </c>
      <c r="AA2" s="13">
        <v>0.112</v>
      </c>
      <c r="AB2" s="13">
        <f>IF(AA2&gt;30%,"12.14%", AA2)</f>
        <v>0.112</v>
      </c>
      <c r="AC2" s="13" t="str">
        <f>IF(AA2&gt;30%, "High", "OK")</f>
        <v>OK</v>
      </c>
      <c r="AD2" s="7">
        <v>9</v>
      </c>
      <c r="AE2" s="7">
        <f>Y2*AD2*(1-AB2)</f>
        <v>4866.3287999999993</v>
      </c>
      <c r="AF2" s="7">
        <f>W2*AD2</f>
        <v>2513.16</v>
      </c>
      <c r="AG2" s="7">
        <f>AE2-AF2</f>
        <v>2353.1687999999995</v>
      </c>
      <c r="AH2" s="13">
        <f>IF(AE2=0,0,AG2/AE2)</f>
        <v>0.48356140670149533</v>
      </c>
      <c r="AJ2" s="10" t="s">
        <v>1425</v>
      </c>
      <c r="AK2" s="10"/>
      <c r="AL2" s="10"/>
      <c r="AM2" s="10"/>
      <c r="AN2" s="10"/>
      <c r="AO2" s="10"/>
      <c r="AP2" s="10"/>
    </row>
    <row r="3" spans="1:43" x14ac:dyDescent="0.35">
      <c r="A3" s="2" t="s">
        <v>16</v>
      </c>
      <c r="B3" s="5">
        <v>45588</v>
      </c>
      <c r="C3" s="5">
        <f>IF(H3&lt;B3,H3,B3)</f>
        <v>45587</v>
      </c>
      <c r="D3" s="5" t="str">
        <f t="shared" ref="D3:D66" si="0">TEXT(B3,"MMM-YYYY")</f>
        <v>Oct-2024</v>
      </c>
      <c r="E3" s="5" t="str">
        <f t="shared" ref="E3:E66" si="1">TEXT(C3,"MMM")</f>
        <v>Oct</v>
      </c>
      <c r="F3" s="5" t="str">
        <f t="shared" ref="F3:F66" si="2">TEXT(C3,"YYYY")</f>
        <v>2024</v>
      </c>
      <c r="G3" s="5" t="str">
        <f t="shared" ref="G3:G66" si="3">IF(MONTH(D3)&lt;=3,"Q1",IF(MONTH(D3)&lt;=6,"Q2",IF(MONTH(D3)&lt;=9,"Q3","Q4")))&amp;"-"&amp;YEAR(C3)</f>
        <v>Q4-2024</v>
      </c>
      <c r="H3" s="5">
        <v>45587</v>
      </c>
      <c r="I3" s="5">
        <f>IF(H3&lt;B3, B3+7, H3)</f>
        <v>45595</v>
      </c>
      <c r="J3" s="5" t="str">
        <f>IF(H3&lt;B3, "Invalid","Okay")</f>
        <v>Invalid</v>
      </c>
      <c r="K3" s="16">
        <f>I3-C3</f>
        <v>8</v>
      </c>
      <c r="L3" s="16" t="str">
        <f t="shared" ref="L3:L66" si="4">IF(K3&lt;=7,"Target Met","Target Not Met")</f>
        <v>Target Not Met</v>
      </c>
      <c r="M3" s="2" t="s">
        <v>646</v>
      </c>
      <c r="N3" s="2" t="s">
        <v>651</v>
      </c>
      <c r="O3" s="2" t="s">
        <v>663</v>
      </c>
      <c r="P3" s="29" t="str">
        <f t="shared" ref="P3:P66" si="5">_xlfn.CONCAT(M3,"→",N3,"→",O3)</f>
        <v>Africa→Nigeria→Port Harcourt</v>
      </c>
      <c r="Q3" s="2" t="s">
        <v>702</v>
      </c>
      <c r="R3" s="2" t="s">
        <v>708</v>
      </c>
      <c r="S3" s="2" t="s">
        <v>713</v>
      </c>
      <c r="T3" s="2" t="s">
        <v>728</v>
      </c>
      <c r="U3" t="e">
        <f>(AE3/#REF!)*100</f>
        <v>#REF!</v>
      </c>
      <c r="V3" s="2" t="s">
        <v>735</v>
      </c>
      <c r="W3" s="7">
        <v>1084.3900000000001</v>
      </c>
      <c r="X3" s="7">
        <v>759.33</v>
      </c>
      <c r="Y3" s="7">
        <f t="shared" ref="Y3:Y66" si="6">ABS(X3)</f>
        <v>759.33</v>
      </c>
      <c r="Z3" s="7" t="str">
        <f t="shared" ref="Z3:Z66" si="7">IF(Y3&lt;1193.97,"Low",IF(Y3&lt;1912.05,"Medium","High"))</f>
        <v>Low</v>
      </c>
      <c r="AA3" s="13">
        <v>0.23699999999999999</v>
      </c>
      <c r="AB3" s="13">
        <f t="shared" ref="AB3:AB66" si="8">IF(AA3&gt;30%,"12.14%", AA3)</f>
        <v>0.23699999999999999</v>
      </c>
      <c r="AC3" s="13" t="str">
        <f t="shared" ref="AC3:AC66" si="9">IF(AA3&gt;30%, "High", "OK")</f>
        <v>OK</v>
      </c>
      <c r="AD3" s="7">
        <v>31</v>
      </c>
      <c r="AE3" s="7">
        <f>Y3*AD3*(1-AB3)</f>
        <v>17960.432489999999</v>
      </c>
      <c r="AF3" s="7">
        <f>W3*AD3</f>
        <v>33616.090000000004</v>
      </c>
      <c r="AG3" s="7">
        <f t="shared" ref="AG3:AG66" si="10">AE3-AF3</f>
        <v>-15655.657510000005</v>
      </c>
      <c r="AH3" s="13">
        <f t="shared" ref="AH3:AH66" si="11">IF(AE3=0,0,AG3/AE3)</f>
        <v>-0.87167486187856302</v>
      </c>
      <c r="AJ3" s="10" t="s">
        <v>1426</v>
      </c>
      <c r="AK3" s="10"/>
      <c r="AL3" s="10"/>
      <c r="AM3" s="10"/>
      <c r="AN3" s="10"/>
      <c r="AO3" s="10"/>
      <c r="AP3" s="10"/>
    </row>
    <row r="4" spans="1:43" x14ac:dyDescent="0.35">
      <c r="A4" s="2" t="s">
        <v>17</v>
      </c>
      <c r="B4" s="5">
        <v>44985</v>
      </c>
      <c r="C4" s="5">
        <f>IF(H4&lt;B4,H4,B4)</f>
        <v>44985</v>
      </c>
      <c r="D4" s="5" t="str">
        <f t="shared" si="0"/>
        <v>Feb-2023</v>
      </c>
      <c r="E4" s="5" t="str">
        <f t="shared" si="1"/>
        <v>Feb</v>
      </c>
      <c r="F4" s="5" t="str">
        <f t="shared" si="2"/>
        <v>2023</v>
      </c>
      <c r="G4" s="5" t="str">
        <f t="shared" si="3"/>
        <v>Q1-2023</v>
      </c>
      <c r="H4" s="5">
        <v>45010</v>
      </c>
      <c r="I4" s="5">
        <f>IF(H4&lt;B4, B4+7, H4)</f>
        <v>45010</v>
      </c>
      <c r="J4" s="5" t="str">
        <f>IF(H4&lt;B4, "Invalid","Okay")</f>
        <v>Okay</v>
      </c>
      <c r="K4" s="16">
        <f>I4-C4</f>
        <v>25</v>
      </c>
      <c r="L4" s="16" t="str">
        <f t="shared" si="4"/>
        <v>Target Not Met</v>
      </c>
      <c r="M4" s="2" t="s">
        <v>646</v>
      </c>
      <c r="N4" s="2" t="s">
        <v>650</v>
      </c>
      <c r="O4" s="2" t="s">
        <v>664</v>
      </c>
      <c r="P4" s="29" t="str">
        <f t="shared" si="5"/>
        <v>Africa→Kenya→Nairobi</v>
      </c>
      <c r="Q4" s="2" t="s">
        <v>701</v>
      </c>
      <c r="R4" s="2" t="s">
        <v>707</v>
      </c>
      <c r="S4" s="2" t="s">
        <v>714</v>
      </c>
      <c r="T4" s="2" t="s">
        <v>729</v>
      </c>
      <c r="U4" t="e">
        <f>(AE4/#REF!)*100</f>
        <v>#REF!</v>
      </c>
      <c r="V4" s="2" t="s">
        <v>736</v>
      </c>
      <c r="W4" s="7">
        <v>1460.76</v>
      </c>
      <c r="X4" s="7">
        <v>-30.66</v>
      </c>
      <c r="Y4" s="7">
        <f t="shared" si="6"/>
        <v>30.66</v>
      </c>
      <c r="Z4" s="7" t="str">
        <f t="shared" si="7"/>
        <v>Low</v>
      </c>
      <c r="AA4" s="13">
        <v>0.13100000000000001</v>
      </c>
      <c r="AB4" s="13">
        <f t="shared" si="8"/>
        <v>0.13100000000000001</v>
      </c>
      <c r="AC4" s="13" t="str">
        <f t="shared" si="9"/>
        <v>OK</v>
      </c>
      <c r="AD4" s="7">
        <v>12</v>
      </c>
      <c r="AE4" s="7">
        <f>Y4*AD4*(1-AB4)</f>
        <v>319.72248000000002</v>
      </c>
      <c r="AF4" s="7">
        <f>W4*AD4</f>
        <v>17529.12</v>
      </c>
      <c r="AG4" s="7">
        <f t="shared" si="10"/>
        <v>-17209.397519999999</v>
      </c>
      <c r="AH4" s="13">
        <f t="shared" si="11"/>
        <v>-53.826047890032626</v>
      </c>
      <c r="AJ4" t="s">
        <v>1429</v>
      </c>
    </row>
    <row r="5" spans="1:43" x14ac:dyDescent="0.35">
      <c r="A5" s="2" t="s">
        <v>18</v>
      </c>
      <c r="B5" s="5">
        <v>45745</v>
      </c>
      <c r="C5" s="5">
        <f>IF(H5&lt;B5,H5,B5)</f>
        <v>45745</v>
      </c>
      <c r="D5" s="5" t="str">
        <f t="shared" si="0"/>
        <v>Mar-2025</v>
      </c>
      <c r="E5" s="5" t="str">
        <f t="shared" si="1"/>
        <v>Mar</v>
      </c>
      <c r="F5" s="5" t="str">
        <f t="shared" si="2"/>
        <v>2025</v>
      </c>
      <c r="G5" s="5" t="str">
        <f t="shared" si="3"/>
        <v>Q1-2025</v>
      </c>
      <c r="H5" s="5">
        <v>45749</v>
      </c>
      <c r="I5" s="5">
        <f>IF(H5&lt;B5, B5+7, H5)</f>
        <v>45749</v>
      </c>
      <c r="J5" s="5" t="str">
        <f>IF(H5&lt;B5, "Invalid","Okay")</f>
        <v>Okay</v>
      </c>
      <c r="K5" s="16">
        <f>I5-C5</f>
        <v>4</v>
      </c>
      <c r="L5" s="16" t="str">
        <f t="shared" si="4"/>
        <v>Target Met</v>
      </c>
      <c r="M5" s="2" t="s">
        <v>646</v>
      </c>
      <c r="N5" s="2" t="s">
        <v>651</v>
      </c>
      <c r="O5" s="2" t="s">
        <v>665</v>
      </c>
      <c r="P5" s="29" t="str">
        <f t="shared" si="5"/>
        <v>Africa→Nigeria→Lagos</v>
      </c>
      <c r="Q5" s="2" t="s">
        <v>703</v>
      </c>
      <c r="R5" s="2" t="s">
        <v>709</v>
      </c>
      <c r="S5" s="2" t="s">
        <v>715</v>
      </c>
      <c r="T5" s="2" t="s">
        <v>730</v>
      </c>
      <c r="U5" t="e">
        <f>(AE5/#REF!)*100</f>
        <v>#REF!</v>
      </c>
      <c r="V5" s="2" t="s">
        <v>737</v>
      </c>
      <c r="W5" s="7">
        <v>259.93</v>
      </c>
      <c r="X5" s="7">
        <v>255.94</v>
      </c>
      <c r="Y5" s="7">
        <f t="shared" si="6"/>
        <v>255.94</v>
      </c>
      <c r="Z5" s="7" t="str">
        <f t="shared" si="7"/>
        <v>Low</v>
      </c>
      <c r="AA5" s="13">
        <v>7.1999999999999995E-2</v>
      </c>
      <c r="AB5" s="13">
        <f t="shared" si="8"/>
        <v>7.1999999999999995E-2</v>
      </c>
      <c r="AC5" s="13" t="str">
        <f t="shared" si="9"/>
        <v>OK</v>
      </c>
      <c r="AD5" s="7">
        <v>22</v>
      </c>
      <c r="AE5" s="7">
        <f>Y5*AD5*(1-AB5)</f>
        <v>5225.2710400000005</v>
      </c>
      <c r="AF5" s="7">
        <f>W5*AD5</f>
        <v>5718.46</v>
      </c>
      <c r="AG5" s="7">
        <f t="shared" si="10"/>
        <v>-493.1889599999995</v>
      </c>
      <c r="AH5" s="13">
        <f t="shared" si="11"/>
        <v>-9.4385335463861311E-2</v>
      </c>
      <c r="AJ5" s="10" t="s">
        <v>1427</v>
      </c>
      <c r="AK5" s="10"/>
      <c r="AL5" s="10"/>
      <c r="AM5" s="10"/>
      <c r="AN5" s="10"/>
      <c r="AO5" s="10"/>
      <c r="AP5" s="10"/>
      <c r="AQ5" s="10"/>
    </row>
    <row r="6" spans="1:43" x14ac:dyDescent="0.35">
      <c r="A6" s="2" t="s">
        <v>19</v>
      </c>
      <c r="B6" s="5">
        <v>45266</v>
      </c>
      <c r="C6" s="5">
        <f>IF(H6&lt;B6,H6,B6)</f>
        <v>45266</v>
      </c>
      <c r="D6" s="5" t="str">
        <f t="shared" si="0"/>
        <v>Dec-2023</v>
      </c>
      <c r="E6" s="5" t="str">
        <f t="shared" si="1"/>
        <v>Dec</v>
      </c>
      <c r="F6" s="5" t="str">
        <f t="shared" si="2"/>
        <v>2023</v>
      </c>
      <c r="G6" s="5" t="str">
        <f t="shared" si="3"/>
        <v>Q4-2023</v>
      </c>
      <c r="H6" s="5">
        <v>45291</v>
      </c>
      <c r="I6" s="5">
        <f>IF(H6&lt;B6, B6+7, H6)</f>
        <v>45291</v>
      </c>
      <c r="J6" s="5" t="str">
        <f>IF(H6&lt;B6, "Invalid","Okay")</f>
        <v>Okay</v>
      </c>
      <c r="K6" s="16">
        <f>I6-C6</f>
        <v>25</v>
      </c>
      <c r="L6" s="16" t="str">
        <f t="shared" si="4"/>
        <v>Target Not Met</v>
      </c>
      <c r="M6" s="2" t="s">
        <v>647</v>
      </c>
      <c r="N6" s="2" t="s">
        <v>652</v>
      </c>
      <c r="O6" s="2" t="s">
        <v>666</v>
      </c>
      <c r="P6" s="29" t="str">
        <f t="shared" si="5"/>
        <v>Asia→Japan→Osaka</v>
      </c>
      <c r="Q6" s="2" t="s">
        <v>704</v>
      </c>
      <c r="R6" s="2" t="s">
        <v>707</v>
      </c>
      <c r="S6" s="2" t="s">
        <v>716</v>
      </c>
      <c r="T6" s="2" t="s">
        <v>728</v>
      </c>
      <c r="U6" t="e">
        <f>(AE6/#REF!)*100</f>
        <v>#REF!</v>
      </c>
      <c r="V6" s="2" t="s">
        <v>738</v>
      </c>
      <c r="W6" s="7">
        <v>663.03</v>
      </c>
      <c r="X6" s="7">
        <v>813.51</v>
      </c>
      <c r="Y6" s="7">
        <f t="shared" si="6"/>
        <v>813.51</v>
      </c>
      <c r="Z6" s="7" t="str">
        <f t="shared" si="7"/>
        <v>Low</v>
      </c>
      <c r="AA6" s="13">
        <v>0.10199999999999999</v>
      </c>
      <c r="AB6" s="13">
        <f t="shared" si="8"/>
        <v>0.10199999999999999</v>
      </c>
      <c r="AC6" s="13" t="str">
        <f t="shared" si="9"/>
        <v>OK</v>
      </c>
      <c r="AD6" s="7">
        <v>15</v>
      </c>
      <c r="AE6" s="7">
        <f>Y6*AD6*(1-AB6)</f>
        <v>10957.9797</v>
      </c>
      <c r="AF6" s="7">
        <f>W6*AD6</f>
        <v>9945.4499999999989</v>
      </c>
      <c r="AG6" s="7">
        <f t="shared" si="10"/>
        <v>1012.529700000001</v>
      </c>
      <c r="AH6" s="13">
        <f t="shared" si="11"/>
        <v>9.2401129379715952E-2</v>
      </c>
      <c r="AJ6" s="5" t="s">
        <v>1428</v>
      </c>
    </row>
    <row r="7" spans="1:43" x14ac:dyDescent="0.35">
      <c r="A7" s="2" t="s">
        <v>20</v>
      </c>
      <c r="B7" s="5">
        <v>44928</v>
      </c>
      <c r="C7" s="5">
        <f>IF(H7&lt;B7,H7,B7)</f>
        <v>44928</v>
      </c>
      <c r="D7" s="5" t="str">
        <f t="shared" si="0"/>
        <v>Jan-2023</v>
      </c>
      <c r="E7" s="5" t="str">
        <f t="shared" si="1"/>
        <v>Jan</v>
      </c>
      <c r="F7" s="5" t="str">
        <f t="shared" si="2"/>
        <v>2023</v>
      </c>
      <c r="G7" s="5" t="str">
        <f t="shared" si="3"/>
        <v>Q1-2023</v>
      </c>
      <c r="H7" s="5">
        <v>44931</v>
      </c>
      <c r="I7" s="5">
        <f>IF(H7&lt;B7, B7+7, H7)</f>
        <v>44931</v>
      </c>
      <c r="J7" s="5" t="str">
        <f>IF(H7&lt;B7, "Invalid","Okay")</f>
        <v>Okay</v>
      </c>
      <c r="K7" s="16">
        <f>I7-C7</f>
        <v>3</v>
      </c>
      <c r="L7" s="16" t="str">
        <f t="shared" si="4"/>
        <v>Target Met</v>
      </c>
      <c r="M7" s="2" t="s">
        <v>648</v>
      </c>
      <c r="N7" s="2" t="s">
        <v>653</v>
      </c>
      <c r="O7" s="2" t="s">
        <v>667</v>
      </c>
      <c r="P7" s="29" t="str">
        <f t="shared" si="5"/>
        <v>Americas→Canada→Toronto</v>
      </c>
      <c r="Q7" s="2" t="s">
        <v>701</v>
      </c>
      <c r="R7" s="2" t="s">
        <v>710</v>
      </c>
      <c r="S7" s="2" t="s">
        <v>717</v>
      </c>
      <c r="T7" s="2" t="s">
        <v>731</v>
      </c>
      <c r="U7" t="e">
        <f>(AE7/#REF!)*100</f>
        <v>#REF!</v>
      </c>
      <c r="V7" s="2" t="s">
        <v>739</v>
      </c>
      <c r="W7" s="7">
        <v>315.87</v>
      </c>
      <c r="X7" s="7">
        <v>591.67999999999995</v>
      </c>
      <c r="Y7" s="7">
        <f t="shared" si="6"/>
        <v>591.67999999999995</v>
      </c>
      <c r="Z7" s="7" t="str">
        <f t="shared" si="7"/>
        <v>Low</v>
      </c>
      <c r="AA7" s="13">
        <v>0</v>
      </c>
      <c r="AB7" s="13">
        <f t="shared" si="8"/>
        <v>0</v>
      </c>
      <c r="AC7" s="13" t="str">
        <f t="shared" si="9"/>
        <v>OK</v>
      </c>
      <c r="AD7" s="7">
        <v>7</v>
      </c>
      <c r="AE7" s="7">
        <f>Y7*AD7*(1-AB7)</f>
        <v>4141.7599999999993</v>
      </c>
      <c r="AF7" s="7">
        <f>W7*AD7</f>
        <v>2211.09</v>
      </c>
      <c r="AG7" s="7">
        <f t="shared" si="10"/>
        <v>1930.6699999999992</v>
      </c>
      <c r="AH7" s="13">
        <f t="shared" si="11"/>
        <v>0.46614724175229844</v>
      </c>
      <c r="AJ7" s="11" t="s">
        <v>1430</v>
      </c>
      <c r="AK7" s="10"/>
    </row>
    <row r="8" spans="1:43" x14ac:dyDescent="0.35">
      <c r="A8" s="2" t="s">
        <v>21</v>
      </c>
      <c r="B8" s="5">
        <v>45653</v>
      </c>
      <c r="C8" s="5">
        <f>IF(H8&lt;B8,H8,B8)</f>
        <v>45653</v>
      </c>
      <c r="D8" s="5" t="str">
        <f t="shared" si="0"/>
        <v>Dec-2024</v>
      </c>
      <c r="E8" s="5" t="str">
        <f t="shared" si="1"/>
        <v>Dec</v>
      </c>
      <c r="F8" s="5" t="str">
        <f t="shared" si="2"/>
        <v>2024</v>
      </c>
      <c r="G8" s="5" t="str">
        <f t="shared" si="3"/>
        <v>Q4-2024</v>
      </c>
      <c r="H8" s="5">
        <v>45671</v>
      </c>
      <c r="I8" s="5">
        <f>IF(H8&lt;B8, B8+7, H8)</f>
        <v>45671</v>
      </c>
      <c r="J8" s="5" t="str">
        <f>IF(H8&lt;B8, "Invalid","Okay")</f>
        <v>Okay</v>
      </c>
      <c r="K8" s="16">
        <f>I8-C8</f>
        <v>18</v>
      </c>
      <c r="L8" s="16" t="str">
        <f t="shared" si="4"/>
        <v>Target Not Met</v>
      </c>
      <c r="M8" s="2" t="s">
        <v>647</v>
      </c>
      <c r="N8" s="2" t="s">
        <v>654</v>
      </c>
      <c r="O8" s="2" t="s">
        <v>668</v>
      </c>
      <c r="P8" s="29" t="str">
        <f t="shared" si="5"/>
        <v>Asia→India→Bengaluru</v>
      </c>
      <c r="Q8" s="2" t="s">
        <v>705</v>
      </c>
      <c r="R8" s="2" t="s">
        <v>709</v>
      </c>
      <c r="S8" s="2" t="s">
        <v>718</v>
      </c>
      <c r="T8" s="2" t="s">
        <v>732</v>
      </c>
      <c r="U8" t="e">
        <f>(AE8/#REF!)*100</f>
        <v>#REF!</v>
      </c>
      <c r="V8" s="2" t="s">
        <v>740</v>
      </c>
      <c r="W8" s="7">
        <v>586.07000000000005</v>
      </c>
      <c r="X8" s="7">
        <v>845.97</v>
      </c>
      <c r="Y8" s="7">
        <f t="shared" si="6"/>
        <v>845.97</v>
      </c>
      <c r="Z8" s="7" t="str">
        <f t="shared" si="7"/>
        <v>Low</v>
      </c>
      <c r="AA8" s="13">
        <v>0.14699999999999999</v>
      </c>
      <c r="AB8" s="13">
        <f t="shared" si="8"/>
        <v>0.14699999999999999</v>
      </c>
      <c r="AC8" s="13" t="str">
        <f t="shared" si="9"/>
        <v>OK</v>
      </c>
      <c r="AD8" s="7">
        <v>4</v>
      </c>
      <c r="AE8" s="7">
        <f>Y8*AD8*(1-AB8)</f>
        <v>2886.4496399999998</v>
      </c>
      <c r="AF8" s="7">
        <f>W8*AD8</f>
        <v>2344.2800000000002</v>
      </c>
      <c r="AG8" s="7">
        <f t="shared" si="10"/>
        <v>542.16963999999962</v>
      </c>
      <c r="AH8" s="13">
        <f t="shared" si="11"/>
        <v>0.18783270370862928</v>
      </c>
      <c r="AJ8" t="s">
        <v>1431</v>
      </c>
    </row>
    <row r="9" spans="1:43" x14ac:dyDescent="0.35">
      <c r="A9" s="2" t="s">
        <v>22</v>
      </c>
      <c r="B9" s="5">
        <v>44941</v>
      </c>
      <c r="C9" s="5">
        <f>IF(H9&lt;B9,H9,B9)</f>
        <v>44939</v>
      </c>
      <c r="D9" s="5" t="str">
        <f t="shared" si="0"/>
        <v>Jan-2023</v>
      </c>
      <c r="E9" s="5" t="str">
        <f t="shared" si="1"/>
        <v>Jan</v>
      </c>
      <c r="F9" s="5" t="str">
        <f t="shared" si="2"/>
        <v>2023</v>
      </c>
      <c r="G9" s="5" t="str">
        <f t="shared" si="3"/>
        <v>Q1-2023</v>
      </c>
      <c r="H9" s="5">
        <v>44939</v>
      </c>
      <c r="I9" s="5">
        <f>IF(H9&lt;B9, B9+7, H9)</f>
        <v>44948</v>
      </c>
      <c r="J9" s="5" t="str">
        <f>IF(H9&lt;B9, "Invalid","Okay")</f>
        <v>Invalid</v>
      </c>
      <c r="K9" s="16">
        <f>I9-C9</f>
        <v>9</v>
      </c>
      <c r="L9" s="16" t="str">
        <f t="shared" si="4"/>
        <v>Target Not Met</v>
      </c>
      <c r="M9" s="2" t="s">
        <v>646</v>
      </c>
      <c r="N9" s="2" t="s">
        <v>651</v>
      </c>
      <c r="O9" s="2" t="s">
        <v>669</v>
      </c>
      <c r="P9" s="29" t="str">
        <f t="shared" si="5"/>
        <v>Africa→Nigeria→Abuja</v>
      </c>
      <c r="Q9" s="2" t="s">
        <v>702</v>
      </c>
      <c r="R9" s="2" t="s">
        <v>708</v>
      </c>
      <c r="S9" s="2" t="s">
        <v>719</v>
      </c>
      <c r="T9" s="2" t="s">
        <v>728</v>
      </c>
      <c r="U9" t="e">
        <f>(AE9/#REF!)*100</f>
        <v>#REF!</v>
      </c>
      <c r="V9" s="2" t="s">
        <v>741</v>
      </c>
      <c r="W9" s="7">
        <v>28.38</v>
      </c>
      <c r="X9" s="7">
        <v>47.22</v>
      </c>
      <c r="Y9" s="7">
        <f t="shared" si="6"/>
        <v>47.22</v>
      </c>
      <c r="Z9" s="7" t="str">
        <f t="shared" si="7"/>
        <v>Low</v>
      </c>
      <c r="AA9" s="13">
        <v>0.19400000000000001</v>
      </c>
      <c r="AB9" s="13">
        <f t="shared" si="8"/>
        <v>0.19400000000000001</v>
      </c>
      <c r="AC9" s="13" t="str">
        <f t="shared" si="9"/>
        <v>OK</v>
      </c>
      <c r="AD9" s="7">
        <v>18</v>
      </c>
      <c r="AE9" s="7">
        <f>Y9*AD9*(1-AB9)</f>
        <v>685.06776000000002</v>
      </c>
      <c r="AF9" s="7">
        <f>W9*AD9</f>
        <v>510.84</v>
      </c>
      <c r="AG9" s="7">
        <f t="shared" si="10"/>
        <v>174.22776000000005</v>
      </c>
      <c r="AH9" s="13">
        <f t="shared" si="11"/>
        <v>0.25432193743871417</v>
      </c>
      <c r="AJ9" t="s">
        <v>1432</v>
      </c>
    </row>
    <row r="10" spans="1:43" x14ac:dyDescent="0.35">
      <c r="A10" s="2" t="s">
        <v>23</v>
      </c>
      <c r="B10" s="5">
        <v>45416</v>
      </c>
      <c r="C10" s="5">
        <f>IF(H10&lt;B10,H10,B10)</f>
        <v>45416</v>
      </c>
      <c r="D10" s="5" t="str">
        <f t="shared" si="0"/>
        <v>May-2024</v>
      </c>
      <c r="E10" s="5" t="str">
        <f t="shared" si="1"/>
        <v>May</v>
      </c>
      <c r="F10" s="5" t="str">
        <f t="shared" si="2"/>
        <v>2024</v>
      </c>
      <c r="G10" s="5" t="str">
        <f t="shared" si="3"/>
        <v>Q2-2024</v>
      </c>
      <c r="H10" s="5">
        <v>45441</v>
      </c>
      <c r="I10" s="5">
        <f>IF(H10&lt;B10, B10+7, H10)</f>
        <v>45441</v>
      </c>
      <c r="J10" s="5" t="str">
        <f>IF(H10&lt;B10, "Invalid","Okay")</f>
        <v>Okay</v>
      </c>
      <c r="K10" s="16">
        <f>I10-C10</f>
        <v>25</v>
      </c>
      <c r="L10" s="16" t="str">
        <f t="shared" si="4"/>
        <v>Target Not Met</v>
      </c>
      <c r="M10" s="2" t="s">
        <v>646</v>
      </c>
      <c r="N10" s="2" t="s">
        <v>651</v>
      </c>
      <c r="O10" s="2" t="s">
        <v>669</v>
      </c>
      <c r="P10" s="29" t="str">
        <f t="shared" si="5"/>
        <v>Africa→Nigeria→Abuja</v>
      </c>
      <c r="Q10" s="2" t="s">
        <v>703</v>
      </c>
      <c r="R10" s="2" t="s">
        <v>709</v>
      </c>
      <c r="S10" s="2" t="s">
        <v>719</v>
      </c>
      <c r="T10" s="2" t="s">
        <v>732</v>
      </c>
      <c r="U10" t="e">
        <f>(AE10/#REF!)*100</f>
        <v>#REF!</v>
      </c>
      <c r="V10" s="2" t="s">
        <v>742</v>
      </c>
      <c r="W10" s="7">
        <v>1295.3399999999999</v>
      </c>
      <c r="X10" s="7">
        <v>2530.81</v>
      </c>
      <c r="Y10" s="7">
        <f t="shared" si="6"/>
        <v>2530.81</v>
      </c>
      <c r="Z10" s="7" t="str">
        <f t="shared" si="7"/>
        <v>High</v>
      </c>
      <c r="AA10" s="13">
        <v>3.1E-2</v>
      </c>
      <c r="AB10" s="13">
        <f t="shared" si="8"/>
        <v>3.1E-2</v>
      </c>
      <c r="AC10" s="13" t="str">
        <f t="shared" si="9"/>
        <v>OK</v>
      </c>
      <c r="AD10" s="7">
        <v>6</v>
      </c>
      <c r="AE10" s="7">
        <f>Y10*AD10*(1-AB10)</f>
        <v>14714.12934</v>
      </c>
      <c r="AF10" s="7">
        <f>W10*AD10</f>
        <v>7772.0399999999991</v>
      </c>
      <c r="AG10" s="7">
        <f t="shared" si="10"/>
        <v>6942.0893400000004</v>
      </c>
      <c r="AH10" s="13">
        <f t="shared" si="11"/>
        <v>0.4717974933880798</v>
      </c>
      <c r="AJ10" t="s">
        <v>1433</v>
      </c>
      <c r="AM10" s="2"/>
    </row>
    <row r="11" spans="1:43" x14ac:dyDescent="0.35">
      <c r="A11" s="2" t="s">
        <v>24</v>
      </c>
      <c r="B11" s="5">
        <v>45798</v>
      </c>
      <c r="C11" s="5">
        <f>IF(H11&lt;B11,H11,B11)</f>
        <v>45798</v>
      </c>
      <c r="D11" s="5" t="str">
        <f t="shared" si="0"/>
        <v>May-2025</v>
      </c>
      <c r="E11" s="5" t="str">
        <f t="shared" si="1"/>
        <v>May</v>
      </c>
      <c r="F11" s="5" t="str">
        <f t="shared" si="2"/>
        <v>2025</v>
      </c>
      <c r="G11" s="5" t="str">
        <f t="shared" si="3"/>
        <v>Q2-2025</v>
      </c>
      <c r="H11" s="5">
        <v>45817</v>
      </c>
      <c r="I11" s="5">
        <f>IF(H11&lt;B11, B11+7, H11)</f>
        <v>45817</v>
      </c>
      <c r="J11" s="5" t="str">
        <f>IF(H11&lt;B11, "Invalid","Okay")</f>
        <v>Okay</v>
      </c>
      <c r="K11" s="16">
        <f>I11-C11</f>
        <v>19</v>
      </c>
      <c r="L11" s="16" t="str">
        <f t="shared" si="4"/>
        <v>Target Not Met</v>
      </c>
      <c r="M11" s="2" t="s">
        <v>648</v>
      </c>
      <c r="N11" s="2" t="s">
        <v>655</v>
      </c>
      <c r="O11" s="2" t="s">
        <v>670</v>
      </c>
      <c r="P11" s="29" t="str">
        <f t="shared" si="5"/>
        <v>Americas→Brazil→São Paulo</v>
      </c>
      <c r="Q11" s="2" t="s">
        <v>703</v>
      </c>
      <c r="R11" s="2" t="s">
        <v>708</v>
      </c>
      <c r="S11" s="2" t="s">
        <v>720</v>
      </c>
      <c r="T11" s="2" t="s">
        <v>727</v>
      </c>
      <c r="U11" t="e">
        <f>(AE11/#REF!)*100</f>
        <v>#REF!</v>
      </c>
      <c r="V11" s="2" t="s">
        <v>743</v>
      </c>
      <c r="W11" s="7">
        <v>1331.38</v>
      </c>
      <c r="X11" s="7">
        <v>2309.56</v>
      </c>
      <c r="Y11" s="7">
        <f t="shared" si="6"/>
        <v>2309.56</v>
      </c>
      <c r="Z11" s="7" t="str">
        <f t="shared" si="7"/>
        <v>High</v>
      </c>
      <c r="AA11" s="13">
        <v>0.14899999999999999</v>
      </c>
      <c r="AB11" s="13">
        <f t="shared" si="8"/>
        <v>0.14899999999999999</v>
      </c>
      <c r="AC11" s="13" t="str">
        <f t="shared" si="9"/>
        <v>OK</v>
      </c>
      <c r="AD11" s="7">
        <v>31</v>
      </c>
      <c r="AE11" s="7">
        <f>Y11*AD11*(1-AB11)</f>
        <v>60928.502359999999</v>
      </c>
      <c r="AF11" s="7">
        <f>W11*AD11</f>
        <v>41272.780000000006</v>
      </c>
      <c r="AG11" s="7">
        <f t="shared" si="10"/>
        <v>19655.722359999992</v>
      </c>
      <c r="AH11" s="13">
        <f t="shared" si="11"/>
        <v>0.32260307735553528</v>
      </c>
      <c r="AJ11" s="10" t="s">
        <v>1434</v>
      </c>
      <c r="AK11" s="10"/>
      <c r="AL11" s="10"/>
      <c r="AM11" s="10"/>
    </row>
    <row r="12" spans="1:43" x14ac:dyDescent="0.35">
      <c r="A12" s="2" t="s">
        <v>25</v>
      </c>
      <c r="B12" s="5">
        <v>45319</v>
      </c>
      <c r="C12" s="5">
        <f>IF(H12&lt;B12,H12,B12)</f>
        <v>45319</v>
      </c>
      <c r="D12" s="5" t="str">
        <f t="shared" si="0"/>
        <v>Jan-2024</v>
      </c>
      <c r="E12" s="5" t="str">
        <f t="shared" si="1"/>
        <v>Jan</v>
      </c>
      <c r="F12" s="5" t="str">
        <f t="shared" si="2"/>
        <v>2024</v>
      </c>
      <c r="G12" s="5" t="str">
        <f t="shared" si="3"/>
        <v>Q1-2024</v>
      </c>
      <c r="H12" s="5">
        <v>45331</v>
      </c>
      <c r="I12" s="5">
        <f>IF(H12&lt;B12, B12+7, H12)</f>
        <v>45331</v>
      </c>
      <c r="J12" s="5" t="str">
        <f>IF(H12&lt;B12, "Invalid","Okay")</f>
        <v>Okay</v>
      </c>
      <c r="K12" s="16">
        <f>I12-C12</f>
        <v>12</v>
      </c>
      <c r="L12" s="16" t="str">
        <f t="shared" si="4"/>
        <v>Target Not Met</v>
      </c>
      <c r="M12" s="2" t="s">
        <v>649</v>
      </c>
      <c r="N12" s="2" t="s">
        <v>656</v>
      </c>
      <c r="O12" s="2" t="s">
        <v>671</v>
      </c>
      <c r="P12" s="29" t="str">
        <f t="shared" si="5"/>
        <v>Europe→Germany→Berlin</v>
      </c>
      <c r="Q12" s="2" t="s">
        <v>701</v>
      </c>
      <c r="R12" s="2" t="s">
        <v>708</v>
      </c>
      <c r="S12" s="2" t="s">
        <v>715</v>
      </c>
      <c r="T12" s="2" t="s">
        <v>733</v>
      </c>
      <c r="U12" t="e">
        <f>(AE12/#REF!)*100</f>
        <v>#REF!</v>
      </c>
      <c r="V12" s="2" t="s">
        <v>744</v>
      </c>
      <c r="W12" s="7">
        <v>644.16999999999996</v>
      </c>
      <c r="X12" s="7">
        <v>700.12</v>
      </c>
      <c r="Y12" s="7">
        <f t="shared" si="6"/>
        <v>700.12</v>
      </c>
      <c r="Z12" s="7" t="str">
        <f t="shared" si="7"/>
        <v>Low</v>
      </c>
      <c r="AA12" s="13">
        <v>6.0000000000000001E-3</v>
      </c>
      <c r="AB12" s="13">
        <f t="shared" si="8"/>
        <v>6.0000000000000001E-3</v>
      </c>
      <c r="AC12" s="13" t="str">
        <f t="shared" si="9"/>
        <v>OK</v>
      </c>
      <c r="AD12" s="7">
        <v>23</v>
      </c>
      <c r="AE12" s="7">
        <f>Y12*AD12*(1-AB12)</f>
        <v>16006.14344</v>
      </c>
      <c r="AF12" s="7">
        <f>W12*AD12</f>
        <v>14815.91</v>
      </c>
      <c r="AG12" s="7">
        <f t="shared" si="10"/>
        <v>1190.23344</v>
      </c>
      <c r="AH12" s="13">
        <f t="shared" si="11"/>
        <v>7.436103796405813E-2</v>
      </c>
      <c r="AJ12" s="14" t="s">
        <v>1435</v>
      </c>
    </row>
    <row r="13" spans="1:43" x14ac:dyDescent="0.35">
      <c r="A13" s="2" t="s">
        <v>26</v>
      </c>
      <c r="B13" s="5">
        <v>45660</v>
      </c>
      <c r="C13" s="5">
        <f>IF(H13&lt;B13,H13,B13)</f>
        <v>45660</v>
      </c>
      <c r="D13" s="5" t="str">
        <f t="shared" si="0"/>
        <v>Jan-2025</v>
      </c>
      <c r="E13" s="5" t="str">
        <f t="shared" si="1"/>
        <v>Jan</v>
      </c>
      <c r="F13" s="5" t="str">
        <f t="shared" si="2"/>
        <v>2025</v>
      </c>
      <c r="G13" s="5" t="str">
        <f t="shared" si="3"/>
        <v>Q1-2025</v>
      </c>
      <c r="H13" s="5">
        <v>45680</v>
      </c>
      <c r="I13" s="5">
        <f>IF(H13&lt;B13, B13+7, H13)</f>
        <v>45680</v>
      </c>
      <c r="J13" s="5" t="str">
        <f>IF(H13&lt;B13, "Invalid","Okay")</f>
        <v>Okay</v>
      </c>
      <c r="K13" s="16">
        <f>I13-C13</f>
        <v>20</v>
      </c>
      <c r="L13" s="16" t="str">
        <f t="shared" si="4"/>
        <v>Target Not Met</v>
      </c>
      <c r="M13" s="2" t="s">
        <v>647</v>
      </c>
      <c r="N13" s="2" t="s">
        <v>652</v>
      </c>
      <c r="O13" s="2" t="s">
        <v>666</v>
      </c>
      <c r="P13" s="29" t="str">
        <f t="shared" si="5"/>
        <v>Asia→Japan→Osaka</v>
      </c>
      <c r="Q13" s="2" t="s">
        <v>701</v>
      </c>
      <c r="R13" s="2" t="s">
        <v>710</v>
      </c>
      <c r="S13" s="2" t="s">
        <v>721</v>
      </c>
      <c r="T13" s="2" t="s">
        <v>730</v>
      </c>
      <c r="U13" t="e">
        <f>(AE13/#REF!)*100</f>
        <v>#REF!</v>
      </c>
      <c r="V13" s="2" t="s">
        <v>745</v>
      </c>
      <c r="W13" s="7">
        <v>908.6</v>
      </c>
      <c r="X13" s="7">
        <v>691.37</v>
      </c>
      <c r="Y13" s="7">
        <f t="shared" si="6"/>
        <v>691.37</v>
      </c>
      <c r="Z13" s="7" t="str">
        <f t="shared" si="7"/>
        <v>Low</v>
      </c>
      <c r="AA13" s="13">
        <v>0.25</v>
      </c>
      <c r="AB13" s="13">
        <f t="shared" si="8"/>
        <v>0.25</v>
      </c>
      <c r="AC13" s="13" t="str">
        <f t="shared" si="9"/>
        <v>OK</v>
      </c>
      <c r="AD13" s="7">
        <v>20</v>
      </c>
      <c r="AE13" s="7">
        <f>Y13*AD13*(1-AB13)</f>
        <v>10370.549999999999</v>
      </c>
      <c r="AF13" s="7">
        <f>W13*AD13</f>
        <v>18172</v>
      </c>
      <c r="AG13" s="7">
        <f t="shared" si="10"/>
        <v>-7801.4500000000007</v>
      </c>
      <c r="AH13" s="13">
        <f t="shared" si="11"/>
        <v>-0.75226964818645115</v>
      </c>
      <c r="AJ13" t="s">
        <v>1437</v>
      </c>
    </row>
    <row r="14" spans="1:43" x14ac:dyDescent="0.35">
      <c r="A14" s="2" t="s">
        <v>27</v>
      </c>
      <c r="B14" s="5">
        <v>45722</v>
      </c>
      <c r="C14" s="5">
        <f>IF(H14&lt;B14,H14,B14)</f>
        <v>45722</v>
      </c>
      <c r="D14" s="5" t="str">
        <f t="shared" si="0"/>
        <v>Mar-2025</v>
      </c>
      <c r="E14" s="5" t="str">
        <f t="shared" si="1"/>
        <v>Mar</v>
      </c>
      <c r="F14" s="5" t="str">
        <f t="shared" si="2"/>
        <v>2025</v>
      </c>
      <c r="G14" s="5" t="str">
        <f t="shared" si="3"/>
        <v>Q1-2025</v>
      </c>
      <c r="H14" s="5">
        <v>45747</v>
      </c>
      <c r="I14" s="5">
        <f>IF(H14&lt;B14, B14+7, H14)</f>
        <v>45747</v>
      </c>
      <c r="J14" s="5" t="str">
        <f>IF(H14&lt;B14, "Invalid","Okay")</f>
        <v>Okay</v>
      </c>
      <c r="K14" s="16">
        <f>I14-C14</f>
        <v>25</v>
      </c>
      <c r="L14" s="16" t="str">
        <f t="shared" si="4"/>
        <v>Target Not Met</v>
      </c>
      <c r="M14" s="2" t="s">
        <v>648</v>
      </c>
      <c r="N14" s="2" t="s">
        <v>655</v>
      </c>
      <c r="O14" s="2" t="s">
        <v>672</v>
      </c>
      <c r="P14" s="29" t="str">
        <f t="shared" si="5"/>
        <v>Americas→Brazil→Brasília</v>
      </c>
      <c r="Q14" s="2" t="s">
        <v>703</v>
      </c>
      <c r="R14" s="2" t="s">
        <v>708</v>
      </c>
      <c r="S14" s="2" t="s">
        <v>713</v>
      </c>
      <c r="T14" s="2" t="s">
        <v>727</v>
      </c>
      <c r="U14" t="e">
        <f>(AE14/#REF!)*100</f>
        <v>#REF!</v>
      </c>
      <c r="V14" s="2" t="s">
        <v>746</v>
      </c>
      <c r="W14" s="7">
        <v>331.57</v>
      </c>
      <c r="X14" s="7">
        <v>548.4</v>
      </c>
      <c r="Y14" s="7">
        <f t="shared" si="6"/>
        <v>548.4</v>
      </c>
      <c r="Z14" s="7" t="str">
        <f t="shared" si="7"/>
        <v>Low</v>
      </c>
      <c r="AA14" s="13">
        <v>9.4E-2</v>
      </c>
      <c r="AB14" s="13">
        <f t="shared" si="8"/>
        <v>9.4E-2</v>
      </c>
      <c r="AC14" s="13" t="str">
        <f t="shared" si="9"/>
        <v>OK</v>
      </c>
      <c r="AD14" s="7">
        <v>10</v>
      </c>
      <c r="AE14" s="7">
        <f>Y14*AD14*(1-AB14)</f>
        <v>4968.5039999999999</v>
      </c>
      <c r="AF14" s="7">
        <f>W14*AD14</f>
        <v>3315.7</v>
      </c>
      <c r="AG14" s="7">
        <f t="shared" si="10"/>
        <v>1652.8040000000001</v>
      </c>
      <c r="AH14" s="13">
        <f t="shared" si="11"/>
        <v>0.33265626836568918</v>
      </c>
      <c r="AJ14" s="14" t="s">
        <v>1439</v>
      </c>
    </row>
    <row r="15" spans="1:43" x14ac:dyDescent="0.35">
      <c r="A15" s="2" t="s">
        <v>28</v>
      </c>
      <c r="B15" s="5">
        <v>45311</v>
      </c>
      <c r="C15" s="5">
        <f>IF(H15&lt;B15,H15,B15)</f>
        <v>45311</v>
      </c>
      <c r="D15" s="5" t="str">
        <f t="shared" si="0"/>
        <v>Jan-2024</v>
      </c>
      <c r="E15" s="5" t="str">
        <f t="shared" si="1"/>
        <v>Jan</v>
      </c>
      <c r="F15" s="5" t="str">
        <f t="shared" si="2"/>
        <v>2024</v>
      </c>
      <c r="G15" s="5" t="str">
        <f t="shared" si="3"/>
        <v>Q1-2024</v>
      </c>
      <c r="H15" s="5">
        <v>45335</v>
      </c>
      <c r="I15" s="5">
        <f>IF(H15&lt;B15, B15+7, H15)</f>
        <v>45335</v>
      </c>
      <c r="J15" s="5" t="str">
        <f>IF(H15&lt;B15, "Invalid","Okay")</f>
        <v>Okay</v>
      </c>
      <c r="K15" s="16">
        <f>I15-C15</f>
        <v>24</v>
      </c>
      <c r="L15" s="16" t="str">
        <f t="shared" si="4"/>
        <v>Target Not Met</v>
      </c>
      <c r="M15" s="2" t="s">
        <v>649</v>
      </c>
      <c r="N15" s="2" t="s">
        <v>657</v>
      </c>
      <c r="O15" s="2" t="s">
        <v>673</v>
      </c>
      <c r="P15" s="29" t="str">
        <f t="shared" si="5"/>
        <v>Europe→France→Marseille</v>
      </c>
      <c r="Q15" s="2" t="s">
        <v>701</v>
      </c>
      <c r="R15" s="2" t="s">
        <v>707</v>
      </c>
      <c r="S15" s="2" t="s">
        <v>722</v>
      </c>
      <c r="T15" s="2" t="s">
        <v>728</v>
      </c>
      <c r="U15" t="e">
        <f>(AE15/#REF!)*100</f>
        <v>#REF!</v>
      </c>
      <c r="V15" s="2" t="s">
        <v>747</v>
      </c>
      <c r="W15" s="7">
        <v>643.53</v>
      </c>
      <c r="X15" s="7">
        <v>1439.01</v>
      </c>
      <c r="Y15" s="7">
        <f t="shared" si="6"/>
        <v>1439.01</v>
      </c>
      <c r="Z15" s="7" t="str">
        <f t="shared" si="7"/>
        <v>Medium</v>
      </c>
      <c r="AA15" s="13">
        <v>0</v>
      </c>
      <c r="AB15" s="13">
        <f t="shared" si="8"/>
        <v>0</v>
      </c>
      <c r="AC15" s="13" t="str">
        <f t="shared" si="9"/>
        <v>OK</v>
      </c>
      <c r="AD15" s="7">
        <v>15</v>
      </c>
      <c r="AE15" s="7">
        <f>Y15*AD15*(1-AB15)</f>
        <v>21585.15</v>
      </c>
      <c r="AF15" s="7">
        <f>W15*AD15</f>
        <v>9652.9499999999989</v>
      </c>
      <c r="AG15" s="7">
        <f t="shared" si="10"/>
        <v>11932.200000000003</v>
      </c>
      <c r="AH15" s="13">
        <f t="shared" si="11"/>
        <v>0.55279671440782208</v>
      </c>
      <c r="AJ15" t="s">
        <v>1438</v>
      </c>
    </row>
    <row r="16" spans="1:43" x14ac:dyDescent="0.35">
      <c r="A16" s="2" t="s">
        <v>29</v>
      </c>
      <c r="B16" s="5">
        <v>45901</v>
      </c>
      <c r="C16" s="5">
        <f>IF(H16&lt;B16,H16,B16)</f>
        <v>45901</v>
      </c>
      <c r="D16" s="5" t="str">
        <f t="shared" si="0"/>
        <v>Sep-2025</v>
      </c>
      <c r="E16" s="5" t="str">
        <f t="shared" si="1"/>
        <v>Sep</v>
      </c>
      <c r="F16" s="5" t="str">
        <f t="shared" si="2"/>
        <v>2025</v>
      </c>
      <c r="G16" s="5" t="str">
        <f t="shared" si="3"/>
        <v>Q3-2025</v>
      </c>
      <c r="H16" s="5">
        <v>45930</v>
      </c>
      <c r="I16" s="5">
        <f>IF(H16&lt;B16, B16+7, H16)</f>
        <v>45930</v>
      </c>
      <c r="J16" s="5" t="str">
        <f>IF(H16&lt;B16, "Invalid","Okay")</f>
        <v>Okay</v>
      </c>
      <c r="K16" s="16">
        <f>I16-C16</f>
        <v>29</v>
      </c>
      <c r="L16" s="16" t="str">
        <f t="shared" si="4"/>
        <v>Target Not Met</v>
      </c>
      <c r="M16" s="2" t="s">
        <v>648</v>
      </c>
      <c r="N16" s="2" t="s">
        <v>655</v>
      </c>
      <c r="O16" s="2" t="s">
        <v>672</v>
      </c>
      <c r="P16" s="29" t="str">
        <f t="shared" si="5"/>
        <v>Americas→Brazil→Brasília</v>
      </c>
      <c r="Q16" s="2" t="s">
        <v>702</v>
      </c>
      <c r="R16" s="2" t="s">
        <v>707</v>
      </c>
      <c r="S16" s="2" t="s">
        <v>723</v>
      </c>
      <c r="T16" s="2" t="s">
        <v>733</v>
      </c>
      <c r="U16" t="e">
        <f>(AE16/#REF!)*100</f>
        <v>#REF!</v>
      </c>
      <c r="V16" s="2" t="s">
        <v>748</v>
      </c>
      <c r="W16" s="7">
        <v>780.59</v>
      </c>
      <c r="X16" s="7">
        <v>631.57000000000005</v>
      </c>
      <c r="Y16" s="7">
        <f t="shared" si="6"/>
        <v>631.57000000000005</v>
      </c>
      <c r="Z16" s="7" t="str">
        <f t="shared" si="7"/>
        <v>Low</v>
      </c>
      <c r="AA16" s="13">
        <v>0</v>
      </c>
      <c r="AB16" s="13">
        <f t="shared" si="8"/>
        <v>0</v>
      </c>
      <c r="AC16" s="13" t="str">
        <f t="shared" si="9"/>
        <v>OK</v>
      </c>
      <c r="AD16" s="7">
        <v>12</v>
      </c>
      <c r="AE16" s="7">
        <f>Y16*AD16*(1-AB16)</f>
        <v>7578.84</v>
      </c>
      <c r="AF16" s="7">
        <f>W16*AD16</f>
        <v>9367.08</v>
      </c>
      <c r="AG16" s="7">
        <f t="shared" si="10"/>
        <v>-1788.2399999999998</v>
      </c>
      <c r="AH16" s="13">
        <f t="shared" si="11"/>
        <v>-0.23595167598207639</v>
      </c>
      <c r="AJ16" t="s">
        <v>1448</v>
      </c>
    </row>
    <row r="17" spans="1:36" x14ac:dyDescent="0.35">
      <c r="A17" s="2" t="s">
        <v>30</v>
      </c>
      <c r="B17" s="5">
        <v>45039</v>
      </c>
      <c r="C17" s="5">
        <f>IF(H17&lt;B17,H17,B17)</f>
        <v>45038</v>
      </c>
      <c r="D17" s="5" t="str">
        <f t="shared" si="0"/>
        <v>Apr-2023</v>
      </c>
      <c r="E17" s="5" t="str">
        <f t="shared" si="1"/>
        <v>Apr</v>
      </c>
      <c r="F17" s="5" t="str">
        <f t="shared" si="2"/>
        <v>2023</v>
      </c>
      <c r="G17" s="5" t="str">
        <f t="shared" si="3"/>
        <v>Q2-2023</v>
      </c>
      <c r="H17" s="5">
        <v>45038</v>
      </c>
      <c r="I17" s="5">
        <f>IF(H17&lt;B17, B17+7, H17)</f>
        <v>45046</v>
      </c>
      <c r="J17" s="5" t="str">
        <f>IF(H17&lt;B17, "Invalid","Okay")</f>
        <v>Invalid</v>
      </c>
      <c r="K17" s="16">
        <f>I17-C17</f>
        <v>8</v>
      </c>
      <c r="L17" s="16" t="str">
        <f t="shared" si="4"/>
        <v>Target Not Met</v>
      </c>
      <c r="M17" s="2" t="s">
        <v>646</v>
      </c>
      <c r="N17" s="2" t="s">
        <v>650</v>
      </c>
      <c r="O17" s="2" t="s">
        <v>664</v>
      </c>
      <c r="P17" s="29" t="str">
        <f t="shared" si="5"/>
        <v>Africa→Kenya→Nairobi</v>
      </c>
      <c r="Q17" s="2" t="s">
        <v>705</v>
      </c>
      <c r="R17" s="2" t="s">
        <v>711</v>
      </c>
      <c r="S17" s="2" t="s">
        <v>718</v>
      </c>
      <c r="T17" s="2" t="s">
        <v>731</v>
      </c>
      <c r="U17" t="e">
        <f>(AE17/#REF!)*100</f>
        <v>#REF!</v>
      </c>
      <c r="V17" s="2" t="s">
        <v>749</v>
      </c>
      <c r="W17" s="7">
        <v>756.51</v>
      </c>
      <c r="X17" s="7">
        <v>850.8</v>
      </c>
      <c r="Y17" s="7">
        <f t="shared" si="6"/>
        <v>850.8</v>
      </c>
      <c r="Z17" s="7" t="str">
        <f t="shared" si="7"/>
        <v>Low</v>
      </c>
      <c r="AA17" s="13">
        <v>7.3999999999999996E-2</v>
      </c>
      <c r="AB17" s="13">
        <f t="shared" si="8"/>
        <v>7.3999999999999996E-2</v>
      </c>
      <c r="AC17" s="13" t="str">
        <f t="shared" si="9"/>
        <v>OK</v>
      </c>
      <c r="AD17" s="7">
        <v>9</v>
      </c>
      <c r="AE17" s="7">
        <f>Y17*AD17*(1-AB17)</f>
        <v>7090.5672000000004</v>
      </c>
      <c r="AF17" s="7">
        <f>W17*AD17</f>
        <v>6808.59</v>
      </c>
      <c r="AG17" s="7">
        <f t="shared" si="10"/>
        <v>281.97720000000027</v>
      </c>
      <c r="AH17" s="13">
        <f t="shared" si="11"/>
        <v>3.9767932810791252E-2</v>
      </c>
      <c r="AJ17" t="s">
        <v>1443</v>
      </c>
    </row>
    <row r="18" spans="1:36" x14ac:dyDescent="0.35">
      <c r="A18" s="2" t="s">
        <v>31</v>
      </c>
      <c r="B18" s="5">
        <v>45636</v>
      </c>
      <c r="C18" s="5">
        <f>IF(H18&lt;B18,H18,B18)</f>
        <v>45636</v>
      </c>
      <c r="D18" s="5" t="str">
        <f t="shared" si="0"/>
        <v>Dec-2024</v>
      </c>
      <c r="E18" s="5" t="str">
        <f t="shared" si="1"/>
        <v>Dec</v>
      </c>
      <c r="F18" s="5" t="str">
        <f t="shared" si="2"/>
        <v>2024</v>
      </c>
      <c r="G18" s="5" t="str">
        <f t="shared" si="3"/>
        <v>Q4-2024</v>
      </c>
      <c r="H18" s="5">
        <v>45665</v>
      </c>
      <c r="I18" s="5">
        <f>IF(H18&lt;B18, B18+7, H18)</f>
        <v>45665</v>
      </c>
      <c r="J18" s="5" t="str">
        <f>IF(H18&lt;B18, "Invalid","Okay")</f>
        <v>Okay</v>
      </c>
      <c r="K18" s="16">
        <f>I18-C18</f>
        <v>29</v>
      </c>
      <c r="L18" s="16" t="str">
        <f t="shared" si="4"/>
        <v>Target Not Met</v>
      </c>
      <c r="M18" s="2" t="s">
        <v>649</v>
      </c>
      <c r="N18" s="2" t="s">
        <v>657</v>
      </c>
      <c r="O18" s="2" t="s">
        <v>673</v>
      </c>
      <c r="P18" s="29" t="str">
        <f t="shared" si="5"/>
        <v>Europe→France→Marseille</v>
      </c>
      <c r="Q18" s="2" t="s">
        <v>705</v>
      </c>
      <c r="R18" s="2" t="s">
        <v>707</v>
      </c>
      <c r="S18" s="2" t="s">
        <v>723</v>
      </c>
      <c r="T18" s="2" t="s">
        <v>728</v>
      </c>
      <c r="U18" t="e">
        <f>(AE18/#REF!)*100</f>
        <v>#REF!</v>
      </c>
      <c r="V18" s="2" t="s">
        <v>750</v>
      </c>
      <c r="W18" s="7">
        <v>891.08</v>
      </c>
      <c r="X18" s="7">
        <v>1040.0999999999999</v>
      </c>
      <c r="Y18" s="7">
        <f t="shared" si="6"/>
        <v>1040.0999999999999</v>
      </c>
      <c r="Z18" s="7" t="str">
        <f t="shared" si="7"/>
        <v>Low</v>
      </c>
      <c r="AA18" s="13">
        <v>0.109</v>
      </c>
      <c r="AB18" s="13">
        <f t="shared" si="8"/>
        <v>0.109</v>
      </c>
      <c r="AC18" s="13" t="str">
        <f t="shared" si="9"/>
        <v>OK</v>
      </c>
      <c r="AD18" s="7">
        <v>28</v>
      </c>
      <c r="AE18" s="7">
        <f>Y18*AD18*(1-AB18)</f>
        <v>25948.414799999995</v>
      </c>
      <c r="AF18" s="7">
        <f>W18*AD18</f>
        <v>24950.240000000002</v>
      </c>
      <c r="AG18" s="7">
        <f t="shared" si="10"/>
        <v>998.17479999999341</v>
      </c>
      <c r="AH18" s="13">
        <f t="shared" si="11"/>
        <v>3.8467660074556598E-2</v>
      </c>
      <c r="AJ18" t="s">
        <v>1447</v>
      </c>
    </row>
    <row r="19" spans="1:36" x14ac:dyDescent="0.35">
      <c r="A19" s="2" t="s">
        <v>32</v>
      </c>
      <c r="B19" s="5">
        <v>45908</v>
      </c>
      <c r="C19" s="5">
        <f>IF(H19&lt;B19,H19,B19)</f>
        <v>45908</v>
      </c>
      <c r="D19" s="5" t="str">
        <f t="shared" si="0"/>
        <v>Sep-2025</v>
      </c>
      <c r="E19" s="5" t="str">
        <f t="shared" si="1"/>
        <v>Sep</v>
      </c>
      <c r="F19" s="5" t="str">
        <f t="shared" si="2"/>
        <v>2025</v>
      </c>
      <c r="G19" s="5" t="str">
        <f t="shared" si="3"/>
        <v>Q3-2025</v>
      </c>
      <c r="H19" s="5">
        <v>45916</v>
      </c>
      <c r="I19" s="5">
        <f>IF(H19&lt;B19, B19+7, H19)</f>
        <v>45916</v>
      </c>
      <c r="J19" s="5" t="str">
        <f>IF(H19&lt;B19, "Invalid","Okay")</f>
        <v>Okay</v>
      </c>
      <c r="K19" s="16">
        <f>I19-C19</f>
        <v>8</v>
      </c>
      <c r="L19" s="16" t="str">
        <f t="shared" si="4"/>
        <v>Target Not Met</v>
      </c>
      <c r="M19" s="2" t="s">
        <v>647</v>
      </c>
      <c r="N19" s="2" t="s">
        <v>652</v>
      </c>
      <c r="O19" s="2" t="s">
        <v>666</v>
      </c>
      <c r="P19" s="29" t="str">
        <f t="shared" si="5"/>
        <v>Asia→Japan→Osaka</v>
      </c>
      <c r="Q19" s="2" t="s">
        <v>701</v>
      </c>
      <c r="R19" s="2" t="s">
        <v>710</v>
      </c>
      <c r="S19" s="2" t="s">
        <v>712</v>
      </c>
      <c r="T19" s="2" t="s">
        <v>730</v>
      </c>
      <c r="U19" t="e">
        <f>(AE19/#REF!)*100</f>
        <v>#REF!</v>
      </c>
      <c r="V19" s="2" t="s">
        <v>751</v>
      </c>
      <c r="W19" s="7">
        <v>1225.57</v>
      </c>
      <c r="X19" s="7">
        <v>2705.57</v>
      </c>
      <c r="Y19" s="7">
        <f t="shared" si="6"/>
        <v>2705.57</v>
      </c>
      <c r="Z19" s="7" t="str">
        <f t="shared" si="7"/>
        <v>High</v>
      </c>
      <c r="AA19" s="13">
        <v>0.183</v>
      </c>
      <c r="AB19" s="13">
        <f t="shared" si="8"/>
        <v>0.183</v>
      </c>
      <c r="AC19" s="13" t="str">
        <f t="shared" si="9"/>
        <v>OK</v>
      </c>
      <c r="AD19" s="7">
        <v>16</v>
      </c>
      <c r="AE19" s="7">
        <f>Y19*AD19*(1-AB19)</f>
        <v>35367.211040000002</v>
      </c>
      <c r="AF19" s="7">
        <f>W19*AD19</f>
        <v>19609.12</v>
      </c>
      <c r="AG19" s="7">
        <f t="shared" si="10"/>
        <v>15758.091040000003</v>
      </c>
      <c r="AH19" s="13">
        <f t="shared" si="11"/>
        <v>0.44555650775453404</v>
      </c>
      <c r="AJ19" s="10" t="s">
        <v>1442</v>
      </c>
    </row>
    <row r="20" spans="1:36" x14ac:dyDescent="0.35">
      <c r="A20" s="2" t="s">
        <v>33</v>
      </c>
      <c r="B20" s="5">
        <v>45858</v>
      </c>
      <c r="C20" s="5">
        <f>IF(H20&lt;B20,H20,B20)</f>
        <v>45858</v>
      </c>
      <c r="D20" s="5" t="str">
        <f t="shared" si="0"/>
        <v>Jul-2025</v>
      </c>
      <c r="E20" s="5" t="str">
        <f t="shared" si="1"/>
        <v>Jul</v>
      </c>
      <c r="F20" s="5" t="str">
        <f t="shared" si="2"/>
        <v>2025</v>
      </c>
      <c r="G20" s="5" t="str">
        <f t="shared" si="3"/>
        <v>Q3-2025</v>
      </c>
      <c r="H20" s="5">
        <v>45874</v>
      </c>
      <c r="I20" s="5">
        <f>IF(H20&lt;B20, B20+7, H20)</f>
        <v>45874</v>
      </c>
      <c r="J20" s="5" t="str">
        <f>IF(H20&lt;B20, "Invalid","Okay")</f>
        <v>Okay</v>
      </c>
      <c r="K20" s="16">
        <f>I20-C20</f>
        <v>16</v>
      </c>
      <c r="L20" s="16" t="str">
        <f t="shared" si="4"/>
        <v>Target Not Met</v>
      </c>
      <c r="M20" s="2" t="s">
        <v>648</v>
      </c>
      <c r="N20" s="2" t="s">
        <v>655</v>
      </c>
      <c r="O20" s="2" t="s">
        <v>672</v>
      </c>
      <c r="P20" s="29" t="str">
        <f t="shared" si="5"/>
        <v>Americas→Brazil→Brasília</v>
      </c>
      <c r="Q20" s="2" t="s">
        <v>706</v>
      </c>
      <c r="R20" s="2" t="s">
        <v>709</v>
      </c>
      <c r="S20" s="2" t="s">
        <v>715</v>
      </c>
      <c r="T20" s="2" t="s">
        <v>733</v>
      </c>
      <c r="U20" t="e">
        <f>(AE20/#REF!)*100</f>
        <v>#REF!</v>
      </c>
      <c r="V20" s="2" t="s">
        <v>752</v>
      </c>
      <c r="W20" s="7">
        <v>1068.17</v>
      </c>
      <c r="X20" s="7">
        <v>2375.37</v>
      </c>
      <c r="Y20" s="7">
        <f t="shared" si="6"/>
        <v>2375.37</v>
      </c>
      <c r="Z20" s="7" t="str">
        <f t="shared" si="7"/>
        <v>High</v>
      </c>
      <c r="AA20" s="13">
        <v>0.109</v>
      </c>
      <c r="AB20" s="13">
        <f t="shared" si="8"/>
        <v>0.109</v>
      </c>
      <c r="AC20" s="13" t="str">
        <f t="shared" si="9"/>
        <v>OK</v>
      </c>
      <c r="AD20" s="7">
        <v>18</v>
      </c>
      <c r="AE20" s="7">
        <f>Y20*AD20*(1-AB20)</f>
        <v>38096.18406</v>
      </c>
      <c r="AF20" s="7">
        <f>W20*AD20</f>
        <v>19227.060000000001</v>
      </c>
      <c r="AG20" s="7">
        <f t="shared" si="10"/>
        <v>18869.124059999998</v>
      </c>
      <c r="AH20" s="13">
        <f t="shared" si="11"/>
        <v>0.49530220744108822</v>
      </c>
      <c r="AJ20" t="s">
        <v>1446</v>
      </c>
    </row>
    <row r="21" spans="1:36" x14ac:dyDescent="0.35">
      <c r="A21" s="2" t="s">
        <v>34</v>
      </c>
      <c r="B21" s="5">
        <v>45798</v>
      </c>
      <c r="C21" s="5">
        <f>IF(H21&lt;B21,H21,B21)</f>
        <v>45796</v>
      </c>
      <c r="D21" s="5" t="str">
        <f t="shared" si="0"/>
        <v>May-2025</v>
      </c>
      <c r="E21" s="5" t="str">
        <f t="shared" si="1"/>
        <v>May</v>
      </c>
      <c r="F21" s="5" t="str">
        <f t="shared" si="2"/>
        <v>2025</v>
      </c>
      <c r="G21" s="5" t="str">
        <f t="shared" si="3"/>
        <v>Q2-2025</v>
      </c>
      <c r="H21" s="5">
        <v>45796</v>
      </c>
      <c r="I21" s="5">
        <f>IF(H21&lt;B21, B21+7, H21)</f>
        <v>45805</v>
      </c>
      <c r="J21" s="5" t="str">
        <f>IF(H21&lt;B21, "Invalid","Okay")</f>
        <v>Invalid</v>
      </c>
      <c r="K21" s="16">
        <f>I21-C21</f>
        <v>9</v>
      </c>
      <c r="L21" s="16" t="str">
        <f t="shared" si="4"/>
        <v>Target Not Met</v>
      </c>
      <c r="M21" s="2" t="s">
        <v>649</v>
      </c>
      <c r="N21" s="2" t="s">
        <v>658</v>
      </c>
      <c r="O21" s="2" t="s">
        <v>674</v>
      </c>
      <c r="P21" s="29" t="str">
        <f t="shared" si="5"/>
        <v>Europe→United Kingdom→Birmingham</v>
      </c>
      <c r="Q21" s="2" t="s">
        <v>706</v>
      </c>
      <c r="R21" s="2" t="s">
        <v>708</v>
      </c>
      <c r="S21" s="2" t="s">
        <v>724</v>
      </c>
      <c r="T21" s="2" t="s">
        <v>731</v>
      </c>
      <c r="U21" t="e">
        <f>(AE21/#REF!)*100</f>
        <v>#REF!</v>
      </c>
      <c r="V21" s="2" t="s">
        <v>753</v>
      </c>
      <c r="W21" s="7">
        <v>1015.16</v>
      </c>
      <c r="X21" s="7">
        <v>2148.14</v>
      </c>
      <c r="Y21" s="7">
        <f t="shared" si="6"/>
        <v>2148.14</v>
      </c>
      <c r="Z21" s="7" t="str">
        <f t="shared" si="7"/>
        <v>High</v>
      </c>
      <c r="AA21" s="13">
        <v>3.7999999999999999E-2</v>
      </c>
      <c r="AB21" s="13">
        <f t="shared" si="8"/>
        <v>3.7999999999999999E-2</v>
      </c>
      <c r="AC21" s="13" t="str">
        <f t="shared" si="9"/>
        <v>OK</v>
      </c>
      <c r="AD21" s="7">
        <v>19</v>
      </c>
      <c r="AE21" s="7">
        <f>Y21*AD21*(1-AB21)</f>
        <v>39263.702919999996</v>
      </c>
      <c r="AF21" s="7">
        <f>W21*AD21</f>
        <v>19288.04</v>
      </c>
      <c r="AG21" s="7">
        <f t="shared" si="10"/>
        <v>19975.662919999995</v>
      </c>
      <c r="AH21" s="13">
        <f t="shared" si="11"/>
        <v>0.50875647059322227</v>
      </c>
      <c r="AJ21" t="s">
        <v>1445</v>
      </c>
    </row>
    <row r="22" spans="1:36" x14ac:dyDescent="0.35">
      <c r="A22" s="2" t="s">
        <v>35</v>
      </c>
      <c r="B22" s="5">
        <v>45498</v>
      </c>
      <c r="C22" s="5">
        <f>IF(H22&lt;B22,H22,B22)</f>
        <v>45497</v>
      </c>
      <c r="D22" s="5" t="str">
        <f t="shared" si="0"/>
        <v>Jul-2024</v>
      </c>
      <c r="E22" s="5" t="str">
        <f t="shared" si="1"/>
        <v>Jul</v>
      </c>
      <c r="F22" s="5" t="str">
        <f t="shared" si="2"/>
        <v>2024</v>
      </c>
      <c r="G22" s="5" t="str">
        <f t="shared" si="3"/>
        <v>Q3-2024</v>
      </c>
      <c r="H22" s="5">
        <v>45497</v>
      </c>
      <c r="I22" s="5">
        <f>IF(H22&lt;B22, B22+7, H22)</f>
        <v>45505</v>
      </c>
      <c r="J22" s="5" t="str">
        <f>IF(H22&lt;B22, "Invalid","Okay")</f>
        <v>Invalid</v>
      </c>
      <c r="K22" s="16">
        <f>I22-C22</f>
        <v>8</v>
      </c>
      <c r="L22" s="16" t="str">
        <f t="shared" si="4"/>
        <v>Target Not Met</v>
      </c>
      <c r="M22" s="2" t="s">
        <v>646</v>
      </c>
      <c r="N22" s="2" t="s">
        <v>650</v>
      </c>
      <c r="O22" s="2" t="s">
        <v>675</v>
      </c>
      <c r="P22" s="29" t="str">
        <f t="shared" si="5"/>
        <v>Africa→Kenya→Mombasa</v>
      </c>
      <c r="Q22" s="2" t="s">
        <v>703</v>
      </c>
      <c r="R22" s="2" t="s">
        <v>711</v>
      </c>
      <c r="S22" s="2" t="s">
        <v>713</v>
      </c>
      <c r="T22" s="2" t="s">
        <v>731</v>
      </c>
      <c r="U22" t="e">
        <f>(AE22/#REF!)*100</f>
        <v>#REF!</v>
      </c>
      <c r="V22" s="2" t="s">
        <v>754</v>
      </c>
      <c r="W22" s="7">
        <v>1494.4</v>
      </c>
      <c r="X22" s="7">
        <v>3661.07</v>
      </c>
      <c r="Y22" s="7">
        <f t="shared" si="6"/>
        <v>3661.07</v>
      </c>
      <c r="Z22" s="7" t="str">
        <f t="shared" si="7"/>
        <v>High</v>
      </c>
      <c r="AA22" s="13">
        <v>7.1999999999999995E-2</v>
      </c>
      <c r="AB22" s="13">
        <f t="shared" si="8"/>
        <v>7.1999999999999995E-2</v>
      </c>
      <c r="AC22" s="13" t="str">
        <f t="shared" si="9"/>
        <v>OK</v>
      </c>
      <c r="AD22" s="7">
        <v>7</v>
      </c>
      <c r="AE22" s="7">
        <f>Y22*AD22*(1-AB22)</f>
        <v>23782.310720000001</v>
      </c>
      <c r="AF22" s="7">
        <f>W22*AD22</f>
        <v>10460.800000000001</v>
      </c>
      <c r="AG22" s="7">
        <f t="shared" si="10"/>
        <v>13321.51072</v>
      </c>
      <c r="AH22" s="13">
        <f t="shared" si="11"/>
        <v>0.56014366630897339</v>
      </c>
      <c r="AJ22" t="s">
        <v>1449</v>
      </c>
    </row>
    <row r="23" spans="1:36" x14ac:dyDescent="0.35">
      <c r="A23" s="2" t="s">
        <v>36</v>
      </c>
      <c r="B23" s="5">
        <v>45057</v>
      </c>
      <c r="C23" s="5">
        <f>IF(H23&lt;B23,H23,B23)</f>
        <v>45057</v>
      </c>
      <c r="D23" s="5" t="str">
        <f t="shared" si="0"/>
        <v>May-2023</v>
      </c>
      <c r="E23" s="5" t="str">
        <f t="shared" si="1"/>
        <v>May</v>
      </c>
      <c r="F23" s="5" t="str">
        <f t="shared" si="2"/>
        <v>2023</v>
      </c>
      <c r="G23" s="5" t="str">
        <f t="shared" si="3"/>
        <v>Q2-2023</v>
      </c>
      <c r="H23" s="5">
        <v>45074</v>
      </c>
      <c r="I23" s="5">
        <f>IF(H23&lt;B23, B23+7, H23)</f>
        <v>45074</v>
      </c>
      <c r="J23" s="5" t="str">
        <f>IF(H23&lt;B23, "Invalid","Okay")</f>
        <v>Okay</v>
      </c>
      <c r="K23" s="16">
        <f>I23-C23</f>
        <v>17</v>
      </c>
      <c r="L23" s="16" t="str">
        <f t="shared" si="4"/>
        <v>Target Not Met</v>
      </c>
      <c r="M23" s="2" t="s">
        <v>647</v>
      </c>
      <c r="N23" s="2" t="s">
        <v>659</v>
      </c>
      <c r="O23" s="2" t="s">
        <v>676</v>
      </c>
      <c r="P23" s="29" t="str">
        <f t="shared" si="5"/>
        <v>Asia→China→Shenzhen</v>
      </c>
      <c r="Q23" s="2" t="s">
        <v>706</v>
      </c>
      <c r="R23" s="2" t="s">
        <v>709</v>
      </c>
      <c r="S23" s="2" t="s">
        <v>718</v>
      </c>
      <c r="T23" s="2" t="s">
        <v>729</v>
      </c>
      <c r="U23" t="e">
        <f>(AE23/#REF!)*100</f>
        <v>#REF!</v>
      </c>
      <c r="V23" s="2" t="s">
        <v>755</v>
      </c>
      <c r="W23" s="7">
        <v>1331.19</v>
      </c>
      <c r="X23" s="7">
        <v>2903.09</v>
      </c>
      <c r="Y23" s="7">
        <f t="shared" si="6"/>
        <v>2903.09</v>
      </c>
      <c r="Z23" s="7" t="str">
        <f t="shared" si="7"/>
        <v>High</v>
      </c>
      <c r="AA23" s="13">
        <v>0.14299999999999999</v>
      </c>
      <c r="AB23" s="13">
        <f t="shared" si="8"/>
        <v>0.14299999999999999</v>
      </c>
      <c r="AC23" s="13" t="str">
        <f t="shared" si="9"/>
        <v>OK</v>
      </c>
      <c r="AD23" s="7">
        <v>8</v>
      </c>
      <c r="AE23" s="7">
        <f>Y23*AD23*(1-AB23)</f>
        <v>19903.585040000002</v>
      </c>
      <c r="AF23" s="7">
        <f>W23*AD23</f>
        <v>10649.52</v>
      </c>
      <c r="AG23" s="7">
        <f t="shared" si="10"/>
        <v>9254.0650400000013</v>
      </c>
      <c r="AH23" s="13">
        <f t="shared" si="11"/>
        <v>0.46494463290920784</v>
      </c>
      <c r="AJ23" s="10" t="s">
        <v>1450</v>
      </c>
    </row>
    <row r="24" spans="1:36" x14ac:dyDescent="0.35">
      <c r="A24" s="2" t="s">
        <v>37</v>
      </c>
      <c r="B24" s="5">
        <v>45822</v>
      </c>
      <c r="C24" s="5">
        <f>IF(H24&lt;B24,H24,B24)</f>
        <v>45822</v>
      </c>
      <c r="D24" s="5" t="str">
        <f t="shared" si="0"/>
        <v>Jun-2025</v>
      </c>
      <c r="E24" s="5" t="str">
        <f t="shared" si="1"/>
        <v>Jun</v>
      </c>
      <c r="F24" s="5" t="str">
        <f t="shared" si="2"/>
        <v>2025</v>
      </c>
      <c r="G24" s="5" t="str">
        <f t="shared" si="3"/>
        <v>Q2-2025</v>
      </c>
      <c r="H24" s="5">
        <v>45837</v>
      </c>
      <c r="I24" s="5">
        <f>IF(H24&lt;B24, B24+7, H24)</f>
        <v>45837</v>
      </c>
      <c r="J24" s="5" t="str">
        <f>IF(H24&lt;B24, "Invalid","Okay")</f>
        <v>Okay</v>
      </c>
      <c r="K24" s="16">
        <f>I24-C24</f>
        <v>15</v>
      </c>
      <c r="L24" s="16" t="str">
        <f t="shared" si="4"/>
        <v>Target Not Met</v>
      </c>
      <c r="M24" s="2" t="s">
        <v>646</v>
      </c>
      <c r="N24" s="2" t="s">
        <v>651</v>
      </c>
      <c r="O24" s="2" t="s">
        <v>663</v>
      </c>
      <c r="P24" s="29" t="str">
        <f t="shared" si="5"/>
        <v>Africa→Nigeria→Port Harcourt</v>
      </c>
      <c r="Q24" s="2" t="s">
        <v>704</v>
      </c>
      <c r="R24" s="2" t="s">
        <v>709</v>
      </c>
      <c r="S24" s="2" t="s">
        <v>724</v>
      </c>
      <c r="T24" s="2" t="s">
        <v>733</v>
      </c>
      <c r="U24" t="e">
        <f>(AE24/#REF!)*100</f>
        <v>#REF!</v>
      </c>
      <c r="V24" s="2" t="s">
        <v>756</v>
      </c>
      <c r="W24" s="7">
        <v>730.99</v>
      </c>
      <c r="X24" s="7">
        <v>1242.8399999999999</v>
      </c>
      <c r="Y24" s="7">
        <f t="shared" si="6"/>
        <v>1242.8399999999999</v>
      </c>
      <c r="Z24" s="7" t="str">
        <f t="shared" si="7"/>
        <v>Medium</v>
      </c>
      <c r="AA24" s="13">
        <v>0.12</v>
      </c>
      <c r="AB24" s="13">
        <f t="shared" si="8"/>
        <v>0.12</v>
      </c>
      <c r="AC24" s="13" t="str">
        <f t="shared" si="9"/>
        <v>OK</v>
      </c>
      <c r="AD24" s="7">
        <v>10</v>
      </c>
      <c r="AE24" s="7">
        <f>Y24*AD24*(1-AB24)</f>
        <v>10936.992</v>
      </c>
      <c r="AF24" s="7">
        <f>W24*AD24</f>
        <v>7309.9</v>
      </c>
      <c r="AG24" s="7">
        <f t="shared" si="10"/>
        <v>3627.0920000000006</v>
      </c>
      <c r="AH24" s="13">
        <f t="shared" si="11"/>
        <v>0.33163524303574515</v>
      </c>
      <c r="AJ24" t="s">
        <v>1451</v>
      </c>
    </row>
    <row r="25" spans="1:36" x14ac:dyDescent="0.35">
      <c r="A25" s="2" t="s">
        <v>38</v>
      </c>
      <c r="B25" s="5">
        <v>45430</v>
      </c>
      <c r="C25" s="5">
        <f>IF(H25&lt;B25,H25,B25)</f>
        <v>45430</v>
      </c>
      <c r="D25" s="5" t="str">
        <f t="shared" si="0"/>
        <v>May-2024</v>
      </c>
      <c r="E25" s="5" t="str">
        <f t="shared" si="1"/>
        <v>May</v>
      </c>
      <c r="F25" s="5" t="str">
        <f t="shared" si="2"/>
        <v>2024</v>
      </c>
      <c r="G25" s="5" t="str">
        <f t="shared" si="3"/>
        <v>Q2-2024</v>
      </c>
      <c r="H25" s="5">
        <v>45435</v>
      </c>
      <c r="I25" s="5">
        <f>IF(H25&lt;B25, B25+7, H25)</f>
        <v>45435</v>
      </c>
      <c r="J25" s="5" t="str">
        <f>IF(H25&lt;B25, "Invalid","Okay")</f>
        <v>Okay</v>
      </c>
      <c r="K25" s="16">
        <f>I25-C25</f>
        <v>5</v>
      </c>
      <c r="L25" s="16" t="str">
        <f t="shared" si="4"/>
        <v>Target Met</v>
      </c>
      <c r="M25" s="2" t="s">
        <v>648</v>
      </c>
      <c r="N25" s="2" t="s">
        <v>660</v>
      </c>
      <c r="O25" s="2" t="s">
        <v>677</v>
      </c>
      <c r="P25" s="29" t="str">
        <f t="shared" si="5"/>
        <v>Americas→USA→Chicago</v>
      </c>
      <c r="Q25" s="2" t="s">
        <v>706</v>
      </c>
      <c r="R25" s="2" t="s">
        <v>707</v>
      </c>
      <c r="S25" s="2" t="s">
        <v>722</v>
      </c>
      <c r="T25" s="2" t="s">
        <v>731</v>
      </c>
      <c r="U25" t="e">
        <f>(AE25/#REF!)*100</f>
        <v>#REF!</v>
      </c>
      <c r="V25" s="2" t="s">
        <v>757</v>
      </c>
      <c r="W25" s="7">
        <v>1274.5899999999999</v>
      </c>
      <c r="X25" s="7">
        <v>2553.69</v>
      </c>
      <c r="Y25" s="7">
        <f t="shared" si="6"/>
        <v>2553.69</v>
      </c>
      <c r="Z25" s="7" t="str">
        <f t="shared" si="7"/>
        <v>High</v>
      </c>
      <c r="AA25" s="13">
        <v>0.01</v>
      </c>
      <c r="AB25" s="13">
        <f t="shared" si="8"/>
        <v>0.01</v>
      </c>
      <c r="AC25" s="13" t="str">
        <f t="shared" si="9"/>
        <v>OK</v>
      </c>
      <c r="AD25" s="7">
        <v>8</v>
      </c>
      <c r="AE25" s="7">
        <f>Y25*AD25*(1-AB25)</f>
        <v>20225.2248</v>
      </c>
      <c r="AF25" s="7">
        <f>W25*AD25</f>
        <v>10196.719999999999</v>
      </c>
      <c r="AG25" s="7">
        <f t="shared" si="10"/>
        <v>10028.504800000001</v>
      </c>
      <c r="AH25" s="13">
        <f t="shared" si="11"/>
        <v>0.49584145042481803</v>
      </c>
      <c r="AJ25" t="s">
        <v>1453</v>
      </c>
    </row>
    <row r="26" spans="1:36" x14ac:dyDescent="0.35">
      <c r="A26" s="2" t="s">
        <v>39</v>
      </c>
      <c r="B26" s="5">
        <v>44964</v>
      </c>
      <c r="C26" s="5">
        <f>IF(H26&lt;B26,H26,B26)</f>
        <v>44964</v>
      </c>
      <c r="D26" s="5" t="str">
        <f t="shared" si="0"/>
        <v>Feb-2023</v>
      </c>
      <c r="E26" s="5" t="str">
        <f t="shared" si="1"/>
        <v>Feb</v>
      </c>
      <c r="F26" s="5" t="str">
        <f t="shared" si="2"/>
        <v>2023</v>
      </c>
      <c r="G26" s="5" t="str">
        <f t="shared" si="3"/>
        <v>Q1-2023</v>
      </c>
      <c r="H26" s="5">
        <v>44969</v>
      </c>
      <c r="I26" s="5">
        <f>IF(H26&lt;B26, B26+7, H26)</f>
        <v>44969</v>
      </c>
      <c r="J26" s="5" t="str">
        <f>IF(H26&lt;B26, "Invalid","Okay")</f>
        <v>Okay</v>
      </c>
      <c r="K26" s="16">
        <f>I26-C26</f>
        <v>5</v>
      </c>
      <c r="L26" s="16" t="str">
        <f t="shared" si="4"/>
        <v>Target Met</v>
      </c>
      <c r="M26" s="2" t="s">
        <v>648</v>
      </c>
      <c r="N26" s="2" t="s">
        <v>655</v>
      </c>
      <c r="O26" s="2" t="s">
        <v>670</v>
      </c>
      <c r="P26" s="29" t="str">
        <f t="shared" si="5"/>
        <v>Americas→Brazil→São Paulo</v>
      </c>
      <c r="Q26" s="2" t="s">
        <v>702</v>
      </c>
      <c r="R26" s="2" t="s">
        <v>708</v>
      </c>
      <c r="S26" s="2" t="s">
        <v>725</v>
      </c>
      <c r="T26" s="2" t="s">
        <v>727</v>
      </c>
      <c r="U26" t="e">
        <f>(AE26/#REF!)*100</f>
        <v>#REF!</v>
      </c>
      <c r="V26" s="2" t="s">
        <v>758</v>
      </c>
      <c r="W26" s="7">
        <v>948.55</v>
      </c>
      <c r="X26" s="7">
        <v>2089.16</v>
      </c>
      <c r="Y26" s="7">
        <f t="shared" si="6"/>
        <v>2089.16</v>
      </c>
      <c r="Z26" s="7" t="str">
        <f t="shared" si="7"/>
        <v>High</v>
      </c>
      <c r="AA26" s="13">
        <v>7.0000000000000001E-3</v>
      </c>
      <c r="AB26" s="13">
        <f t="shared" si="8"/>
        <v>7.0000000000000001E-3</v>
      </c>
      <c r="AC26" s="13" t="str">
        <f t="shared" si="9"/>
        <v>OK</v>
      </c>
      <c r="AD26" s="7">
        <v>12</v>
      </c>
      <c r="AE26" s="7">
        <f>Y26*AD26*(1-AB26)</f>
        <v>24894.430559999997</v>
      </c>
      <c r="AF26" s="7">
        <f>W26*AD26</f>
        <v>11382.599999999999</v>
      </c>
      <c r="AG26" s="7">
        <f t="shared" si="10"/>
        <v>13511.830559999999</v>
      </c>
      <c r="AH26" s="13">
        <f t="shared" si="11"/>
        <v>0.54276519912492427</v>
      </c>
    </row>
    <row r="27" spans="1:36" x14ac:dyDescent="0.35">
      <c r="A27" s="2" t="s">
        <v>40</v>
      </c>
      <c r="B27" s="5">
        <v>45473</v>
      </c>
      <c r="C27" s="5">
        <f>IF(H27&lt;B27,H27,B27)</f>
        <v>45473</v>
      </c>
      <c r="D27" s="5" t="str">
        <f t="shared" si="0"/>
        <v>Jun-2024</v>
      </c>
      <c r="E27" s="5" t="str">
        <f t="shared" si="1"/>
        <v>Jun</v>
      </c>
      <c r="F27" s="5" t="str">
        <f t="shared" si="2"/>
        <v>2024</v>
      </c>
      <c r="G27" s="5" t="str">
        <f t="shared" si="3"/>
        <v>Q2-2024</v>
      </c>
      <c r="H27" s="5">
        <v>45487</v>
      </c>
      <c r="I27" s="5">
        <f>IF(H27&lt;B27, B27+7, H27)</f>
        <v>45487</v>
      </c>
      <c r="J27" s="5" t="str">
        <f>IF(H27&lt;B27, "Invalid","Okay")</f>
        <v>Okay</v>
      </c>
      <c r="K27" s="16">
        <f>I27-C27</f>
        <v>14</v>
      </c>
      <c r="L27" s="16" t="str">
        <f t="shared" si="4"/>
        <v>Target Not Met</v>
      </c>
      <c r="M27" s="2" t="s">
        <v>648</v>
      </c>
      <c r="N27" s="2" t="s">
        <v>655</v>
      </c>
      <c r="O27" s="2" t="s">
        <v>672</v>
      </c>
      <c r="P27" s="29" t="str">
        <f t="shared" si="5"/>
        <v>Americas→Brazil→Brasília</v>
      </c>
      <c r="Q27" s="2" t="s">
        <v>702</v>
      </c>
      <c r="R27" s="2" t="s">
        <v>707</v>
      </c>
      <c r="S27" s="2" t="s">
        <v>712</v>
      </c>
      <c r="T27" s="2" t="s">
        <v>733</v>
      </c>
      <c r="U27" t="e">
        <f>(AE27/#REF!)*100</f>
        <v>#REF!</v>
      </c>
      <c r="V27" s="2" t="s">
        <v>759</v>
      </c>
      <c r="W27" s="7">
        <v>1491.85</v>
      </c>
      <c r="X27" s="7">
        <v>2583.02</v>
      </c>
      <c r="Y27" s="7">
        <f t="shared" si="6"/>
        <v>2583.02</v>
      </c>
      <c r="Z27" s="7" t="str">
        <f t="shared" si="7"/>
        <v>High</v>
      </c>
      <c r="AA27" s="13">
        <v>0.16800000000000001</v>
      </c>
      <c r="AB27" s="13">
        <f t="shared" si="8"/>
        <v>0.16800000000000001</v>
      </c>
      <c r="AC27" s="13" t="str">
        <f t="shared" si="9"/>
        <v>OK</v>
      </c>
      <c r="AD27" s="7">
        <v>4</v>
      </c>
      <c r="AE27" s="7">
        <f>Y27*AD27*(1-AB27)</f>
        <v>8596.2905599999995</v>
      </c>
      <c r="AF27" s="7">
        <f>W27*AD27</f>
        <v>5967.4</v>
      </c>
      <c r="AG27" s="7">
        <f t="shared" si="10"/>
        <v>2628.8905599999998</v>
      </c>
      <c r="AH27" s="13">
        <f t="shared" si="11"/>
        <v>0.30581685689321325</v>
      </c>
      <c r="AJ27" s="10" t="s">
        <v>1454</v>
      </c>
    </row>
    <row r="28" spans="1:36" x14ac:dyDescent="0.35">
      <c r="A28" s="2" t="s">
        <v>41</v>
      </c>
      <c r="B28" s="5">
        <v>45626</v>
      </c>
      <c r="C28" s="5">
        <f>IF(H28&lt;B28,H28,B28)</f>
        <v>45626</v>
      </c>
      <c r="D28" s="5" t="str">
        <f t="shared" si="0"/>
        <v>Nov-2024</v>
      </c>
      <c r="E28" s="5" t="str">
        <f t="shared" si="1"/>
        <v>Nov</v>
      </c>
      <c r="F28" s="5" t="str">
        <f t="shared" si="2"/>
        <v>2024</v>
      </c>
      <c r="G28" s="5" t="str">
        <f t="shared" si="3"/>
        <v>Q4-2024</v>
      </c>
      <c r="H28" s="5">
        <v>45656</v>
      </c>
      <c r="I28" s="5">
        <f>IF(H28&lt;B28, B28+7, H28)</f>
        <v>45656</v>
      </c>
      <c r="J28" s="5" t="str">
        <f>IF(H28&lt;B28, "Invalid","Okay")</f>
        <v>Okay</v>
      </c>
      <c r="K28" s="16">
        <f>I28-C28</f>
        <v>30</v>
      </c>
      <c r="L28" s="16" t="str">
        <f t="shared" si="4"/>
        <v>Target Not Met</v>
      </c>
      <c r="M28" s="2" t="s">
        <v>649</v>
      </c>
      <c r="N28" s="2" t="s">
        <v>657</v>
      </c>
      <c r="O28" s="2" t="s">
        <v>673</v>
      </c>
      <c r="P28" s="29" t="str">
        <f t="shared" si="5"/>
        <v>Europe→France→Marseille</v>
      </c>
      <c r="Q28" s="2" t="s">
        <v>704</v>
      </c>
      <c r="R28" s="2" t="s">
        <v>709</v>
      </c>
      <c r="S28" s="2" t="s">
        <v>721</v>
      </c>
      <c r="T28" s="2" t="s">
        <v>728</v>
      </c>
      <c r="U28" t="e">
        <f>(AE28/#REF!)*100</f>
        <v>#REF!</v>
      </c>
      <c r="V28" s="2" t="s">
        <v>760</v>
      </c>
      <c r="W28" s="7">
        <v>117.64</v>
      </c>
      <c r="X28" s="7">
        <v>175.67</v>
      </c>
      <c r="Y28" s="7">
        <f t="shared" si="6"/>
        <v>175.67</v>
      </c>
      <c r="Z28" s="7" t="str">
        <f t="shared" si="7"/>
        <v>Low</v>
      </c>
      <c r="AA28" s="13">
        <v>0</v>
      </c>
      <c r="AB28" s="13">
        <f t="shared" si="8"/>
        <v>0</v>
      </c>
      <c r="AC28" s="13" t="str">
        <f t="shared" si="9"/>
        <v>OK</v>
      </c>
      <c r="AD28" s="7">
        <v>10</v>
      </c>
      <c r="AE28" s="7">
        <f>Y28*AD28*(1-AB28)</f>
        <v>1756.6999999999998</v>
      </c>
      <c r="AF28" s="7">
        <f>W28*AD28</f>
        <v>1176.4000000000001</v>
      </c>
      <c r="AG28" s="7">
        <f t="shared" si="10"/>
        <v>580.29999999999973</v>
      </c>
      <c r="AH28" s="13">
        <f t="shared" si="11"/>
        <v>0.33033528775545046</v>
      </c>
      <c r="AJ28" t="s">
        <v>1458</v>
      </c>
    </row>
    <row r="29" spans="1:36" x14ac:dyDescent="0.35">
      <c r="A29" s="2" t="s">
        <v>42</v>
      </c>
      <c r="B29" s="5">
        <v>45492</v>
      </c>
      <c r="C29" s="5">
        <f>IF(H29&lt;B29,H29,B29)</f>
        <v>45492</v>
      </c>
      <c r="D29" s="5" t="str">
        <f t="shared" si="0"/>
        <v>Jul-2024</v>
      </c>
      <c r="E29" s="5" t="str">
        <f t="shared" si="1"/>
        <v>Jul</v>
      </c>
      <c r="F29" s="5" t="str">
        <f t="shared" si="2"/>
        <v>2024</v>
      </c>
      <c r="G29" s="5" t="str">
        <f t="shared" si="3"/>
        <v>Q3-2024</v>
      </c>
      <c r="H29" s="5">
        <v>45492</v>
      </c>
      <c r="I29" s="5">
        <f>IF(H29&lt;B29, B29+7, H29)</f>
        <v>45492</v>
      </c>
      <c r="J29" s="5" t="str">
        <f>IF(H29&lt;B29, "Invalid","Okay")</f>
        <v>Okay</v>
      </c>
      <c r="K29" s="16">
        <f>I29-C29</f>
        <v>0</v>
      </c>
      <c r="L29" s="16" t="str">
        <f t="shared" si="4"/>
        <v>Target Met</v>
      </c>
      <c r="M29" s="2" t="s">
        <v>646</v>
      </c>
      <c r="N29" s="2" t="s">
        <v>650</v>
      </c>
      <c r="O29" s="2" t="s">
        <v>662</v>
      </c>
      <c r="P29" s="29" t="str">
        <f t="shared" si="5"/>
        <v>Africa→Kenya→Kisumu</v>
      </c>
      <c r="Q29" s="2" t="s">
        <v>705</v>
      </c>
      <c r="R29" s="2" t="s">
        <v>707</v>
      </c>
      <c r="S29" s="2" t="s">
        <v>720</v>
      </c>
      <c r="T29" s="2" t="s">
        <v>730</v>
      </c>
      <c r="U29" t="e">
        <f>(AE29/#REF!)*100</f>
        <v>#REF!</v>
      </c>
      <c r="V29" s="2" t="s">
        <v>761</v>
      </c>
      <c r="W29" s="7">
        <v>857.24</v>
      </c>
      <c r="X29" s="7">
        <v>758.23</v>
      </c>
      <c r="Y29" s="7">
        <f t="shared" si="6"/>
        <v>758.23</v>
      </c>
      <c r="Z29" s="7" t="str">
        <f t="shared" si="7"/>
        <v>Low</v>
      </c>
      <c r="AA29" s="13">
        <v>0.125</v>
      </c>
      <c r="AB29" s="13">
        <f t="shared" si="8"/>
        <v>0.125</v>
      </c>
      <c r="AC29" s="13" t="str">
        <f t="shared" si="9"/>
        <v>OK</v>
      </c>
      <c r="AD29" s="7">
        <v>6</v>
      </c>
      <c r="AE29" s="7">
        <f>Y29*AD29*(1-AB29)</f>
        <v>3980.7075</v>
      </c>
      <c r="AF29" s="7">
        <f>W29*AD29</f>
        <v>5143.4400000000005</v>
      </c>
      <c r="AG29" s="7">
        <f t="shared" si="10"/>
        <v>-1162.7325000000005</v>
      </c>
      <c r="AH29" s="13">
        <f t="shared" si="11"/>
        <v>-0.29209192084572921</v>
      </c>
      <c r="AJ29" t="s">
        <v>1459</v>
      </c>
    </row>
    <row r="30" spans="1:36" x14ac:dyDescent="0.35">
      <c r="A30" s="2" t="s">
        <v>43</v>
      </c>
      <c r="B30" s="5">
        <v>45030</v>
      </c>
      <c r="C30" s="5">
        <f>IF(H30&lt;B30,H30,B30)</f>
        <v>45030</v>
      </c>
      <c r="D30" s="5" t="str">
        <f t="shared" si="0"/>
        <v>Apr-2023</v>
      </c>
      <c r="E30" s="5" t="str">
        <f t="shared" si="1"/>
        <v>Apr</v>
      </c>
      <c r="F30" s="5" t="str">
        <f t="shared" si="2"/>
        <v>2023</v>
      </c>
      <c r="G30" s="5" t="str">
        <f t="shared" si="3"/>
        <v>Q2-2023</v>
      </c>
      <c r="H30" s="5">
        <v>45060</v>
      </c>
      <c r="I30" s="5">
        <f>IF(H30&lt;B30, B30+7, H30)</f>
        <v>45060</v>
      </c>
      <c r="J30" s="5" t="str">
        <f>IF(H30&lt;B30, "Invalid","Okay")</f>
        <v>Okay</v>
      </c>
      <c r="K30" s="16">
        <f>I30-C30</f>
        <v>30</v>
      </c>
      <c r="L30" s="16" t="str">
        <f t="shared" si="4"/>
        <v>Target Not Met</v>
      </c>
      <c r="M30" s="2" t="s">
        <v>646</v>
      </c>
      <c r="N30" s="2" t="s">
        <v>650</v>
      </c>
      <c r="O30" s="2" t="s">
        <v>678</v>
      </c>
      <c r="P30" s="29" t="str">
        <f t="shared" si="5"/>
        <v>Africa→Kenya→Nakuru</v>
      </c>
      <c r="Q30" s="2" t="s">
        <v>704</v>
      </c>
      <c r="R30" s="2" t="s">
        <v>709</v>
      </c>
      <c r="S30" s="2" t="s">
        <v>724</v>
      </c>
      <c r="T30" s="2" t="s">
        <v>730</v>
      </c>
      <c r="U30" t="e">
        <f>(AE30/#REF!)*100</f>
        <v>#REF!</v>
      </c>
      <c r="V30" s="2" t="s">
        <v>762</v>
      </c>
      <c r="W30" s="7">
        <v>209.25</v>
      </c>
      <c r="X30" s="7">
        <v>434.8</v>
      </c>
      <c r="Y30" s="7">
        <f t="shared" si="6"/>
        <v>434.8</v>
      </c>
      <c r="Z30" s="7" t="str">
        <f t="shared" si="7"/>
        <v>Low</v>
      </c>
      <c r="AA30" s="13">
        <v>0</v>
      </c>
      <c r="AB30" s="13">
        <f t="shared" si="8"/>
        <v>0</v>
      </c>
      <c r="AC30" s="13" t="str">
        <f t="shared" si="9"/>
        <v>OK</v>
      </c>
      <c r="AD30" s="7">
        <v>9</v>
      </c>
      <c r="AE30" s="7">
        <f>Y30*AD30*(1-AB30)</f>
        <v>3913.2000000000003</v>
      </c>
      <c r="AF30" s="7">
        <f>W30*AD30</f>
        <v>1883.25</v>
      </c>
      <c r="AG30" s="7">
        <f t="shared" si="10"/>
        <v>2029.9500000000003</v>
      </c>
      <c r="AH30" s="13">
        <f t="shared" si="11"/>
        <v>0.51874425022999082</v>
      </c>
      <c r="AJ30" t="s">
        <v>1460</v>
      </c>
    </row>
    <row r="31" spans="1:36" x14ac:dyDescent="0.35">
      <c r="A31" s="2" t="s">
        <v>44</v>
      </c>
      <c r="B31" s="5">
        <v>45754</v>
      </c>
      <c r="C31" s="5">
        <f>IF(H31&lt;B31,H31,B31)</f>
        <v>45754</v>
      </c>
      <c r="D31" s="5" t="str">
        <f t="shared" si="0"/>
        <v>Apr-2025</v>
      </c>
      <c r="E31" s="5" t="str">
        <f t="shared" si="1"/>
        <v>Apr</v>
      </c>
      <c r="F31" s="5" t="str">
        <f t="shared" si="2"/>
        <v>2025</v>
      </c>
      <c r="G31" s="5" t="str">
        <f t="shared" si="3"/>
        <v>Q2-2025</v>
      </c>
      <c r="H31" s="5">
        <v>45758</v>
      </c>
      <c r="I31" s="5">
        <f>IF(H31&lt;B31, B31+7, H31)</f>
        <v>45758</v>
      </c>
      <c r="J31" s="5" t="str">
        <f>IF(H31&lt;B31, "Invalid","Okay")</f>
        <v>Okay</v>
      </c>
      <c r="K31" s="16">
        <f>I31-C31</f>
        <v>4</v>
      </c>
      <c r="L31" s="16" t="str">
        <f t="shared" si="4"/>
        <v>Target Met</v>
      </c>
      <c r="M31" s="2" t="s">
        <v>649</v>
      </c>
      <c r="N31" s="2" t="s">
        <v>657</v>
      </c>
      <c r="O31" s="2" t="s">
        <v>679</v>
      </c>
      <c r="P31" s="29" t="str">
        <f t="shared" si="5"/>
        <v>Europe→France→Lyon</v>
      </c>
      <c r="Q31" s="2" t="s">
        <v>702</v>
      </c>
      <c r="R31" s="2" t="s">
        <v>707</v>
      </c>
      <c r="S31" s="2" t="s">
        <v>718</v>
      </c>
      <c r="T31" s="2" t="s">
        <v>729</v>
      </c>
      <c r="U31" t="e">
        <f>(AE31/#REF!)*100</f>
        <v>#REF!</v>
      </c>
      <c r="V31" s="2" t="s">
        <v>763</v>
      </c>
      <c r="W31" s="7">
        <v>754.77</v>
      </c>
      <c r="X31" s="7">
        <v>1666.18</v>
      </c>
      <c r="Y31" s="7">
        <f t="shared" si="6"/>
        <v>1666.18</v>
      </c>
      <c r="Z31" s="7" t="str">
        <f t="shared" si="7"/>
        <v>Medium</v>
      </c>
      <c r="AA31" s="13">
        <v>0.13900000000000001</v>
      </c>
      <c r="AB31" s="13">
        <f t="shared" si="8"/>
        <v>0.13900000000000001</v>
      </c>
      <c r="AC31" s="13" t="str">
        <f t="shared" si="9"/>
        <v>OK</v>
      </c>
      <c r="AD31" s="7">
        <v>14</v>
      </c>
      <c r="AE31" s="7">
        <f>Y31*AD31*(1-AB31)</f>
        <v>20084.133720000002</v>
      </c>
      <c r="AF31" s="7">
        <f>W31*AD31</f>
        <v>10566.779999999999</v>
      </c>
      <c r="AG31" s="7">
        <f t="shared" si="10"/>
        <v>9517.3537200000028</v>
      </c>
      <c r="AH31" s="13">
        <f t="shared" si="11"/>
        <v>0.47387424584424653</v>
      </c>
      <c r="AJ31" t="s">
        <v>1461</v>
      </c>
    </row>
    <row r="32" spans="1:36" x14ac:dyDescent="0.35">
      <c r="A32" s="2" t="s">
        <v>45</v>
      </c>
      <c r="B32" s="5">
        <v>45653</v>
      </c>
      <c r="C32" s="5">
        <f>IF(H32&lt;B32,H32,B32)</f>
        <v>45653</v>
      </c>
      <c r="D32" s="5" t="str">
        <f t="shared" si="0"/>
        <v>Dec-2024</v>
      </c>
      <c r="E32" s="5" t="str">
        <f t="shared" si="1"/>
        <v>Dec</v>
      </c>
      <c r="F32" s="5" t="str">
        <f t="shared" si="2"/>
        <v>2024</v>
      </c>
      <c r="G32" s="5" t="str">
        <f t="shared" si="3"/>
        <v>Q4-2024</v>
      </c>
      <c r="H32" s="5">
        <v>45672</v>
      </c>
      <c r="I32" s="5">
        <f>IF(H32&lt;B32, B32+7, H32)</f>
        <v>45672</v>
      </c>
      <c r="J32" s="5" t="str">
        <f>IF(H32&lt;B32, "Invalid","Okay")</f>
        <v>Okay</v>
      </c>
      <c r="K32" s="16">
        <f>I32-C32</f>
        <v>19</v>
      </c>
      <c r="L32" s="16" t="str">
        <f t="shared" si="4"/>
        <v>Target Not Met</v>
      </c>
      <c r="M32" s="2" t="s">
        <v>647</v>
      </c>
      <c r="N32" s="2" t="s">
        <v>654</v>
      </c>
      <c r="O32" s="2" t="s">
        <v>680</v>
      </c>
      <c r="P32" s="29" t="str">
        <f t="shared" si="5"/>
        <v>Asia→India→Delhi</v>
      </c>
      <c r="Q32" s="2" t="s">
        <v>703</v>
      </c>
      <c r="R32" s="2" t="s">
        <v>710</v>
      </c>
      <c r="S32" s="2" t="s">
        <v>715</v>
      </c>
      <c r="T32" s="2" t="s">
        <v>727</v>
      </c>
      <c r="U32" t="e">
        <f>(AE32/#REF!)*100</f>
        <v>#REF!</v>
      </c>
      <c r="V32" s="2" t="s">
        <v>764</v>
      </c>
      <c r="W32" s="7">
        <v>495.59</v>
      </c>
      <c r="X32" s="7">
        <v>631.78</v>
      </c>
      <c r="Y32" s="7">
        <f t="shared" si="6"/>
        <v>631.78</v>
      </c>
      <c r="Z32" s="7" t="str">
        <f t="shared" si="7"/>
        <v>Low</v>
      </c>
      <c r="AA32" s="13">
        <v>8.6999999999999994E-2</v>
      </c>
      <c r="AB32" s="13">
        <f t="shared" si="8"/>
        <v>8.6999999999999994E-2</v>
      </c>
      <c r="AC32" s="13" t="str">
        <f t="shared" si="9"/>
        <v>OK</v>
      </c>
      <c r="AD32" s="7">
        <v>17</v>
      </c>
      <c r="AE32" s="7">
        <f>Y32*AD32*(1-AB32)</f>
        <v>9805.8573800000013</v>
      </c>
      <c r="AF32" s="7">
        <f>W32*AD32</f>
        <v>8425.0299999999988</v>
      </c>
      <c r="AG32" s="7">
        <f t="shared" si="10"/>
        <v>1380.8273800000024</v>
      </c>
      <c r="AH32" s="13">
        <f t="shared" si="11"/>
        <v>0.14081658813601899</v>
      </c>
    </row>
    <row r="33" spans="1:36" x14ac:dyDescent="0.35">
      <c r="A33" s="2" t="s">
        <v>46</v>
      </c>
      <c r="B33" s="5">
        <v>44980</v>
      </c>
      <c r="C33" s="5">
        <f>IF(H33&lt;B33,H33,B33)</f>
        <v>44980</v>
      </c>
      <c r="D33" s="5" t="str">
        <f t="shared" si="0"/>
        <v>Feb-2023</v>
      </c>
      <c r="E33" s="5" t="str">
        <f t="shared" si="1"/>
        <v>Feb</v>
      </c>
      <c r="F33" s="5" t="str">
        <f t="shared" si="2"/>
        <v>2023</v>
      </c>
      <c r="G33" s="5" t="str">
        <f t="shared" si="3"/>
        <v>Q1-2023</v>
      </c>
      <c r="H33" s="5">
        <v>45010</v>
      </c>
      <c r="I33" s="5">
        <f>IF(H33&lt;B33, B33+7, H33)</f>
        <v>45010</v>
      </c>
      <c r="J33" s="5" t="str">
        <f>IF(H33&lt;B33, "Invalid","Okay")</f>
        <v>Okay</v>
      </c>
      <c r="K33" s="16">
        <f>I33-C33</f>
        <v>30</v>
      </c>
      <c r="L33" s="16" t="str">
        <f t="shared" si="4"/>
        <v>Target Not Met</v>
      </c>
      <c r="M33" s="2" t="s">
        <v>648</v>
      </c>
      <c r="N33" s="2" t="s">
        <v>653</v>
      </c>
      <c r="O33" s="2" t="s">
        <v>681</v>
      </c>
      <c r="P33" s="29" t="str">
        <f t="shared" si="5"/>
        <v>Americas→Canada→Montreal</v>
      </c>
      <c r="Q33" s="2" t="s">
        <v>706</v>
      </c>
      <c r="R33" s="2" t="s">
        <v>708</v>
      </c>
      <c r="S33" s="2" t="s">
        <v>726</v>
      </c>
      <c r="T33" s="2" t="s">
        <v>730</v>
      </c>
      <c r="U33" t="e">
        <f>(AE33/#REF!)*100</f>
        <v>#REF!</v>
      </c>
      <c r="V33" s="2" t="s">
        <v>765</v>
      </c>
      <c r="W33" s="7">
        <v>1242.6600000000001</v>
      </c>
      <c r="X33" s="7">
        <v>1794.07</v>
      </c>
      <c r="Y33" s="7">
        <f t="shared" si="6"/>
        <v>1794.07</v>
      </c>
      <c r="Z33" s="7" t="str">
        <f t="shared" si="7"/>
        <v>Medium</v>
      </c>
      <c r="AA33" s="13">
        <v>8.8999999999999996E-2</v>
      </c>
      <c r="AB33" s="13">
        <f t="shared" si="8"/>
        <v>8.8999999999999996E-2</v>
      </c>
      <c r="AC33" s="13" t="str">
        <f t="shared" si="9"/>
        <v>OK</v>
      </c>
      <c r="AD33" s="7">
        <v>16</v>
      </c>
      <c r="AE33" s="7">
        <f>Y33*AD33*(1-AB33)</f>
        <v>26150.364320000001</v>
      </c>
      <c r="AF33" s="7">
        <f>W33*AD33</f>
        <v>19882.560000000001</v>
      </c>
      <c r="AG33" s="7">
        <f t="shared" si="10"/>
        <v>6267.8043199999993</v>
      </c>
      <c r="AH33" s="13">
        <f t="shared" si="11"/>
        <v>0.23968325042440553</v>
      </c>
      <c r="AJ33" s="10" t="s">
        <v>1462</v>
      </c>
    </row>
    <row r="34" spans="1:36" x14ac:dyDescent="0.35">
      <c r="A34" s="2" t="s">
        <v>47</v>
      </c>
      <c r="B34" s="5">
        <v>45862</v>
      </c>
      <c r="C34" s="5">
        <f>IF(H34&lt;B34,H34,B34)</f>
        <v>45862</v>
      </c>
      <c r="D34" s="5" t="str">
        <f t="shared" si="0"/>
        <v>Jul-2025</v>
      </c>
      <c r="E34" s="5" t="str">
        <f t="shared" si="1"/>
        <v>Jul</v>
      </c>
      <c r="F34" s="5" t="str">
        <f t="shared" si="2"/>
        <v>2025</v>
      </c>
      <c r="G34" s="5" t="str">
        <f t="shared" si="3"/>
        <v>Q3-2025</v>
      </c>
      <c r="H34" s="5">
        <v>45875</v>
      </c>
      <c r="I34" s="5">
        <f>IF(H34&lt;B34, B34+7, H34)</f>
        <v>45875</v>
      </c>
      <c r="J34" s="5" t="str">
        <f>IF(H34&lt;B34, "Invalid","Okay")</f>
        <v>Okay</v>
      </c>
      <c r="K34" s="16">
        <f>I34-C34</f>
        <v>13</v>
      </c>
      <c r="L34" s="16" t="str">
        <f t="shared" si="4"/>
        <v>Target Not Met</v>
      </c>
      <c r="M34" s="2" t="s">
        <v>646</v>
      </c>
      <c r="N34" s="2" t="s">
        <v>661</v>
      </c>
      <c r="O34" s="2" t="s">
        <v>682</v>
      </c>
      <c r="P34" s="29" t="str">
        <f t="shared" si="5"/>
        <v>Africa→South Africa→Johannesburg</v>
      </c>
      <c r="Q34" s="2" t="s">
        <v>702</v>
      </c>
      <c r="R34" s="2" t="s">
        <v>709</v>
      </c>
      <c r="S34" s="2" t="s">
        <v>726</v>
      </c>
      <c r="T34" s="2" t="s">
        <v>729</v>
      </c>
      <c r="U34" t="e">
        <f>(AE34/#REF!)*100</f>
        <v>#REF!</v>
      </c>
      <c r="V34" s="2" t="s">
        <v>766</v>
      </c>
      <c r="W34" s="7">
        <v>1463.9</v>
      </c>
      <c r="X34" s="7">
        <v>2633.02</v>
      </c>
      <c r="Y34" s="7">
        <f t="shared" si="6"/>
        <v>2633.02</v>
      </c>
      <c r="Z34" s="7" t="str">
        <f t="shared" si="7"/>
        <v>High</v>
      </c>
      <c r="AA34" s="13">
        <v>8.4000000000000005E-2</v>
      </c>
      <c r="AB34" s="13">
        <f t="shared" si="8"/>
        <v>8.4000000000000005E-2</v>
      </c>
      <c r="AC34" s="13" t="str">
        <f t="shared" si="9"/>
        <v>OK</v>
      </c>
      <c r="AD34" s="7">
        <v>4</v>
      </c>
      <c r="AE34" s="7">
        <f>Y34*AD34*(1-AB34)</f>
        <v>9647.3852800000004</v>
      </c>
      <c r="AF34" s="7">
        <f>W34*AD34</f>
        <v>5855.6</v>
      </c>
      <c r="AG34" s="7">
        <f t="shared" si="10"/>
        <v>3791.7852800000001</v>
      </c>
      <c r="AH34" s="13">
        <f t="shared" si="11"/>
        <v>0.39303761277791527</v>
      </c>
      <c r="AJ34" t="s">
        <v>1465</v>
      </c>
    </row>
    <row r="35" spans="1:36" x14ac:dyDescent="0.35">
      <c r="A35" s="2" t="s">
        <v>48</v>
      </c>
      <c r="B35" s="5">
        <v>45400</v>
      </c>
      <c r="C35" s="5">
        <f>IF(H35&lt;B35,H35,B35)</f>
        <v>45400</v>
      </c>
      <c r="D35" s="5" t="str">
        <f t="shared" si="0"/>
        <v>Apr-2024</v>
      </c>
      <c r="E35" s="5" t="str">
        <f t="shared" si="1"/>
        <v>Apr</v>
      </c>
      <c r="F35" s="5" t="str">
        <f t="shared" si="2"/>
        <v>2024</v>
      </c>
      <c r="G35" s="5" t="str">
        <f t="shared" si="3"/>
        <v>Q2-2024</v>
      </c>
      <c r="H35" s="5">
        <v>45420</v>
      </c>
      <c r="I35" s="5">
        <f>IF(H35&lt;B35, B35+7, H35)</f>
        <v>45420</v>
      </c>
      <c r="J35" s="5" t="str">
        <f>IF(H35&lt;B35, "Invalid","Okay")</f>
        <v>Okay</v>
      </c>
      <c r="K35" s="16">
        <f>I35-C35</f>
        <v>20</v>
      </c>
      <c r="L35" s="16" t="str">
        <f t="shared" si="4"/>
        <v>Target Not Met</v>
      </c>
      <c r="M35" s="2" t="s">
        <v>649</v>
      </c>
      <c r="N35" s="2" t="s">
        <v>658</v>
      </c>
      <c r="O35" s="2" t="s">
        <v>683</v>
      </c>
      <c r="P35" s="29" t="str">
        <f t="shared" si="5"/>
        <v>Europe→United Kingdom→London</v>
      </c>
      <c r="Q35" s="2" t="s">
        <v>703</v>
      </c>
      <c r="R35" s="2" t="s">
        <v>1423</v>
      </c>
      <c r="S35" s="2" t="s">
        <v>726</v>
      </c>
      <c r="T35" s="2" t="s">
        <v>731</v>
      </c>
      <c r="U35" t="e">
        <f>(AE35/#REF!)*100</f>
        <v>#REF!</v>
      </c>
      <c r="V35" s="2" t="s">
        <v>767</v>
      </c>
      <c r="W35" s="7">
        <v>645.33000000000004</v>
      </c>
      <c r="X35" s="7">
        <v>1321.85</v>
      </c>
      <c r="Y35" s="7">
        <f t="shared" si="6"/>
        <v>1321.85</v>
      </c>
      <c r="Z35" s="7" t="str">
        <f t="shared" si="7"/>
        <v>Medium</v>
      </c>
      <c r="AA35" s="13">
        <v>0</v>
      </c>
      <c r="AB35" s="13">
        <f t="shared" si="8"/>
        <v>0</v>
      </c>
      <c r="AC35" s="13" t="str">
        <f t="shared" si="9"/>
        <v>OK</v>
      </c>
      <c r="AD35" s="7">
        <v>10</v>
      </c>
      <c r="AE35" s="7">
        <f>Y35*AD35*(1-AB35)</f>
        <v>13218.5</v>
      </c>
      <c r="AF35" s="7">
        <f>W35*AD35</f>
        <v>6453.3</v>
      </c>
      <c r="AG35" s="7">
        <f t="shared" si="10"/>
        <v>6765.2</v>
      </c>
      <c r="AH35" s="13">
        <f t="shared" si="11"/>
        <v>0.51179785906116426</v>
      </c>
      <c r="AJ35" t="s">
        <v>1466</v>
      </c>
    </row>
    <row r="36" spans="1:36" x14ac:dyDescent="0.35">
      <c r="A36" s="2" t="s">
        <v>49</v>
      </c>
      <c r="B36" s="5">
        <v>45527</v>
      </c>
      <c r="C36" s="5">
        <f>IF(H36&lt;B36,H36,B36)</f>
        <v>45525</v>
      </c>
      <c r="D36" s="5" t="str">
        <f t="shared" si="0"/>
        <v>Aug-2024</v>
      </c>
      <c r="E36" s="5" t="str">
        <f t="shared" si="1"/>
        <v>Aug</v>
      </c>
      <c r="F36" s="5" t="str">
        <f t="shared" si="2"/>
        <v>2024</v>
      </c>
      <c r="G36" s="5" t="str">
        <f t="shared" si="3"/>
        <v>Q3-2024</v>
      </c>
      <c r="H36" s="5">
        <v>45525</v>
      </c>
      <c r="I36" s="5">
        <f>IF(H36&lt;B36, B36+7, H36)</f>
        <v>45534</v>
      </c>
      <c r="J36" s="5" t="str">
        <f>IF(H36&lt;B36, "Invalid","Okay")</f>
        <v>Invalid</v>
      </c>
      <c r="K36" s="16">
        <f>I36-C36</f>
        <v>9</v>
      </c>
      <c r="L36" s="16" t="str">
        <f t="shared" si="4"/>
        <v>Target Not Met</v>
      </c>
      <c r="M36" s="2" t="s">
        <v>646</v>
      </c>
      <c r="N36" s="2" t="s">
        <v>661</v>
      </c>
      <c r="O36" s="2" t="s">
        <v>682</v>
      </c>
      <c r="P36" s="29" t="str">
        <f t="shared" si="5"/>
        <v>Africa→South Africa→Johannesburg</v>
      </c>
      <c r="Q36" s="2" t="s">
        <v>702</v>
      </c>
      <c r="R36" s="2" t="s">
        <v>707</v>
      </c>
      <c r="S36" s="2" t="s">
        <v>718</v>
      </c>
      <c r="T36" s="2" t="s">
        <v>727</v>
      </c>
      <c r="U36" t="e">
        <f>(AE36/#REF!)*100</f>
        <v>#REF!</v>
      </c>
      <c r="V36" s="2" t="s">
        <v>768</v>
      </c>
      <c r="W36" s="7">
        <v>1432.52</v>
      </c>
      <c r="X36" s="7">
        <v>3036.87</v>
      </c>
      <c r="Y36" s="7">
        <f t="shared" si="6"/>
        <v>3036.87</v>
      </c>
      <c r="Z36" s="7" t="str">
        <f t="shared" si="7"/>
        <v>High</v>
      </c>
      <c r="AA36" s="13">
        <v>0</v>
      </c>
      <c r="AB36" s="13">
        <f t="shared" si="8"/>
        <v>0</v>
      </c>
      <c r="AC36" s="13" t="str">
        <f t="shared" si="9"/>
        <v>OK</v>
      </c>
      <c r="AD36" s="7">
        <v>9</v>
      </c>
      <c r="AE36" s="7">
        <f>Y36*AD36*(1-AB36)</f>
        <v>27331.829999999998</v>
      </c>
      <c r="AF36" s="7">
        <f>W36*AD36</f>
        <v>12892.68</v>
      </c>
      <c r="AG36" s="7">
        <f t="shared" si="10"/>
        <v>14439.149999999998</v>
      </c>
      <c r="AH36" s="13">
        <f t="shared" si="11"/>
        <v>0.52829064135112791</v>
      </c>
      <c r="AJ36" t="s">
        <v>1467</v>
      </c>
    </row>
    <row r="37" spans="1:36" x14ac:dyDescent="0.35">
      <c r="A37" s="2" t="s">
        <v>50</v>
      </c>
      <c r="B37" s="5">
        <v>45012</v>
      </c>
      <c r="C37" s="5">
        <f>IF(H37&lt;B37,H37,B37)</f>
        <v>45012</v>
      </c>
      <c r="D37" s="5" t="str">
        <f t="shared" si="0"/>
        <v>Mar-2023</v>
      </c>
      <c r="E37" s="5" t="str">
        <f t="shared" si="1"/>
        <v>Mar</v>
      </c>
      <c r="F37" s="5" t="str">
        <f t="shared" si="2"/>
        <v>2023</v>
      </c>
      <c r="G37" s="5" t="str">
        <f t="shared" si="3"/>
        <v>Q1-2023</v>
      </c>
      <c r="H37" s="5">
        <v>45038</v>
      </c>
      <c r="I37" s="5">
        <f>IF(H37&lt;B37, B37+7, H37)</f>
        <v>45038</v>
      </c>
      <c r="J37" s="5" t="str">
        <f>IF(H37&lt;B37, "Invalid","Okay")</f>
        <v>Okay</v>
      </c>
      <c r="K37" s="16">
        <f>I37-C37</f>
        <v>26</v>
      </c>
      <c r="L37" s="16" t="str">
        <f t="shared" si="4"/>
        <v>Target Not Met</v>
      </c>
      <c r="M37" s="2" t="s">
        <v>647</v>
      </c>
      <c r="N37" s="2" t="s">
        <v>654</v>
      </c>
      <c r="O37" s="2" t="s">
        <v>680</v>
      </c>
      <c r="P37" s="29" t="str">
        <f t="shared" si="5"/>
        <v>Asia→India→Delhi</v>
      </c>
      <c r="Q37" s="2" t="s">
        <v>703</v>
      </c>
      <c r="R37" s="2" t="s">
        <v>709</v>
      </c>
      <c r="S37" s="2" t="s">
        <v>713</v>
      </c>
      <c r="T37" s="2" t="s">
        <v>728</v>
      </c>
      <c r="U37" t="e">
        <f>(AE37/#REF!)*100</f>
        <v>#REF!</v>
      </c>
      <c r="V37" s="2" t="s">
        <v>769</v>
      </c>
      <c r="W37" s="7">
        <v>178.53</v>
      </c>
      <c r="X37" s="7">
        <v>199.37</v>
      </c>
      <c r="Y37" s="7">
        <f t="shared" si="6"/>
        <v>199.37</v>
      </c>
      <c r="Z37" s="7" t="str">
        <f t="shared" si="7"/>
        <v>Low</v>
      </c>
      <c r="AA37" s="13">
        <v>0.10100000000000001</v>
      </c>
      <c r="AB37" s="13">
        <f t="shared" si="8"/>
        <v>0.10100000000000001</v>
      </c>
      <c r="AC37" s="13" t="str">
        <f t="shared" si="9"/>
        <v>OK</v>
      </c>
      <c r="AD37" s="7">
        <v>37</v>
      </c>
      <c r="AE37" s="7">
        <f>Y37*AD37*(1-AB37)</f>
        <v>6631.6443100000006</v>
      </c>
      <c r="AF37" s="7">
        <f>W37*AD37</f>
        <v>6605.61</v>
      </c>
      <c r="AG37" s="7">
        <f t="shared" si="10"/>
        <v>26.034310000000914</v>
      </c>
      <c r="AH37" s="13">
        <f t="shared" si="11"/>
        <v>3.9257699573457538E-3</v>
      </c>
      <c r="AJ37" t="s">
        <v>1468</v>
      </c>
    </row>
    <row r="38" spans="1:36" x14ac:dyDescent="0.35">
      <c r="A38" s="2" t="s">
        <v>51</v>
      </c>
      <c r="B38" s="5">
        <v>45358</v>
      </c>
      <c r="C38" s="5">
        <f>IF(H38&lt;B38,H38,B38)</f>
        <v>45358</v>
      </c>
      <c r="D38" s="5" t="str">
        <f t="shared" si="0"/>
        <v>Mar-2024</v>
      </c>
      <c r="E38" s="5" t="str">
        <f t="shared" si="1"/>
        <v>Mar</v>
      </c>
      <c r="F38" s="5" t="str">
        <f t="shared" si="2"/>
        <v>2024</v>
      </c>
      <c r="G38" s="5" t="str">
        <f t="shared" si="3"/>
        <v>Q1-2024</v>
      </c>
      <c r="H38" s="5">
        <v>45376</v>
      </c>
      <c r="I38" s="5">
        <f>IF(H38&lt;B38, B38+7, H38)</f>
        <v>45376</v>
      </c>
      <c r="J38" s="5" t="str">
        <f>IF(H38&lt;B38, "Invalid","Okay")</f>
        <v>Okay</v>
      </c>
      <c r="K38" s="16">
        <f>I38-C38</f>
        <v>18</v>
      </c>
      <c r="L38" s="16" t="str">
        <f t="shared" si="4"/>
        <v>Target Not Met</v>
      </c>
      <c r="M38" s="2" t="s">
        <v>649</v>
      </c>
      <c r="N38" s="2" t="s">
        <v>656</v>
      </c>
      <c r="O38" s="2" t="s">
        <v>684</v>
      </c>
      <c r="P38" s="29" t="str">
        <f t="shared" si="5"/>
        <v>Europe→Germany→Munich</v>
      </c>
      <c r="Q38" s="2" t="s">
        <v>701</v>
      </c>
      <c r="R38" s="2" t="s">
        <v>708</v>
      </c>
      <c r="S38" s="2" t="s">
        <v>717</v>
      </c>
      <c r="T38" s="2" t="s">
        <v>727</v>
      </c>
      <c r="U38" t="e">
        <f>(AE38/#REF!)*100</f>
        <v>#REF!</v>
      </c>
      <c r="V38" s="2" t="s">
        <v>770</v>
      </c>
      <c r="W38" s="7">
        <v>712.84</v>
      </c>
      <c r="X38" s="7">
        <v>927.51</v>
      </c>
      <c r="Y38" s="7">
        <f t="shared" si="6"/>
        <v>927.51</v>
      </c>
      <c r="Z38" s="7" t="str">
        <f t="shared" si="7"/>
        <v>Low</v>
      </c>
      <c r="AA38" s="13">
        <v>0.24299999999999999</v>
      </c>
      <c r="AB38" s="13">
        <f t="shared" si="8"/>
        <v>0.24299999999999999</v>
      </c>
      <c r="AC38" s="13" t="str">
        <f t="shared" si="9"/>
        <v>OK</v>
      </c>
      <c r="AD38" s="7">
        <v>27</v>
      </c>
      <c r="AE38" s="7">
        <f>Y38*AD38*(1-AB38)</f>
        <v>18957.37689</v>
      </c>
      <c r="AF38" s="7">
        <f>W38*AD38</f>
        <v>19246.68</v>
      </c>
      <c r="AG38" s="7">
        <f t="shared" si="10"/>
        <v>-289.30311000000074</v>
      </c>
      <c r="AH38" s="13">
        <f t="shared" si="11"/>
        <v>-1.5260714163076427E-2</v>
      </c>
    </row>
    <row r="39" spans="1:36" x14ac:dyDescent="0.35">
      <c r="A39" s="2" t="s">
        <v>52</v>
      </c>
      <c r="B39" s="5">
        <v>45832</v>
      </c>
      <c r="C39" s="5">
        <f>IF(H39&lt;B39,H39,B39)</f>
        <v>45832</v>
      </c>
      <c r="D39" s="5" t="str">
        <f t="shared" si="0"/>
        <v>Jun-2025</v>
      </c>
      <c r="E39" s="5" t="str">
        <f t="shared" si="1"/>
        <v>Jun</v>
      </c>
      <c r="F39" s="5" t="str">
        <f t="shared" si="2"/>
        <v>2025</v>
      </c>
      <c r="G39" s="5" t="str">
        <f t="shared" si="3"/>
        <v>Q2-2025</v>
      </c>
      <c r="H39" s="5">
        <v>45848</v>
      </c>
      <c r="I39" s="5">
        <f>IF(H39&lt;B39, B39+7, H39)</f>
        <v>45848</v>
      </c>
      <c r="J39" s="5" t="str">
        <f>IF(H39&lt;B39, "Invalid","Okay")</f>
        <v>Okay</v>
      </c>
      <c r="K39" s="16">
        <f>I39-C39</f>
        <v>16</v>
      </c>
      <c r="L39" s="16" t="str">
        <f t="shared" si="4"/>
        <v>Target Not Met</v>
      </c>
      <c r="M39" s="2" t="s">
        <v>647</v>
      </c>
      <c r="N39" s="2" t="s">
        <v>659</v>
      </c>
      <c r="O39" s="2" t="s">
        <v>685</v>
      </c>
      <c r="P39" s="29" t="str">
        <f t="shared" si="5"/>
        <v>Asia→China→Shanghai</v>
      </c>
      <c r="Q39" s="2" t="s">
        <v>706</v>
      </c>
      <c r="R39" s="2" t="s">
        <v>711</v>
      </c>
      <c r="S39" s="2" t="s">
        <v>725</v>
      </c>
      <c r="T39" s="2" t="s">
        <v>727</v>
      </c>
      <c r="U39" t="e">
        <f>(AE39/#REF!)*100</f>
        <v>#REF!</v>
      </c>
      <c r="V39" s="2" t="s">
        <v>771</v>
      </c>
      <c r="W39" s="7">
        <v>757.19</v>
      </c>
      <c r="X39" s="7">
        <v>1735.41</v>
      </c>
      <c r="Y39" s="7">
        <f t="shared" si="6"/>
        <v>1735.41</v>
      </c>
      <c r="Z39" s="7" t="str">
        <f t="shared" si="7"/>
        <v>Medium</v>
      </c>
      <c r="AA39" s="13">
        <v>0.13600000000000001</v>
      </c>
      <c r="AB39" s="13">
        <f t="shared" si="8"/>
        <v>0.13600000000000001</v>
      </c>
      <c r="AC39" s="13" t="str">
        <f t="shared" si="9"/>
        <v>OK</v>
      </c>
      <c r="AD39" s="7">
        <v>8</v>
      </c>
      <c r="AE39" s="7">
        <f>Y39*AD39*(1-AB39)</f>
        <v>11995.153920000001</v>
      </c>
      <c r="AF39" s="7">
        <f>W39*AD39</f>
        <v>6057.52</v>
      </c>
      <c r="AG39" s="7">
        <f t="shared" si="10"/>
        <v>5937.6339200000002</v>
      </c>
      <c r="AH39" s="13">
        <f t="shared" si="11"/>
        <v>0.4950027285685718</v>
      </c>
    </row>
    <row r="40" spans="1:36" x14ac:dyDescent="0.35">
      <c r="A40" s="2" t="s">
        <v>53</v>
      </c>
      <c r="B40" s="5">
        <v>45401</v>
      </c>
      <c r="C40" s="5">
        <f>IF(H40&lt;B40,H40,B40)</f>
        <v>45401</v>
      </c>
      <c r="D40" s="5" t="str">
        <f t="shared" si="0"/>
        <v>Apr-2024</v>
      </c>
      <c r="E40" s="5" t="str">
        <f t="shared" si="1"/>
        <v>Apr</v>
      </c>
      <c r="F40" s="5" t="str">
        <f t="shared" si="2"/>
        <v>2024</v>
      </c>
      <c r="G40" s="5" t="str">
        <f t="shared" si="3"/>
        <v>Q2-2024</v>
      </c>
      <c r="H40" s="5">
        <v>45418</v>
      </c>
      <c r="I40" s="5">
        <f>IF(H40&lt;B40, B40+7, H40)</f>
        <v>45418</v>
      </c>
      <c r="J40" s="5" t="str">
        <f>IF(H40&lt;B40, "Invalid","Okay")</f>
        <v>Okay</v>
      </c>
      <c r="K40" s="16">
        <f>I40-C40</f>
        <v>17</v>
      </c>
      <c r="L40" s="16" t="str">
        <f t="shared" si="4"/>
        <v>Target Not Met</v>
      </c>
      <c r="M40" s="2" t="s">
        <v>646</v>
      </c>
      <c r="N40" s="2" t="s">
        <v>651</v>
      </c>
      <c r="O40" s="2" t="s">
        <v>663</v>
      </c>
      <c r="P40" s="29" t="str">
        <f t="shared" si="5"/>
        <v>Africa→Nigeria→Port Harcourt</v>
      </c>
      <c r="Q40" s="2" t="s">
        <v>703</v>
      </c>
      <c r="R40" s="2" t="s">
        <v>708</v>
      </c>
      <c r="S40" s="2" t="s">
        <v>720</v>
      </c>
      <c r="T40" s="2" t="s">
        <v>728</v>
      </c>
      <c r="U40" t="e">
        <f>(AE40/#REF!)*100</f>
        <v>#REF!</v>
      </c>
      <c r="V40" s="2" t="s">
        <v>772</v>
      </c>
      <c r="W40" s="7">
        <v>865.33</v>
      </c>
      <c r="X40" s="7">
        <v>1395.64</v>
      </c>
      <c r="Y40" s="7">
        <f t="shared" si="6"/>
        <v>1395.64</v>
      </c>
      <c r="Z40" s="7" t="str">
        <f t="shared" si="7"/>
        <v>Medium</v>
      </c>
      <c r="AA40" s="13">
        <v>0.17499999999999999</v>
      </c>
      <c r="AB40" s="13">
        <f t="shared" si="8"/>
        <v>0.17499999999999999</v>
      </c>
      <c r="AC40" s="13" t="str">
        <f t="shared" si="9"/>
        <v>OK</v>
      </c>
      <c r="AD40" s="7">
        <v>13</v>
      </c>
      <c r="AE40" s="7">
        <f>Y40*AD40*(1-AB40)</f>
        <v>14968.239</v>
      </c>
      <c r="AF40" s="7">
        <f>W40*AD40</f>
        <v>11249.29</v>
      </c>
      <c r="AG40" s="7">
        <f t="shared" si="10"/>
        <v>3718.9489999999987</v>
      </c>
      <c r="AH40" s="13">
        <f t="shared" si="11"/>
        <v>0.24845601409758347</v>
      </c>
    </row>
    <row r="41" spans="1:36" x14ac:dyDescent="0.35">
      <c r="A41" s="2" t="s">
        <v>54</v>
      </c>
      <c r="B41" s="5">
        <v>45094</v>
      </c>
      <c r="C41" s="5">
        <f>IF(H41&lt;B41,H41,B41)</f>
        <v>45094</v>
      </c>
      <c r="D41" s="5" t="str">
        <f t="shared" si="0"/>
        <v>Jun-2023</v>
      </c>
      <c r="E41" s="5" t="str">
        <f t="shared" si="1"/>
        <v>Jun</v>
      </c>
      <c r="F41" s="5" t="str">
        <f t="shared" si="2"/>
        <v>2023</v>
      </c>
      <c r="G41" s="5" t="str">
        <f t="shared" si="3"/>
        <v>Q2-2023</v>
      </c>
      <c r="H41" s="5">
        <v>45101</v>
      </c>
      <c r="I41" s="5">
        <f>IF(H41&lt;B41, B41+7, H41)</f>
        <v>45101</v>
      </c>
      <c r="J41" s="5" t="str">
        <f>IF(H41&lt;B41, "Invalid","Okay")</f>
        <v>Okay</v>
      </c>
      <c r="K41" s="16">
        <f>I41-C41</f>
        <v>7</v>
      </c>
      <c r="L41" s="16" t="str">
        <f t="shared" si="4"/>
        <v>Target Met</v>
      </c>
      <c r="M41" s="2" t="s">
        <v>648</v>
      </c>
      <c r="N41" s="2" t="s">
        <v>660</v>
      </c>
      <c r="O41" s="2" t="s">
        <v>686</v>
      </c>
      <c r="P41" s="29" t="str">
        <f t="shared" si="5"/>
        <v>Americas→USA→San Francisco</v>
      </c>
      <c r="Q41" s="2" t="s">
        <v>701</v>
      </c>
      <c r="R41" s="2" t="s">
        <v>707</v>
      </c>
      <c r="S41" s="2" t="s">
        <v>714</v>
      </c>
      <c r="T41" s="2" t="s">
        <v>728</v>
      </c>
      <c r="U41" t="e">
        <f>(AE41/#REF!)*100</f>
        <v>#REF!</v>
      </c>
      <c r="V41" s="2" t="s">
        <v>773</v>
      </c>
      <c r="W41" s="7">
        <v>313.99</v>
      </c>
      <c r="X41" s="7">
        <v>454.42</v>
      </c>
      <c r="Y41" s="7">
        <f t="shared" si="6"/>
        <v>454.42</v>
      </c>
      <c r="Z41" s="7" t="str">
        <f t="shared" si="7"/>
        <v>Low</v>
      </c>
      <c r="AA41" s="13">
        <v>0.129</v>
      </c>
      <c r="AB41" s="13">
        <f t="shared" si="8"/>
        <v>0.129</v>
      </c>
      <c r="AC41" s="13" t="str">
        <f t="shared" si="9"/>
        <v>OK</v>
      </c>
      <c r="AD41" s="7">
        <v>9</v>
      </c>
      <c r="AE41" s="7">
        <f>Y41*AD41*(1-AB41)</f>
        <v>3562.1983800000003</v>
      </c>
      <c r="AF41" s="7">
        <f>W41*AD41</f>
        <v>2825.91</v>
      </c>
      <c r="AG41" s="7">
        <f t="shared" si="10"/>
        <v>736.28838000000042</v>
      </c>
      <c r="AH41" s="13">
        <f t="shared" si="11"/>
        <v>0.20669493988147858</v>
      </c>
    </row>
    <row r="42" spans="1:36" x14ac:dyDescent="0.35">
      <c r="A42" s="2" t="s">
        <v>55</v>
      </c>
      <c r="B42" s="5">
        <v>45531</v>
      </c>
      <c r="C42" s="5">
        <f>IF(H42&lt;B42,H42,B42)</f>
        <v>45531</v>
      </c>
      <c r="D42" s="5" t="str">
        <f t="shared" si="0"/>
        <v>Aug-2024</v>
      </c>
      <c r="E42" s="5" t="str">
        <f t="shared" si="1"/>
        <v>Aug</v>
      </c>
      <c r="F42" s="5" t="str">
        <f t="shared" si="2"/>
        <v>2024</v>
      </c>
      <c r="G42" s="5" t="str">
        <f t="shared" si="3"/>
        <v>Q3-2024</v>
      </c>
      <c r="H42" s="5">
        <v>45554</v>
      </c>
      <c r="I42" s="5">
        <f>IF(H42&lt;B42, B42+7, H42)</f>
        <v>45554</v>
      </c>
      <c r="J42" s="5" t="str">
        <f>IF(H42&lt;B42, "Invalid","Okay")</f>
        <v>Okay</v>
      </c>
      <c r="K42" s="16">
        <f>I42-C42</f>
        <v>23</v>
      </c>
      <c r="L42" s="16" t="str">
        <f t="shared" si="4"/>
        <v>Target Not Met</v>
      </c>
      <c r="M42" s="2" t="s">
        <v>649</v>
      </c>
      <c r="N42" s="2" t="s">
        <v>656</v>
      </c>
      <c r="O42" s="2" t="s">
        <v>671</v>
      </c>
      <c r="P42" s="29" t="str">
        <f t="shared" si="5"/>
        <v>Europe→Germany→Berlin</v>
      </c>
      <c r="Q42" s="2" t="s">
        <v>705</v>
      </c>
      <c r="R42" s="2" t="s">
        <v>711</v>
      </c>
      <c r="S42" s="2" t="s">
        <v>726</v>
      </c>
      <c r="T42" s="2" t="s">
        <v>732</v>
      </c>
      <c r="U42" t="e">
        <f>(AE42/#REF!)*100</f>
        <v>#REF!</v>
      </c>
      <c r="V42" s="2" t="s">
        <v>774</v>
      </c>
      <c r="W42" s="7">
        <v>1024.01</v>
      </c>
      <c r="X42" s="7">
        <v>1580.97</v>
      </c>
      <c r="Y42" s="7">
        <f t="shared" si="6"/>
        <v>1580.97</v>
      </c>
      <c r="Z42" s="7" t="str">
        <f t="shared" si="7"/>
        <v>Medium</v>
      </c>
      <c r="AA42" s="13">
        <v>3.6999999999999998E-2</v>
      </c>
      <c r="AB42" s="13">
        <f t="shared" si="8"/>
        <v>3.6999999999999998E-2</v>
      </c>
      <c r="AC42" s="13" t="str">
        <f t="shared" si="9"/>
        <v>OK</v>
      </c>
      <c r="AD42" s="7">
        <v>27</v>
      </c>
      <c r="AE42" s="7">
        <f>Y42*AD42*(1-AB42)</f>
        <v>41106.800970000004</v>
      </c>
      <c r="AF42" s="7">
        <f>W42*AD42</f>
        <v>27648.27</v>
      </c>
      <c r="AG42" s="7">
        <f t="shared" si="10"/>
        <v>13458.530970000003</v>
      </c>
      <c r="AH42" s="13">
        <f t="shared" si="11"/>
        <v>0.3274039976942531</v>
      </c>
    </row>
    <row r="43" spans="1:36" x14ac:dyDescent="0.35">
      <c r="A43" s="2" t="s">
        <v>56</v>
      </c>
      <c r="B43" s="5">
        <v>45302</v>
      </c>
      <c r="C43" s="5">
        <f>IF(H43&lt;B43,H43,B43)</f>
        <v>45302</v>
      </c>
      <c r="D43" s="5" t="str">
        <f t="shared" si="0"/>
        <v>Jan-2024</v>
      </c>
      <c r="E43" s="5" t="str">
        <f t="shared" si="1"/>
        <v>Jan</v>
      </c>
      <c r="F43" s="5" t="str">
        <f t="shared" si="2"/>
        <v>2024</v>
      </c>
      <c r="G43" s="5" t="str">
        <f t="shared" si="3"/>
        <v>Q1-2024</v>
      </c>
      <c r="H43" s="5">
        <v>45324</v>
      </c>
      <c r="I43" s="5">
        <f>IF(H43&lt;B43, B43+7, H43)</f>
        <v>45324</v>
      </c>
      <c r="J43" s="5" t="str">
        <f>IF(H43&lt;B43, "Invalid","Okay")</f>
        <v>Okay</v>
      </c>
      <c r="K43" s="16">
        <f>I43-C43</f>
        <v>22</v>
      </c>
      <c r="L43" s="16" t="str">
        <f t="shared" si="4"/>
        <v>Target Not Met</v>
      </c>
      <c r="M43" s="2" t="s">
        <v>646</v>
      </c>
      <c r="N43" s="2" t="s">
        <v>661</v>
      </c>
      <c r="O43" s="2" t="s">
        <v>687</v>
      </c>
      <c r="P43" s="29" t="str">
        <f t="shared" si="5"/>
        <v>Africa→South Africa→Durban</v>
      </c>
      <c r="Q43" s="2" t="s">
        <v>704</v>
      </c>
      <c r="R43" s="2" t="s">
        <v>708</v>
      </c>
      <c r="S43" s="2" t="s">
        <v>723</v>
      </c>
      <c r="T43" s="2" t="s">
        <v>729</v>
      </c>
      <c r="U43" t="e">
        <f>(AE43/#REF!)*100</f>
        <v>#REF!</v>
      </c>
      <c r="V43" s="2" t="s">
        <v>775</v>
      </c>
      <c r="W43" s="7">
        <v>1206.2</v>
      </c>
      <c r="X43" s="7">
        <v>1759.79</v>
      </c>
      <c r="Y43" s="7">
        <f t="shared" si="6"/>
        <v>1759.79</v>
      </c>
      <c r="Z43" s="7" t="str">
        <f t="shared" si="7"/>
        <v>Medium</v>
      </c>
      <c r="AA43" s="13">
        <v>0</v>
      </c>
      <c r="AB43" s="13">
        <f t="shared" si="8"/>
        <v>0</v>
      </c>
      <c r="AC43" s="13" t="str">
        <f t="shared" si="9"/>
        <v>OK</v>
      </c>
      <c r="AD43" s="7">
        <v>6</v>
      </c>
      <c r="AE43" s="7">
        <f>Y43*AD43*(1-AB43)</f>
        <v>10558.74</v>
      </c>
      <c r="AF43" s="7">
        <f>W43*AD43</f>
        <v>7237.2000000000007</v>
      </c>
      <c r="AG43" s="7">
        <f t="shared" si="10"/>
        <v>3321.5399999999991</v>
      </c>
      <c r="AH43" s="13">
        <f t="shared" si="11"/>
        <v>0.31457730751964713</v>
      </c>
    </row>
    <row r="44" spans="1:36" x14ac:dyDescent="0.35">
      <c r="A44" s="2" t="s">
        <v>57</v>
      </c>
      <c r="B44" s="5">
        <v>45590</v>
      </c>
      <c r="C44" s="5">
        <f>IF(H44&lt;B44,H44,B44)</f>
        <v>45590</v>
      </c>
      <c r="D44" s="5" t="str">
        <f t="shared" si="0"/>
        <v>Oct-2024</v>
      </c>
      <c r="E44" s="5" t="str">
        <f t="shared" si="1"/>
        <v>Oct</v>
      </c>
      <c r="F44" s="5" t="str">
        <f t="shared" si="2"/>
        <v>2024</v>
      </c>
      <c r="G44" s="5" t="str">
        <f t="shared" si="3"/>
        <v>Q4-2024</v>
      </c>
      <c r="H44" s="5">
        <v>45610</v>
      </c>
      <c r="I44" s="5">
        <f>IF(H44&lt;B44, B44+7, H44)</f>
        <v>45610</v>
      </c>
      <c r="J44" s="5" t="str">
        <f>IF(H44&lt;B44, "Invalid","Okay")</f>
        <v>Okay</v>
      </c>
      <c r="K44" s="16">
        <f>I44-C44</f>
        <v>20</v>
      </c>
      <c r="L44" s="16" t="str">
        <f t="shared" si="4"/>
        <v>Target Not Met</v>
      </c>
      <c r="M44" s="2" t="s">
        <v>646</v>
      </c>
      <c r="N44" s="2" t="s">
        <v>650</v>
      </c>
      <c r="O44" s="2" t="s">
        <v>675</v>
      </c>
      <c r="P44" s="29" t="str">
        <f t="shared" si="5"/>
        <v>Africa→Kenya→Mombasa</v>
      </c>
      <c r="Q44" s="2" t="s">
        <v>701</v>
      </c>
      <c r="R44" s="2" t="s">
        <v>711</v>
      </c>
      <c r="S44" s="2" t="s">
        <v>722</v>
      </c>
      <c r="T44" s="2" t="s">
        <v>728</v>
      </c>
      <c r="U44" t="e">
        <f>(AE44/#REF!)*100</f>
        <v>#REF!</v>
      </c>
      <c r="V44" s="2" t="s">
        <v>776</v>
      </c>
      <c r="W44" s="7">
        <v>1396.48</v>
      </c>
      <c r="X44" s="7">
        <v>3204.5</v>
      </c>
      <c r="Y44" s="7">
        <f t="shared" si="6"/>
        <v>3204.5</v>
      </c>
      <c r="Z44" s="7" t="str">
        <f t="shared" si="7"/>
        <v>High</v>
      </c>
      <c r="AA44" s="13">
        <v>0.318</v>
      </c>
      <c r="AB44" s="13" t="str">
        <f t="shared" si="8"/>
        <v>12.14%</v>
      </c>
      <c r="AC44" s="13" t="str">
        <f t="shared" si="9"/>
        <v>High</v>
      </c>
      <c r="AD44" s="7">
        <v>14</v>
      </c>
      <c r="AE44" s="7">
        <f>Y44*AD44*(1-AB44)</f>
        <v>39416.631800000003</v>
      </c>
      <c r="AF44" s="7">
        <f>W44*AD44</f>
        <v>19550.72</v>
      </c>
      <c r="AG44" s="7">
        <f t="shared" si="10"/>
        <v>19865.911800000002</v>
      </c>
      <c r="AH44" s="13">
        <f t="shared" si="11"/>
        <v>0.50399820818784424</v>
      </c>
    </row>
    <row r="45" spans="1:36" x14ac:dyDescent="0.35">
      <c r="A45" s="2" t="s">
        <v>58</v>
      </c>
      <c r="B45" s="5">
        <v>45806</v>
      </c>
      <c r="C45" s="5">
        <f>IF(H45&lt;B45,H45,B45)</f>
        <v>45806</v>
      </c>
      <c r="D45" s="5" t="str">
        <f t="shared" si="0"/>
        <v>May-2025</v>
      </c>
      <c r="E45" s="5" t="str">
        <f t="shared" si="1"/>
        <v>May</v>
      </c>
      <c r="F45" s="5" t="str">
        <f t="shared" si="2"/>
        <v>2025</v>
      </c>
      <c r="G45" s="5" t="str">
        <f t="shared" si="3"/>
        <v>Q2-2025</v>
      </c>
      <c r="H45" s="5">
        <v>45828</v>
      </c>
      <c r="I45" s="5">
        <f>IF(H45&lt;B45, B45+7, H45)</f>
        <v>45828</v>
      </c>
      <c r="J45" s="5" t="str">
        <f>IF(H45&lt;B45, "Invalid","Okay")</f>
        <v>Okay</v>
      </c>
      <c r="K45" s="16">
        <f>I45-C45</f>
        <v>22</v>
      </c>
      <c r="L45" s="16" t="str">
        <f t="shared" si="4"/>
        <v>Target Not Met</v>
      </c>
      <c r="M45" s="2" t="s">
        <v>649</v>
      </c>
      <c r="N45" s="2" t="s">
        <v>656</v>
      </c>
      <c r="O45" s="2" t="s">
        <v>671</v>
      </c>
      <c r="P45" s="29" t="str">
        <f t="shared" si="5"/>
        <v>Europe→Germany→Berlin</v>
      </c>
      <c r="Q45" s="2" t="s">
        <v>701</v>
      </c>
      <c r="R45" s="2" t="s">
        <v>711</v>
      </c>
      <c r="S45" s="2" t="s">
        <v>720</v>
      </c>
      <c r="T45" s="2" t="s">
        <v>728</v>
      </c>
      <c r="U45" t="e">
        <f>(AE45/#REF!)*100</f>
        <v>#REF!</v>
      </c>
      <c r="V45" s="2" t="s">
        <v>777</v>
      </c>
      <c r="W45" s="7">
        <v>483.47</v>
      </c>
      <c r="X45" s="7">
        <v>1135.43</v>
      </c>
      <c r="Y45" s="7">
        <f t="shared" si="6"/>
        <v>1135.43</v>
      </c>
      <c r="Z45" s="7" t="str">
        <f t="shared" si="7"/>
        <v>Low</v>
      </c>
      <c r="AA45" s="13">
        <v>0.14599999999999999</v>
      </c>
      <c r="AB45" s="13">
        <f t="shared" si="8"/>
        <v>0.14599999999999999</v>
      </c>
      <c r="AC45" s="13" t="str">
        <f t="shared" si="9"/>
        <v>OK</v>
      </c>
      <c r="AD45" s="7">
        <v>11</v>
      </c>
      <c r="AE45" s="7">
        <f>Y45*AD45*(1-AB45)</f>
        <v>10666.229420000001</v>
      </c>
      <c r="AF45" s="7">
        <f>W45*AD45</f>
        <v>5318.17</v>
      </c>
      <c r="AG45" s="7">
        <f t="shared" si="10"/>
        <v>5348.0594200000014</v>
      </c>
      <c r="AH45" s="13">
        <f t="shared" si="11"/>
        <v>0.50140112399719983</v>
      </c>
    </row>
    <row r="46" spans="1:36" x14ac:dyDescent="0.35">
      <c r="A46" s="2" t="s">
        <v>59</v>
      </c>
      <c r="B46" s="5">
        <v>45432</v>
      </c>
      <c r="C46" s="5">
        <f>IF(H46&lt;B46,H46,B46)</f>
        <v>45432</v>
      </c>
      <c r="D46" s="5" t="str">
        <f t="shared" si="0"/>
        <v>May-2024</v>
      </c>
      <c r="E46" s="5" t="str">
        <f t="shared" si="1"/>
        <v>May</v>
      </c>
      <c r="F46" s="5" t="str">
        <f t="shared" si="2"/>
        <v>2024</v>
      </c>
      <c r="G46" s="5" t="str">
        <f t="shared" si="3"/>
        <v>Q2-2024</v>
      </c>
      <c r="H46" s="5">
        <v>45445</v>
      </c>
      <c r="I46" s="5">
        <f>IF(H46&lt;B46, B46+7, H46)</f>
        <v>45445</v>
      </c>
      <c r="J46" s="5" t="str">
        <f>IF(H46&lt;B46, "Invalid","Okay")</f>
        <v>Okay</v>
      </c>
      <c r="K46" s="16">
        <f>I46-C46</f>
        <v>13</v>
      </c>
      <c r="L46" s="16" t="str">
        <f t="shared" si="4"/>
        <v>Target Not Met</v>
      </c>
      <c r="M46" s="2" t="s">
        <v>648</v>
      </c>
      <c r="N46" s="2" t="s">
        <v>653</v>
      </c>
      <c r="O46" s="2" t="s">
        <v>688</v>
      </c>
      <c r="P46" s="29" t="str">
        <f t="shared" si="5"/>
        <v>Americas→Canada→Vancouver</v>
      </c>
      <c r="Q46" s="2" t="s">
        <v>706</v>
      </c>
      <c r="R46" s="2" t="s">
        <v>709</v>
      </c>
      <c r="S46" s="2" t="s">
        <v>723</v>
      </c>
      <c r="T46" s="2" t="s">
        <v>727</v>
      </c>
      <c r="U46" t="e">
        <f>(AE46/#REF!)*100</f>
        <v>#REF!</v>
      </c>
      <c r="V46" s="2" t="s">
        <v>778</v>
      </c>
      <c r="W46" s="7">
        <v>675.43</v>
      </c>
      <c r="X46" s="7">
        <v>996.36</v>
      </c>
      <c r="Y46" s="7">
        <f t="shared" si="6"/>
        <v>996.36</v>
      </c>
      <c r="Z46" s="7" t="str">
        <f t="shared" si="7"/>
        <v>Low</v>
      </c>
      <c r="AA46" s="13">
        <v>0.182</v>
      </c>
      <c r="AB46" s="13">
        <f t="shared" si="8"/>
        <v>0.182</v>
      </c>
      <c r="AC46" s="13" t="str">
        <f t="shared" si="9"/>
        <v>OK</v>
      </c>
      <c r="AD46" s="7">
        <v>22</v>
      </c>
      <c r="AE46" s="7">
        <f>Y46*AD46*(1-AB46)</f>
        <v>17930.494560000003</v>
      </c>
      <c r="AF46" s="7">
        <f>W46*AD46</f>
        <v>14859.46</v>
      </c>
      <c r="AG46" s="7">
        <f t="shared" si="10"/>
        <v>3071.0345600000037</v>
      </c>
      <c r="AH46" s="13">
        <f t="shared" si="11"/>
        <v>0.17127439233332575</v>
      </c>
    </row>
    <row r="47" spans="1:36" x14ac:dyDescent="0.35">
      <c r="A47" s="2" t="s">
        <v>60</v>
      </c>
      <c r="B47" s="5">
        <v>45035</v>
      </c>
      <c r="C47" s="5">
        <f>IF(H47&lt;B47,H47,B47)</f>
        <v>45035</v>
      </c>
      <c r="D47" s="5" t="str">
        <f t="shared" si="0"/>
        <v>Apr-2023</v>
      </c>
      <c r="E47" s="5" t="str">
        <f t="shared" si="1"/>
        <v>Apr</v>
      </c>
      <c r="F47" s="5" t="str">
        <f t="shared" si="2"/>
        <v>2023</v>
      </c>
      <c r="G47" s="5" t="str">
        <f t="shared" si="3"/>
        <v>Q2-2023</v>
      </c>
      <c r="H47" s="5">
        <v>45046</v>
      </c>
      <c r="I47" s="5">
        <f>IF(H47&lt;B47, B47+7, H47)</f>
        <v>45046</v>
      </c>
      <c r="J47" s="5" t="str">
        <f>IF(H47&lt;B47, "Invalid","Okay")</f>
        <v>Okay</v>
      </c>
      <c r="K47" s="16">
        <f>I47-C47</f>
        <v>11</v>
      </c>
      <c r="L47" s="16" t="str">
        <f t="shared" si="4"/>
        <v>Target Not Met</v>
      </c>
      <c r="M47" s="2" t="s">
        <v>647</v>
      </c>
      <c r="N47" s="2" t="s">
        <v>654</v>
      </c>
      <c r="O47" s="2" t="s">
        <v>680</v>
      </c>
      <c r="P47" s="29" t="str">
        <f t="shared" si="5"/>
        <v>Asia→India→Delhi</v>
      </c>
      <c r="Q47" s="2" t="s">
        <v>705</v>
      </c>
      <c r="R47" s="2" t="s">
        <v>707</v>
      </c>
      <c r="S47" s="2" t="s">
        <v>720</v>
      </c>
      <c r="T47" s="2" t="s">
        <v>729</v>
      </c>
      <c r="U47" t="e">
        <f>(AE47/#REF!)*100</f>
        <v>#REF!</v>
      </c>
      <c r="V47" s="2" t="s">
        <v>779</v>
      </c>
      <c r="W47" s="7">
        <v>826.55</v>
      </c>
      <c r="X47" s="7">
        <v>1397.05</v>
      </c>
      <c r="Y47" s="7">
        <f t="shared" si="6"/>
        <v>1397.05</v>
      </c>
      <c r="Z47" s="7" t="str">
        <f t="shared" si="7"/>
        <v>Medium</v>
      </c>
      <c r="AA47" s="13">
        <v>0.16900000000000001</v>
      </c>
      <c r="AB47" s="13">
        <f t="shared" si="8"/>
        <v>0.16900000000000001</v>
      </c>
      <c r="AC47" s="13" t="str">
        <f t="shared" si="9"/>
        <v>OK</v>
      </c>
      <c r="AD47" s="7">
        <v>28</v>
      </c>
      <c r="AE47" s="7">
        <f>Y47*AD47*(1-AB47)</f>
        <v>32506.559399999998</v>
      </c>
      <c r="AF47" s="7">
        <f>W47*AD47</f>
        <v>23143.399999999998</v>
      </c>
      <c r="AG47" s="7">
        <f t="shared" si="10"/>
        <v>9363.1594000000005</v>
      </c>
      <c r="AH47" s="13">
        <f t="shared" si="11"/>
        <v>0.28803907804527601</v>
      </c>
    </row>
    <row r="48" spans="1:36" x14ac:dyDescent="0.35">
      <c r="A48" s="2" t="s">
        <v>61</v>
      </c>
      <c r="B48" s="5">
        <v>45100</v>
      </c>
      <c r="C48" s="5">
        <f>IF(H48&lt;B48,H48,B48)</f>
        <v>45100</v>
      </c>
      <c r="D48" s="5" t="str">
        <f t="shared" si="0"/>
        <v>Jun-2023</v>
      </c>
      <c r="E48" s="5" t="str">
        <f t="shared" si="1"/>
        <v>Jun</v>
      </c>
      <c r="F48" s="5" t="str">
        <f t="shared" si="2"/>
        <v>2023</v>
      </c>
      <c r="G48" s="5" t="str">
        <f t="shared" si="3"/>
        <v>Q2-2023</v>
      </c>
      <c r="H48" s="5">
        <v>45110</v>
      </c>
      <c r="I48" s="5">
        <f>IF(H48&lt;B48, B48+7, H48)</f>
        <v>45110</v>
      </c>
      <c r="J48" s="5" t="str">
        <f>IF(H48&lt;B48, "Invalid","Okay")</f>
        <v>Okay</v>
      </c>
      <c r="K48" s="16">
        <f>I48-C48</f>
        <v>10</v>
      </c>
      <c r="L48" s="16" t="str">
        <f t="shared" si="4"/>
        <v>Target Not Met</v>
      </c>
      <c r="M48" s="2" t="s">
        <v>646</v>
      </c>
      <c r="N48" s="2" t="s">
        <v>651</v>
      </c>
      <c r="O48" s="2" t="s">
        <v>669</v>
      </c>
      <c r="P48" s="29" t="str">
        <f t="shared" si="5"/>
        <v>Africa→Nigeria→Abuja</v>
      </c>
      <c r="Q48" s="2" t="s">
        <v>704</v>
      </c>
      <c r="R48" s="2" t="s">
        <v>708</v>
      </c>
      <c r="S48" s="2" t="s">
        <v>713</v>
      </c>
      <c r="T48" s="2" t="s">
        <v>728</v>
      </c>
      <c r="U48" t="e">
        <f>(AE48/#REF!)*100</f>
        <v>#REF!</v>
      </c>
      <c r="V48" s="2" t="s">
        <v>780</v>
      </c>
      <c r="W48" s="7">
        <v>337.75</v>
      </c>
      <c r="X48" s="7">
        <v>548.89</v>
      </c>
      <c r="Y48" s="7">
        <f t="shared" si="6"/>
        <v>548.89</v>
      </c>
      <c r="Z48" s="7" t="str">
        <f t="shared" si="7"/>
        <v>Low</v>
      </c>
      <c r="AA48" s="13">
        <v>0</v>
      </c>
      <c r="AB48" s="13">
        <f t="shared" si="8"/>
        <v>0</v>
      </c>
      <c r="AC48" s="13" t="str">
        <f t="shared" si="9"/>
        <v>OK</v>
      </c>
      <c r="AD48" s="7">
        <v>13</v>
      </c>
      <c r="AE48" s="7">
        <f>Y48*AD48*(1-AB48)</f>
        <v>7135.57</v>
      </c>
      <c r="AF48" s="7">
        <f>W48*AD48</f>
        <v>4390.75</v>
      </c>
      <c r="AG48" s="7">
        <f t="shared" si="10"/>
        <v>2744.8199999999997</v>
      </c>
      <c r="AH48" s="13">
        <f t="shared" si="11"/>
        <v>0.38466723751571352</v>
      </c>
    </row>
    <row r="49" spans="1:34" x14ac:dyDescent="0.35">
      <c r="A49" s="2" t="s">
        <v>62</v>
      </c>
      <c r="B49" s="5">
        <v>45426</v>
      </c>
      <c r="C49" s="5">
        <f>IF(H49&lt;B49,H49,B49)</f>
        <v>45426</v>
      </c>
      <c r="D49" s="5" t="str">
        <f t="shared" si="0"/>
        <v>May-2024</v>
      </c>
      <c r="E49" s="5" t="str">
        <f t="shared" si="1"/>
        <v>May</v>
      </c>
      <c r="F49" s="5" t="str">
        <f t="shared" si="2"/>
        <v>2024</v>
      </c>
      <c r="G49" s="5" t="str">
        <f t="shared" si="3"/>
        <v>Q2-2024</v>
      </c>
      <c r="H49" s="5">
        <v>45440</v>
      </c>
      <c r="I49" s="5">
        <f>IF(H49&lt;B49, B49+7, H49)</f>
        <v>45440</v>
      </c>
      <c r="J49" s="5" t="str">
        <f>IF(H49&lt;B49, "Invalid","Okay")</f>
        <v>Okay</v>
      </c>
      <c r="K49" s="16">
        <f>I49-C49</f>
        <v>14</v>
      </c>
      <c r="L49" s="16" t="str">
        <f t="shared" si="4"/>
        <v>Target Not Met</v>
      </c>
      <c r="M49" s="2" t="s">
        <v>649</v>
      </c>
      <c r="N49" s="2" t="s">
        <v>658</v>
      </c>
      <c r="O49" s="2" t="s">
        <v>674</v>
      </c>
      <c r="P49" s="29" t="str">
        <f t="shared" si="5"/>
        <v>Europe→United Kingdom→Birmingham</v>
      </c>
      <c r="Q49" s="2" t="s">
        <v>704</v>
      </c>
      <c r="R49" s="2" t="s">
        <v>707</v>
      </c>
      <c r="S49" s="2" t="s">
        <v>717</v>
      </c>
      <c r="T49" s="2" t="s">
        <v>729</v>
      </c>
      <c r="U49" t="e">
        <f>(AE49/#REF!)*100</f>
        <v>#REF!</v>
      </c>
      <c r="V49" s="2" t="s">
        <v>781</v>
      </c>
      <c r="W49" s="7">
        <v>1421.14</v>
      </c>
      <c r="X49" s="7">
        <v>3524</v>
      </c>
      <c r="Y49" s="7">
        <f t="shared" si="6"/>
        <v>3524</v>
      </c>
      <c r="Z49" s="7" t="str">
        <f t="shared" si="7"/>
        <v>High</v>
      </c>
      <c r="AA49" s="13">
        <v>0</v>
      </c>
      <c r="AB49" s="13">
        <f t="shared" si="8"/>
        <v>0</v>
      </c>
      <c r="AC49" s="13" t="str">
        <f t="shared" si="9"/>
        <v>OK</v>
      </c>
      <c r="AD49" s="7">
        <v>31</v>
      </c>
      <c r="AE49" s="7">
        <f>Y49*AD49*(1-AB49)</f>
        <v>109244</v>
      </c>
      <c r="AF49" s="7">
        <f>W49*AD49</f>
        <v>44055.340000000004</v>
      </c>
      <c r="AG49" s="7">
        <f t="shared" si="10"/>
        <v>65188.659999999996</v>
      </c>
      <c r="AH49" s="13">
        <f t="shared" si="11"/>
        <v>0.59672531214528945</v>
      </c>
    </row>
    <row r="50" spans="1:34" x14ac:dyDescent="0.35">
      <c r="A50" s="2" t="s">
        <v>63</v>
      </c>
      <c r="B50" s="5">
        <v>45579</v>
      </c>
      <c r="C50" s="5">
        <f>IF(H50&lt;B50,H50,B50)</f>
        <v>45579</v>
      </c>
      <c r="D50" s="5" t="str">
        <f t="shared" si="0"/>
        <v>Oct-2024</v>
      </c>
      <c r="E50" s="5" t="str">
        <f t="shared" si="1"/>
        <v>Oct</v>
      </c>
      <c r="F50" s="5" t="str">
        <f t="shared" si="2"/>
        <v>2024</v>
      </c>
      <c r="G50" s="5" t="str">
        <f t="shared" si="3"/>
        <v>Q4-2024</v>
      </c>
      <c r="H50" s="5">
        <v>45604</v>
      </c>
      <c r="I50" s="5">
        <f>IF(H50&lt;B50, B50+7, H50)</f>
        <v>45604</v>
      </c>
      <c r="J50" s="5" t="str">
        <f>IF(H50&lt;B50, "Invalid","Okay")</f>
        <v>Okay</v>
      </c>
      <c r="K50" s="16">
        <f>I50-C50</f>
        <v>25</v>
      </c>
      <c r="L50" s="16" t="str">
        <f t="shared" si="4"/>
        <v>Target Not Met</v>
      </c>
      <c r="M50" s="2" t="s">
        <v>646</v>
      </c>
      <c r="N50" s="2" t="s">
        <v>651</v>
      </c>
      <c r="O50" s="2" t="s">
        <v>665</v>
      </c>
      <c r="P50" s="29" t="str">
        <f t="shared" si="5"/>
        <v>Africa→Nigeria→Lagos</v>
      </c>
      <c r="Q50" s="2" t="s">
        <v>706</v>
      </c>
      <c r="R50" s="2" t="s">
        <v>708</v>
      </c>
      <c r="S50" s="2" t="s">
        <v>719</v>
      </c>
      <c r="T50" s="2" t="s">
        <v>729</v>
      </c>
      <c r="U50" t="e">
        <f>(AE50/#REF!)*100</f>
        <v>#REF!</v>
      </c>
      <c r="V50" s="2" t="s">
        <v>782</v>
      </c>
      <c r="W50" s="7">
        <v>859.35</v>
      </c>
      <c r="X50" s="7">
        <v>1825.61</v>
      </c>
      <c r="Y50" s="7">
        <f t="shared" si="6"/>
        <v>1825.61</v>
      </c>
      <c r="Z50" s="7" t="str">
        <f t="shared" si="7"/>
        <v>Medium</v>
      </c>
      <c r="AA50" s="13">
        <v>0.187</v>
      </c>
      <c r="AB50" s="13">
        <f t="shared" si="8"/>
        <v>0.187</v>
      </c>
      <c r="AC50" s="13" t="str">
        <f t="shared" si="9"/>
        <v>OK</v>
      </c>
      <c r="AD50" s="7">
        <v>24</v>
      </c>
      <c r="AE50" s="7">
        <f>Y50*AD50*(1-AB50)</f>
        <v>35621.302319999995</v>
      </c>
      <c r="AF50" s="7">
        <f>W50*AD50</f>
        <v>20624.400000000001</v>
      </c>
      <c r="AG50" s="7">
        <f t="shared" si="10"/>
        <v>14996.902319999994</v>
      </c>
      <c r="AH50" s="13">
        <f t="shared" si="11"/>
        <v>0.42100937762681989</v>
      </c>
    </row>
    <row r="51" spans="1:34" x14ac:dyDescent="0.35">
      <c r="A51" s="2" t="s">
        <v>64</v>
      </c>
      <c r="B51" s="5">
        <v>45117</v>
      </c>
      <c r="C51" s="5">
        <f>IF(H51&lt;B51,H51,B51)</f>
        <v>45117</v>
      </c>
      <c r="D51" s="5" t="str">
        <f t="shared" si="0"/>
        <v>Jul-2023</v>
      </c>
      <c r="E51" s="5" t="str">
        <f t="shared" si="1"/>
        <v>Jul</v>
      </c>
      <c r="F51" s="5" t="str">
        <f t="shared" si="2"/>
        <v>2023</v>
      </c>
      <c r="G51" s="5" t="str">
        <f t="shared" si="3"/>
        <v>Q3-2023</v>
      </c>
      <c r="H51" s="5">
        <v>45139</v>
      </c>
      <c r="I51" s="5">
        <f>IF(H51&lt;B51, B51+7, H51)</f>
        <v>45139</v>
      </c>
      <c r="J51" s="5" t="str">
        <f>IF(H51&lt;B51, "Invalid","Okay")</f>
        <v>Okay</v>
      </c>
      <c r="K51" s="16">
        <f>I51-C51</f>
        <v>22</v>
      </c>
      <c r="L51" s="16" t="str">
        <f t="shared" si="4"/>
        <v>Target Not Met</v>
      </c>
      <c r="M51" s="2" t="s">
        <v>649</v>
      </c>
      <c r="N51" s="2" t="s">
        <v>657</v>
      </c>
      <c r="O51" s="2" t="s">
        <v>673</v>
      </c>
      <c r="P51" s="29" t="str">
        <f t="shared" si="5"/>
        <v>Europe→France→Marseille</v>
      </c>
      <c r="Q51" s="2" t="s">
        <v>704</v>
      </c>
      <c r="R51" s="2" t="s">
        <v>709</v>
      </c>
      <c r="S51" s="2" t="s">
        <v>717</v>
      </c>
      <c r="T51" s="2" t="s">
        <v>728</v>
      </c>
      <c r="U51" t="e">
        <f>(AE51/#REF!)*100</f>
        <v>#REF!</v>
      </c>
      <c r="V51" s="2" t="s">
        <v>783</v>
      </c>
      <c r="W51" s="7">
        <v>1303.56</v>
      </c>
      <c r="X51" s="7">
        <v>1791.37</v>
      </c>
      <c r="Y51" s="7">
        <f t="shared" si="6"/>
        <v>1791.37</v>
      </c>
      <c r="Z51" s="7" t="str">
        <f t="shared" si="7"/>
        <v>Medium</v>
      </c>
      <c r="AA51" s="13">
        <v>0.126</v>
      </c>
      <c r="AB51" s="13">
        <f t="shared" si="8"/>
        <v>0.126</v>
      </c>
      <c r="AC51" s="13" t="str">
        <f t="shared" si="9"/>
        <v>OK</v>
      </c>
      <c r="AD51" s="7">
        <v>22</v>
      </c>
      <c r="AE51" s="7">
        <f>Y51*AD51*(1-AB51)</f>
        <v>34444.462359999998</v>
      </c>
      <c r="AF51" s="7">
        <f>W51*AD51</f>
        <v>28678.32</v>
      </c>
      <c r="AG51" s="7">
        <f t="shared" si="10"/>
        <v>5766.142359999998</v>
      </c>
      <c r="AH51" s="13">
        <f t="shared" si="11"/>
        <v>0.16740404596055358</v>
      </c>
    </row>
    <row r="52" spans="1:34" x14ac:dyDescent="0.35">
      <c r="A52" s="2" t="s">
        <v>65</v>
      </c>
      <c r="B52" s="5">
        <v>45602</v>
      </c>
      <c r="C52" s="5">
        <f>IF(H52&lt;B52,H52,B52)</f>
        <v>45602</v>
      </c>
      <c r="D52" s="5" t="str">
        <f t="shared" si="0"/>
        <v>Nov-2024</v>
      </c>
      <c r="E52" s="5" t="str">
        <f t="shared" si="1"/>
        <v>Nov</v>
      </c>
      <c r="F52" s="5" t="str">
        <f t="shared" si="2"/>
        <v>2024</v>
      </c>
      <c r="G52" s="5" t="str">
        <f t="shared" si="3"/>
        <v>Q4-2024</v>
      </c>
      <c r="H52" s="5">
        <v>45618</v>
      </c>
      <c r="I52" s="5">
        <f>IF(H52&lt;B52, B52+7, H52)</f>
        <v>45618</v>
      </c>
      <c r="J52" s="5" t="str">
        <f>IF(H52&lt;B52, "Invalid","Okay")</f>
        <v>Okay</v>
      </c>
      <c r="K52" s="16">
        <f>I52-C52</f>
        <v>16</v>
      </c>
      <c r="L52" s="16" t="str">
        <f t="shared" si="4"/>
        <v>Target Not Met</v>
      </c>
      <c r="M52" s="2" t="s">
        <v>648</v>
      </c>
      <c r="N52" s="2" t="s">
        <v>653</v>
      </c>
      <c r="O52" s="2" t="s">
        <v>667</v>
      </c>
      <c r="P52" s="29" t="str">
        <f t="shared" si="5"/>
        <v>Americas→Canada→Toronto</v>
      </c>
      <c r="Q52" s="2" t="s">
        <v>703</v>
      </c>
      <c r="R52" s="2" t="s">
        <v>710</v>
      </c>
      <c r="S52" s="2" t="s">
        <v>726</v>
      </c>
      <c r="T52" s="2" t="s">
        <v>733</v>
      </c>
      <c r="U52" t="e">
        <f>(AE52/#REF!)*100</f>
        <v>#REF!</v>
      </c>
      <c r="V52" s="2" t="s">
        <v>784</v>
      </c>
      <c r="W52" s="7">
        <v>1454.11</v>
      </c>
      <c r="X52" s="7">
        <v>2629.75</v>
      </c>
      <c r="Y52" s="7">
        <f t="shared" si="6"/>
        <v>2629.75</v>
      </c>
      <c r="Z52" s="7" t="str">
        <f t="shared" si="7"/>
        <v>High</v>
      </c>
      <c r="AA52" s="13">
        <v>0.29199999999999998</v>
      </c>
      <c r="AB52" s="13">
        <f t="shared" si="8"/>
        <v>0.29199999999999998</v>
      </c>
      <c r="AC52" s="13" t="str">
        <f t="shared" si="9"/>
        <v>OK</v>
      </c>
      <c r="AD52" s="7">
        <v>8</v>
      </c>
      <c r="AE52" s="7">
        <f>Y52*AD52*(1-AB52)</f>
        <v>14894.903999999999</v>
      </c>
      <c r="AF52" s="7">
        <f>W52*AD52</f>
        <v>11632.88</v>
      </c>
      <c r="AG52" s="7">
        <f t="shared" si="10"/>
        <v>3262.0239999999994</v>
      </c>
      <c r="AH52" s="13">
        <f t="shared" si="11"/>
        <v>0.21900268709351867</v>
      </c>
    </row>
    <row r="53" spans="1:34" x14ac:dyDescent="0.35">
      <c r="A53" s="2" t="s">
        <v>66</v>
      </c>
      <c r="B53" s="5">
        <v>45582</v>
      </c>
      <c r="C53" s="5">
        <f>IF(H53&lt;B53,H53,B53)</f>
        <v>45582</v>
      </c>
      <c r="D53" s="5" t="str">
        <f t="shared" si="0"/>
        <v>Oct-2024</v>
      </c>
      <c r="E53" s="5" t="str">
        <f t="shared" si="1"/>
        <v>Oct</v>
      </c>
      <c r="F53" s="5" t="str">
        <f t="shared" si="2"/>
        <v>2024</v>
      </c>
      <c r="G53" s="5" t="str">
        <f t="shared" si="3"/>
        <v>Q4-2024</v>
      </c>
      <c r="H53" s="5">
        <v>45602</v>
      </c>
      <c r="I53" s="5">
        <f>IF(H53&lt;B53, B53+7, H53)</f>
        <v>45602</v>
      </c>
      <c r="J53" s="5" t="str">
        <f>IF(H53&lt;B53, "Invalid","Okay")</f>
        <v>Okay</v>
      </c>
      <c r="K53" s="16">
        <f>I53-C53</f>
        <v>20</v>
      </c>
      <c r="L53" s="16" t="str">
        <f t="shared" si="4"/>
        <v>Target Not Met</v>
      </c>
      <c r="M53" s="2" t="s">
        <v>647</v>
      </c>
      <c r="N53" s="2" t="s">
        <v>654</v>
      </c>
      <c r="O53" s="2" t="s">
        <v>668</v>
      </c>
      <c r="P53" s="29" t="str">
        <f t="shared" si="5"/>
        <v>Asia→India→Bengaluru</v>
      </c>
      <c r="Q53" s="2" t="s">
        <v>706</v>
      </c>
      <c r="R53" s="2" t="s">
        <v>710</v>
      </c>
      <c r="S53" s="2" t="s">
        <v>719</v>
      </c>
      <c r="T53" s="2" t="s">
        <v>732</v>
      </c>
      <c r="U53" t="e">
        <f>(AE53/#REF!)*100</f>
        <v>#REF!</v>
      </c>
      <c r="V53" s="2" t="s">
        <v>785</v>
      </c>
      <c r="W53" s="7">
        <v>72.94</v>
      </c>
      <c r="X53" s="7">
        <v>106.3</v>
      </c>
      <c r="Y53" s="7">
        <f t="shared" si="6"/>
        <v>106.3</v>
      </c>
      <c r="Z53" s="7" t="str">
        <f t="shared" si="7"/>
        <v>Low</v>
      </c>
      <c r="AA53" s="13">
        <v>0.29499999999999998</v>
      </c>
      <c r="AB53" s="13">
        <f t="shared" si="8"/>
        <v>0.29499999999999998</v>
      </c>
      <c r="AC53" s="13" t="str">
        <f t="shared" si="9"/>
        <v>OK</v>
      </c>
      <c r="AD53" s="7">
        <v>8</v>
      </c>
      <c r="AE53" s="7">
        <f>Y53*AD53*(1-AB53)</f>
        <v>599.53200000000004</v>
      </c>
      <c r="AF53" s="7">
        <f>W53*AD53</f>
        <v>583.52</v>
      </c>
      <c r="AG53" s="7">
        <f t="shared" si="10"/>
        <v>16.012000000000057</v>
      </c>
      <c r="AH53" s="13">
        <f t="shared" si="11"/>
        <v>2.6707498515508857E-2</v>
      </c>
    </row>
    <row r="54" spans="1:34" x14ac:dyDescent="0.35">
      <c r="A54" s="2" t="s">
        <v>67</v>
      </c>
      <c r="B54" s="5">
        <v>45016</v>
      </c>
      <c r="C54" s="5">
        <f>IF(H54&lt;B54,H54,B54)</f>
        <v>45016</v>
      </c>
      <c r="D54" s="5" t="str">
        <f t="shared" si="0"/>
        <v>Mar-2023</v>
      </c>
      <c r="E54" s="5" t="str">
        <f t="shared" si="1"/>
        <v>Mar</v>
      </c>
      <c r="F54" s="5" t="str">
        <f t="shared" si="2"/>
        <v>2023</v>
      </c>
      <c r="G54" s="5" t="str">
        <f t="shared" si="3"/>
        <v>Q1-2023</v>
      </c>
      <c r="H54" s="5">
        <v>45021</v>
      </c>
      <c r="I54" s="5">
        <f>IF(H54&lt;B54, B54+7, H54)</f>
        <v>45021</v>
      </c>
      <c r="J54" s="5" t="str">
        <f>IF(H54&lt;B54, "Invalid","Okay")</f>
        <v>Okay</v>
      </c>
      <c r="K54" s="16">
        <f>I54-C54</f>
        <v>5</v>
      </c>
      <c r="L54" s="16" t="str">
        <f t="shared" si="4"/>
        <v>Target Met</v>
      </c>
      <c r="M54" s="2" t="s">
        <v>646</v>
      </c>
      <c r="N54" s="2" t="s">
        <v>650</v>
      </c>
      <c r="O54" s="2" t="s">
        <v>678</v>
      </c>
      <c r="P54" s="29" t="str">
        <f t="shared" si="5"/>
        <v>Africa→Kenya→Nakuru</v>
      </c>
      <c r="Q54" s="2" t="s">
        <v>702</v>
      </c>
      <c r="R54" s="2" t="s">
        <v>709</v>
      </c>
      <c r="S54" s="2" t="s">
        <v>717</v>
      </c>
      <c r="T54" s="2" t="s">
        <v>731</v>
      </c>
      <c r="U54" t="e">
        <f>(AE54/#REF!)*100</f>
        <v>#REF!</v>
      </c>
      <c r="V54" s="2" t="s">
        <v>786</v>
      </c>
      <c r="W54" s="7">
        <v>533.26</v>
      </c>
      <c r="X54" s="7">
        <v>385.72</v>
      </c>
      <c r="Y54" s="7">
        <f t="shared" si="6"/>
        <v>385.72</v>
      </c>
      <c r="Z54" s="7" t="str">
        <f t="shared" si="7"/>
        <v>Low</v>
      </c>
      <c r="AA54" s="13">
        <v>0</v>
      </c>
      <c r="AB54" s="13">
        <f t="shared" si="8"/>
        <v>0</v>
      </c>
      <c r="AC54" s="13" t="str">
        <f t="shared" si="9"/>
        <v>OK</v>
      </c>
      <c r="AD54" s="7">
        <v>15</v>
      </c>
      <c r="AE54" s="7">
        <f>Y54*AD54*(1-AB54)</f>
        <v>5785.8</v>
      </c>
      <c r="AF54" s="7">
        <f>W54*AD54</f>
        <v>7998.9</v>
      </c>
      <c r="AG54" s="7">
        <f t="shared" si="10"/>
        <v>-2213.0999999999995</v>
      </c>
      <c r="AH54" s="13">
        <f t="shared" si="11"/>
        <v>-0.38250544436378708</v>
      </c>
    </row>
    <row r="55" spans="1:34" x14ac:dyDescent="0.35">
      <c r="A55" s="2" t="s">
        <v>68</v>
      </c>
      <c r="B55" s="5">
        <v>45678</v>
      </c>
      <c r="C55" s="5">
        <f>IF(H55&lt;B55,H55,B55)</f>
        <v>45678</v>
      </c>
      <c r="D55" s="5" t="str">
        <f t="shared" si="0"/>
        <v>Jan-2025</v>
      </c>
      <c r="E55" s="5" t="str">
        <f t="shared" si="1"/>
        <v>Jan</v>
      </c>
      <c r="F55" s="5" t="str">
        <f t="shared" si="2"/>
        <v>2025</v>
      </c>
      <c r="G55" s="5" t="str">
        <f t="shared" si="3"/>
        <v>Q1-2025</v>
      </c>
      <c r="H55" s="5">
        <v>45704</v>
      </c>
      <c r="I55" s="5">
        <f>IF(H55&lt;B55, B55+7, H55)</f>
        <v>45704</v>
      </c>
      <c r="J55" s="5" t="str">
        <f>IF(H55&lt;B55, "Invalid","Okay")</f>
        <v>Okay</v>
      </c>
      <c r="K55" s="16">
        <f>I55-C55</f>
        <v>26</v>
      </c>
      <c r="L55" s="16" t="str">
        <f t="shared" si="4"/>
        <v>Target Not Met</v>
      </c>
      <c r="M55" s="2" t="s">
        <v>649</v>
      </c>
      <c r="N55" s="2" t="s">
        <v>657</v>
      </c>
      <c r="O55" s="2" t="s">
        <v>679</v>
      </c>
      <c r="P55" s="29" t="str">
        <f t="shared" si="5"/>
        <v>Europe→France→Lyon</v>
      </c>
      <c r="Q55" s="2" t="s">
        <v>701</v>
      </c>
      <c r="R55" s="2" t="s">
        <v>710</v>
      </c>
      <c r="S55" s="2" t="s">
        <v>719</v>
      </c>
      <c r="T55" s="2" t="s">
        <v>731</v>
      </c>
      <c r="U55" t="e">
        <f>(AE55/#REF!)*100</f>
        <v>#REF!</v>
      </c>
      <c r="V55" s="2" t="s">
        <v>787</v>
      </c>
      <c r="W55" s="7">
        <v>204.11</v>
      </c>
      <c r="X55" s="7">
        <v>236.87</v>
      </c>
      <c r="Y55" s="7">
        <f t="shared" si="6"/>
        <v>236.87</v>
      </c>
      <c r="Z55" s="7" t="str">
        <f t="shared" si="7"/>
        <v>Low</v>
      </c>
      <c r="AA55" s="13">
        <v>0.182</v>
      </c>
      <c r="AB55" s="13">
        <f t="shared" si="8"/>
        <v>0.182</v>
      </c>
      <c r="AC55" s="13" t="str">
        <f t="shared" si="9"/>
        <v>OK</v>
      </c>
      <c r="AD55" s="7">
        <v>13</v>
      </c>
      <c r="AE55" s="7">
        <f>Y55*AD55*(1-AB55)</f>
        <v>2518.8755800000004</v>
      </c>
      <c r="AF55" s="7">
        <f>W55*AD55</f>
        <v>2653.4300000000003</v>
      </c>
      <c r="AG55" s="7">
        <f t="shared" si="10"/>
        <v>-134.55441999999994</v>
      </c>
      <c r="AH55" s="13">
        <f t="shared" si="11"/>
        <v>-5.3418446337075494E-2</v>
      </c>
    </row>
    <row r="56" spans="1:34" x14ac:dyDescent="0.35">
      <c r="A56" s="2" t="s">
        <v>69</v>
      </c>
      <c r="B56" s="5">
        <v>45168</v>
      </c>
      <c r="C56" s="5">
        <f>IF(H56&lt;B56,H56,B56)</f>
        <v>45168</v>
      </c>
      <c r="D56" s="5" t="str">
        <f t="shared" si="0"/>
        <v>Aug-2023</v>
      </c>
      <c r="E56" s="5" t="str">
        <f t="shared" si="1"/>
        <v>Aug</v>
      </c>
      <c r="F56" s="5" t="str">
        <f t="shared" si="2"/>
        <v>2023</v>
      </c>
      <c r="G56" s="5" t="str">
        <f t="shared" si="3"/>
        <v>Q3-2023</v>
      </c>
      <c r="H56" s="5">
        <v>45170</v>
      </c>
      <c r="I56" s="5">
        <f>IF(H56&lt;B56, B56+7, H56)</f>
        <v>45170</v>
      </c>
      <c r="J56" s="5" t="str">
        <f>IF(H56&lt;B56, "Invalid","Okay")</f>
        <v>Okay</v>
      </c>
      <c r="K56" s="16">
        <f>I56-C56</f>
        <v>2</v>
      </c>
      <c r="L56" s="16" t="str">
        <f t="shared" si="4"/>
        <v>Target Met</v>
      </c>
      <c r="M56" s="2" t="s">
        <v>649</v>
      </c>
      <c r="N56" s="2" t="s">
        <v>656</v>
      </c>
      <c r="O56" s="2" t="s">
        <v>684</v>
      </c>
      <c r="P56" s="29" t="str">
        <f t="shared" si="5"/>
        <v>Europe→Germany→Munich</v>
      </c>
      <c r="Q56" s="2" t="s">
        <v>701</v>
      </c>
      <c r="R56" s="2" t="s">
        <v>711</v>
      </c>
      <c r="S56" s="2" t="s">
        <v>725</v>
      </c>
      <c r="T56" s="2" t="s">
        <v>729</v>
      </c>
      <c r="U56" t="e">
        <f>(AE56/#REF!)*100</f>
        <v>#REF!</v>
      </c>
      <c r="V56" s="2" t="s">
        <v>788</v>
      </c>
      <c r="W56" s="7">
        <v>44.42</v>
      </c>
      <c r="X56" s="7">
        <v>41.9</v>
      </c>
      <c r="Y56" s="7">
        <f t="shared" si="6"/>
        <v>41.9</v>
      </c>
      <c r="Z56" s="7" t="str">
        <f t="shared" si="7"/>
        <v>Low</v>
      </c>
      <c r="AA56" s="13">
        <v>0.14399999999999999</v>
      </c>
      <c r="AB56" s="13">
        <f t="shared" si="8"/>
        <v>0.14399999999999999</v>
      </c>
      <c r="AC56" s="13" t="str">
        <f t="shared" si="9"/>
        <v>OK</v>
      </c>
      <c r="AD56" s="7">
        <v>6</v>
      </c>
      <c r="AE56" s="7">
        <f>Y56*AD56*(1-AB56)</f>
        <v>215.19839999999996</v>
      </c>
      <c r="AF56" s="7">
        <f>W56*AD56</f>
        <v>266.52</v>
      </c>
      <c r="AG56" s="7">
        <f t="shared" si="10"/>
        <v>-51.321600000000018</v>
      </c>
      <c r="AH56" s="13">
        <f t="shared" si="11"/>
        <v>-0.23848504449847224</v>
      </c>
    </row>
    <row r="57" spans="1:34" x14ac:dyDescent="0.35">
      <c r="A57" s="2" t="s">
        <v>70</v>
      </c>
      <c r="B57" s="5">
        <v>45753</v>
      </c>
      <c r="C57" s="5">
        <f>IF(H57&lt;B57,H57,B57)</f>
        <v>45753</v>
      </c>
      <c r="D57" s="5" t="str">
        <f t="shared" si="0"/>
        <v>Apr-2025</v>
      </c>
      <c r="E57" s="5" t="str">
        <f t="shared" si="1"/>
        <v>Apr</v>
      </c>
      <c r="F57" s="5" t="str">
        <f t="shared" si="2"/>
        <v>2025</v>
      </c>
      <c r="G57" s="5" t="str">
        <f t="shared" si="3"/>
        <v>Q2-2025</v>
      </c>
      <c r="H57" s="5">
        <v>45777</v>
      </c>
      <c r="I57" s="5">
        <f>IF(H57&lt;B57, B57+7, H57)</f>
        <v>45777</v>
      </c>
      <c r="J57" s="5" t="str">
        <f>IF(H57&lt;B57, "Invalid","Okay")</f>
        <v>Okay</v>
      </c>
      <c r="K57" s="16">
        <f>I57-C57</f>
        <v>24</v>
      </c>
      <c r="L57" s="16" t="str">
        <f t="shared" si="4"/>
        <v>Target Not Met</v>
      </c>
      <c r="M57" s="2" t="s">
        <v>648</v>
      </c>
      <c r="N57" s="2" t="s">
        <v>655</v>
      </c>
      <c r="O57" s="2" t="s">
        <v>672</v>
      </c>
      <c r="P57" s="29" t="str">
        <f t="shared" si="5"/>
        <v>Americas→Brazil→Brasília</v>
      </c>
      <c r="Q57" s="2" t="s">
        <v>702</v>
      </c>
      <c r="R57" s="2" t="s">
        <v>708</v>
      </c>
      <c r="S57" s="2" t="s">
        <v>723</v>
      </c>
      <c r="T57" s="2" t="s">
        <v>732</v>
      </c>
      <c r="U57" t="e">
        <f>(AE57/#REF!)*100</f>
        <v>#REF!</v>
      </c>
      <c r="V57" s="2" t="s">
        <v>789</v>
      </c>
      <c r="W57" s="7">
        <v>855.78</v>
      </c>
      <c r="X57" s="7">
        <v>977.38</v>
      </c>
      <c r="Y57" s="7">
        <f t="shared" si="6"/>
        <v>977.38</v>
      </c>
      <c r="Z57" s="7" t="str">
        <f t="shared" si="7"/>
        <v>Low</v>
      </c>
      <c r="AA57" s="13">
        <v>0.14699999999999999</v>
      </c>
      <c r="AB57" s="13">
        <f t="shared" si="8"/>
        <v>0.14699999999999999</v>
      </c>
      <c r="AC57" s="13" t="str">
        <f t="shared" si="9"/>
        <v>OK</v>
      </c>
      <c r="AD57" s="7">
        <v>38</v>
      </c>
      <c r="AE57" s="7">
        <f>Y57*AD57*(1-AB57)</f>
        <v>31680.795320000001</v>
      </c>
      <c r="AF57" s="7">
        <f>W57*AD57</f>
        <v>32519.64</v>
      </c>
      <c r="AG57" s="7">
        <f t="shared" si="10"/>
        <v>-838.84467999999833</v>
      </c>
      <c r="AH57" s="13">
        <f t="shared" si="11"/>
        <v>-2.6478018355506307E-2</v>
      </c>
    </row>
    <row r="58" spans="1:34" x14ac:dyDescent="0.35">
      <c r="A58" s="2" t="s">
        <v>71</v>
      </c>
      <c r="B58" s="5">
        <v>45697</v>
      </c>
      <c r="C58" s="5">
        <f>IF(H58&lt;B58,H58,B58)</f>
        <v>45697</v>
      </c>
      <c r="D58" s="5" t="str">
        <f t="shared" si="0"/>
        <v>Feb-2025</v>
      </c>
      <c r="E58" s="5" t="str">
        <f t="shared" si="1"/>
        <v>Feb</v>
      </c>
      <c r="F58" s="5" t="str">
        <f t="shared" si="2"/>
        <v>2025</v>
      </c>
      <c r="G58" s="5" t="str">
        <f t="shared" si="3"/>
        <v>Q1-2025</v>
      </c>
      <c r="H58" s="5">
        <v>45717</v>
      </c>
      <c r="I58" s="5">
        <f>IF(H58&lt;B58, B58+7, H58)</f>
        <v>45717</v>
      </c>
      <c r="J58" s="5" t="str">
        <f>IF(H58&lt;B58, "Invalid","Okay")</f>
        <v>Okay</v>
      </c>
      <c r="K58" s="16">
        <f>I58-C58</f>
        <v>20</v>
      </c>
      <c r="L58" s="16" t="str">
        <f t="shared" si="4"/>
        <v>Target Not Met</v>
      </c>
      <c r="M58" s="2" t="s">
        <v>648</v>
      </c>
      <c r="N58" s="2" t="s">
        <v>655</v>
      </c>
      <c r="O58" s="2" t="s">
        <v>670</v>
      </c>
      <c r="P58" s="29" t="str">
        <f t="shared" si="5"/>
        <v>Americas→Brazil→São Paulo</v>
      </c>
      <c r="Q58" s="2" t="s">
        <v>701</v>
      </c>
      <c r="R58" s="2" t="s">
        <v>710</v>
      </c>
      <c r="S58" s="2" t="s">
        <v>717</v>
      </c>
      <c r="T58" s="2" t="s">
        <v>731</v>
      </c>
      <c r="U58" t="e">
        <f>(AE58/#REF!)*100</f>
        <v>#REF!</v>
      </c>
      <c r="V58" s="2" t="s">
        <v>790</v>
      </c>
      <c r="W58" s="7">
        <v>1154.6400000000001</v>
      </c>
      <c r="X58" s="7">
        <v>2794.13</v>
      </c>
      <c r="Y58" s="7">
        <f t="shared" si="6"/>
        <v>2794.13</v>
      </c>
      <c r="Z58" s="7" t="str">
        <f t="shared" si="7"/>
        <v>High</v>
      </c>
      <c r="AA58" s="13">
        <v>3.5000000000000003E-2</v>
      </c>
      <c r="AB58" s="13">
        <f t="shared" si="8"/>
        <v>3.5000000000000003E-2</v>
      </c>
      <c r="AC58" s="13" t="str">
        <f t="shared" si="9"/>
        <v>OK</v>
      </c>
      <c r="AD58" s="7">
        <v>11</v>
      </c>
      <c r="AE58" s="7">
        <f>Y58*AD58*(1-AB58)</f>
        <v>29659.68995</v>
      </c>
      <c r="AF58" s="7">
        <f>W58*AD58</f>
        <v>12701.04</v>
      </c>
      <c r="AG58" s="7">
        <f t="shared" si="10"/>
        <v>16958.649949999999</v>
      </c>
      <c r="AH58" s="13">
        <f t="shared" si="11"/>
        <v>0.57177435025749479</v>
      </c>
    </row>
    <row r="59" spans="1:34" x14ac:dyDescent="0.35">
      <c r="A59" s="2" t="s">
        <v>72</v>
      </c>
      <c r="B59" s="5">
        <v>45643</v>
      </c>
      <c r="C59" s="5">
        <f>IF(H59&lt;B59,H59,B59)</f>
        <v>45643</v>
      </c>
      <c r="D59" s="5" t="str">
        <f t="shared" si="0"/>
        <v>Dec-2024</v>
      </c>
      <c r="E59" s="5" t="str">
        <f t="shared" si="1"/>
        <v>Dec</v>
      </c>
      <c r="F59" s="5" t="str">
        <f t="shared" si="2"/>
        <v>2024</v>
      </c>
      <c r="G59" s="5" t="str">
        <f t="shared" si="3"/>
        <v>Q4-2024</v>
      </c>
      <c r="H59" s="5">
        <v>45644</v>
      </c>
      <c r="I59" s="5">
        <f>IF(H59&lt;B59, B59+7, H59)</f>
        <v>45644</v>
      </c>
      <c r="J59" s="5" t="str">
        <f>IF(H59&lt;B59, "Invalid","Okay")</f>
        <v>Okay</v>
      </c>
      <c r="K59" s="16">
        <f>I59-C59</f>
        <v>1</v>
      </c>
      <c r="L59" s="16" t="str">
        <f t="shared" si="4"/>
        <v>Target Met</v>
      </c>
      <c r="M59" s="2" t="s">
        <v>649</v>
      </c>
      <c r="N59" s="2" t="s">
        <v>656</v>
      </c>
      <c r="O59" s="2" t="s">
        <v>684</v>
      </c>
      <c r="P59" s="29" t="str">
        <f t="shared" si="5"/>
        <v>Europe→Germany→Munich</v>
      </c>
      <c r="Q59" s="2" t="s">
        <v>702</v>
      </c>
      <c r="R59" s="2" t="s">
        <v>707</v>
      </c>
      <c r="S59" s="2" t="s">
        <v>716</v>
      </c>
      <c r="T59" s="2" t="s">
        <v>733</v>
      </c>
      <c r="U59" t="e">
        <f>(AE59/#REF!)*100</f>
        <v>#REF!</v>
      </c>
      <c r="V59" s="2" t="s">
        <v>791</v>
      </c>
      <c r="W59" s="7">
        <v>346.82</v>
      </c>
      <c r="X59" s="7">
        <v>701.95</v>
      </c>
      <c r="Y59" s="7">
        <f t="shared" si="6"/>
        <v>701.95</v>
      </c>
      <c r="Z59" s="7" t="str">
        <f t="shared" si="7"/>
        <v>Low</v>
      </c>
      <c r="AA59" s="13">
        <v>0.14699999999999999</v>
      </c>
      <c r="AB59" s="13">
        <f t="shared" si="8"/>
        <v>0.14699999999999999</v>
      </c>
      <c r="AC59" s="13" t="str">
        <f t="shared" si="9"/>
        <v>OK</v>
      </c>
      <c r="AD59" s="7">
        <v>8</v>
      </c>
      <c r="AE59" s="7">
        <f>Y59*AD59*(1-AB59)</f>
        <v>4790.1068000000005</v>
      </c>
      <c r="AF59" s="7">
        <f>W59*AD59</f>
        <v>2774.56</v>
      </c>
      <c r="AG59" s="7">
        <f t="shared" si="10"/>
        <v>2015.5468000000005</v>
      </c>
      <c r="AH59" s="13">
        <f t="shared" si="11"/>
        <v>0.42077283120284509</v>
      </c>
    </row>
    <row r="60" spans="1:34" x14ac:dyDescent="0.35">
      <c r="A60" s="2" t="s">
        <v>73</v>
      </c>
      <c r="B60" s="5">
        <v>45817</v>
      </c>
      <c r="C60" s="5">
        <f>IF(H60&lt;B60,H60,B60)</f>
        <v>45817</v>
      </c>
      <c r="D60" s="5" t="str">
        <f t="shared" si="0"/>
        <v>Jun-2025</v>
      </c>
      <c r="E60" s="5" t="str">
        <f t="shared" si="1"/>
        <v>Jun</v>
      </c>
      <c r="F60" s="5" t="str">
        <f t="shared" si="2"/>
        <v>2025</v>
      </c>
      <c r="G60" s="5" t="str">
        <f t="shared" si="3"/>
        <v>Q2-2025</v>
      </c>
      <c r="H60" s="5">
        <v>45826</v>
      </c>
      <c r="I60" s="5">
        <f>IF(H60&lt;B60, B60+7, H60)</f>
        <v>45826</v>
      </c>
      <c r="J60" s="5" t="str">
        <f>IF(H60&lt;B60, "Invalid","Okay")</f>
        <v>Okay</v>
      </c>
      <c r="K60" s="16">
        <f>I60-C60</f>
        <v>9</v>
      </c>
      <c r="L60" s="16" t="str">
        <f t="shared" si="4"/>
        <v>Target Not Met</v>
      </c>
      <c r="M60" s="2" t="s">
        <v>649</v>
      </c>
      <c r="N60" s="2" t="s">
        <v>657</v>
      </c>
      <c r="O60" s="2" t="s">
        <v>673</v>
      </c>
      <c r="P60" s="29" t="str">
        <f t="shared" si="5"/>
        <v>Europe→France→Marseille</v>
      </c>
      <c r="Q60" s="2" t="s">
        <v>705</v>
      </c>
      <c r="R60" s="2" t="s">
        <v>709</v>
      </c>
      <c r="S60" s="2" t="s">
        <v>722</v>
      </c>
      <c r="T60" s="2" t="s">
        <v>733</v>
      </c>
      <c r="U60" t="e">
        <f>(AE60/#REF!)*100</f>
        <v>#REF!</v>
      </c>
      <c r="V60" s="2" t="s">
        <v>792</v>
      </c>
      <c r="W60" s="7">
        <v>1225.5</v>
      </c>
      <c r="X60" s="7">
        <v>-5.27</v>
      </c>
      <c r="Y60" s="7">
        <f t="shared" si="6"/>
        <v>5.27</v>
      </c>
      <c r="Z60" s="7" t="str">
        <f t="shared" si="7"/>
        <v>Low</v>
      </c>
      <c r="AA60" s="13">
        <v>7.4999999999999997E-2</v>
      </c>
      <c r="AB60" s="13">
        <f t="shared" si="8"/>
        <v>7.4999999999999997E-2</v>
      </c>
      <c r="AC60" s="13" t="str">
        <f t="shared" si="9"/>
        <v>OK</v>
      </c>
      <c r="AD60" s="7">
        <v>56</v>
      </c>
      <c r="AE60" s="7">
        <f>Y60*AD60*(1-AB60)</f>
        <v>272.98599999999999</v>
      </c>
      <c r="AF60" s="7">
        <f>W60*AD60</f>
        <v>68628</v>
      </c>
      <c r="AG60" s="7">
        <f t="shared" si="10"/>
        <v>-68355.013999999996</v>
      </c>
      <c r="AH60" s="13">
        <f t="shared" si="11"/>
        <v>-250.39750756449047</v>
      </c>
    </row>
    <row r="61" spans="1:34" x14ac:dyDescent="0.35">
      <c r="A61" s="2" t="s">
        <v>74</v>
      </c>
      <c r="B61" s="5">
        <v>45779</v>
      </c>
      <c r="C61" s="5">
        <f>IF(H61&lt;B61,H61,B61)</f>
        <v>45779</v>
      </c>
      <c r="D61" s="5" t="str">
        <f t="shared" si="0"/>
        <v>May-2025</v>
      </c>
      <c r="E61" s="5" t="str">
        <f t="shared" si="1"/>
        <v>May</v>
      </c>
      <c r="F61" s="5" t="str">
        <f t="shared" si="2"/>
        <v>2025</v>
      </c>
      <c r="G61" s="5" t="str">
        <f t="shared" si="3"/>
        <v>Q2-2025</v>
      </c>
      <c r="H61" s="5">
        <v>45790</v>
      </c>
      <c r="I61" s="5">
        <f>IF(H61&lt;B61, B61+7, H61)</f>
        <v>45790</v>
      </c>
      <c r="J61" s="5" t="str">
        <f>IF(H61&lt;B61, "Invalid","Okay")</f>
        <v>Okay</v>
      </c>
      <c r="K61" s="16">
        <f>I61-C61</f>
        <v>11</v>
      </c>
      <c r="L61" s="16" t="str">
        <f t="shared" si="4"/>
        <v>Target Not Met</v>
      </c>
      <c r="M61" s="2" t="s">
        <v>646</v>
      </c>
      <c r="N61" s="2" t="s">
        <v>650</v>
      </c>
      <c r="O61" s="2" t="s">
        <v>678</v>
      </c>
      <c r="P61" s="29" t="str">
        <f t="shared" si="5"/>
        <v>Africa→Kenya→Nakuru</v>
      </c>
      <c r="Q61" s="2" t="s">
        <v>705</v>
      </c>
      <c r="R61" s="2" t="s">
        <v>708</v>
      </c>
      <c r="S61" s="2" t="s">
        <v>720</v>
      </c>
      <c r="T61" s="2" t="s">
        <v>733</v>
      </c>
      <c r="U61" t="e">
        <f>(AE61/#REF!)*100</f>
        <v>#REF!</v>
      </c>
      <c r="V61" s="2" t="s">
        <v>793</v>
      </c>
      <c r="W61" s="7">
        <v>1057.5999999999999</v>
      </c>
      <c r="X61" s="7">
        <v>1437.06</v>
      </c>
      <c r="Y61" s="7">
        <f t="shared" si="6"/>
        <v>1437.06</v>
      </c>
      <c r="Z61" s="7" t="str">
        <f t="shared" si="7"/>
        <v>Medium</v>
      </c>
      <c r="AA61" s="13">
        <v>0.20499999999999999</v>
      </c>
      <c r="AB61" s="13">
        <f t="shared" si="8"/>
        <v>0.20499999999999999</v>
      </c>
      <c r="AC61" s="13" t="str">
        <f t="shared" si="9"/>
        <v>OK</v>
      </c>
      <c r="AD61" s="7">
        <v>4</v>
      </c>
      <c r="AE61" s="7">
        <f>Y61*AD61*(1-AB61)</f>
        <v>4569.8508000000002</v>
      </c>
      <c r="AF61" s="7">
        <f>W61*AD61</f>
        <v>4230.3999999999996</v>
      </c>
      <c r="AG61" s="7">
        <f t="shared" si="10"/>
        <v>339.45080000000053</v>
      </c>
      <c r="AH61" s="13">
        <f t="shared" si="11"/>
        <v>7.4280499485891424E-2</v>
      </c>
    </row>
    <row r="62" spans="1:34" x14ac:dyDescent="0.35">
      <c r="A62" s="2" t="s">
        <v>75</v>
      </c>
      <c r="B62" s="5">
        <v>45361</v>
      </c>
      <c r="C62" s="5">
        <f>IF(H62&lt;B62,H62,B62)</f>
        <v>45361</v>
      </c>
      <c r="D62" s="5" t="str">
        <f t="shared" si="0"/>
        <v>Mar-2024</v>
      </c>
      <c r="E62" s="5" t="str">
        <f t="shared" si="1"/>
        <v>Mar</v>
      </c>
      <c r="F62" s="5" t="str">
        <f t="shared" si="2"/>
        <v>2024</v>
      </c>
      <c r="G62" s="5" t="str">
        <f t="shared" si="3"/>
        <v>Q1-2024</v>
      </c>
      <c r="H62" s="5">
        <v>45391</v>
      </c>
      <c r="I62" s="5">
        <f>IF(H62&lt;B62, B62+7, H62)</f>
        <v>45391</v>
      </c>
      <c r="J62" s="5" t="str">
        <f>IF(H62&lt;B62, "Invalid","Okay")</f>
        <v>Okay</v>
      </c>
      <c r="K62" s="16">
        <f>I62-C62</f>
        <v>30</v>
      </c>
      <c r="L62" s="16" t="str">
        <f t="shared" si="4"/>
        <v>Target Not Met</v>
      </c>
      <c r="M62" s="2" t="s">
        <v>649</v>
      </c>
      <c r="N62" s="2" t="s">
        <v>657</v>
      </c>
      <c r="O62" s="2" t="s">
        <v>679</v>
      </c>
      <c r="P62" s="29" t="str">
        <f t="shared" si="5"/>
        <v>Europe→France→Lyon</v>
      </c>
      <c r="Q62" s="2" t="s">
        <v>701</v>
      </c>
      <c r="R62" s="2" t="s">
        <v>711</v>
      </c>
      <c r="S62" s="2" t="s">
        <v>714</v>
      </c>
      <c r="T62" s="2" t="s">
        <v>727</v>
      </c>
      <c r="U62" t="e">
        <f>(AE62/#REF!)*100</f>
        <v>#REF!</v>
      </c>
      <c r="V62" s="2" t="s">
        <v>794</v>
      </c>
      <c r="W62" s="7">
        <v>1176.56</v>
      </c>
      <c r="X62" s="7">
        <v>1911.89</v>
      </c>
      <c r="Y62" s="7">
        <f t="shared" si="6"/>
        <v>1911.89</v>
      </c>
      <c r="Z62" s="7" t="str">
        <f t="shared" si="7"/>
        <v>Medium</v>
      </c>
      <c r="AA62" s="13">
        <v>0.11899999999999999</v>
      </c>
      <c r="AB62" s="13">
        <f t="shared" si="8"/>
        <v>0.11899999999999999</v>
      </c>
      <c r="AC62" s="13" t="str">
        <f t="shared" si="9"/>
        <v>OK</v>
      </c>
      <c r="AD62" s="7">
        <v>20</v>
      </c>
      <c r="AE62" s="7">
        <f>Y62*AD62*(1-AB62)</f>
        <v>33687.501800000005</v>
      </c>
      <c r="AF62" s="7">
        <f>W62*AD62</f>
        <v>23531.199999999997</v>
      </c>
      <c r="AG62" s="7">
        <f t="shared" si="10"/>
        <v>10156.301800000008</v>
      </c>
      <c r="AH62" s="13">
        <f t="shared" si="11"/>
        <v>0.30148575160892477</v>
      </c>
    </row>
    <row r="63" spans="1:34" x14ac:dyDescent="0.35">
      <c r="A63" s="2" t="s">
        <v>76</v>
      </c>
      <c r="B63" s="5">
        <v>45910</v>
      </c>
      <c r="C63" s="5">
        <f>IF(H63&lt;B63,H63,B63)</f>
        <v>45910</v>
      </c>
      <c r="D63" s="5" t="str">
        <f t="shared" si="0"/>
        <v>Sep-2025</v>
      </c>
      <c r="E63" s="5" t="str">
        <f t="shared" si="1"/>
        <v>Sep</v>
      </c>
      <c r="F63" s="5" t="str">
        <f t="shared" si="2"/>
        <v>2025</v>
      </c>
      <c r="G63" s="5" t="str">
        <f t="shared" si="3"/>
        <v>Q3-2025</v>
      </c>
      <c r="H63" s="5">
        <v>45912</v>
      </c>
      <c r="I63" s="5">
        <f>IF(H63&lt;B63, B63+7, H63)</f>
        <v>45912</v>
      </c>
      <c r="J63" s="5" t="str">
        <f>IF(H63&lt;B63, "Invalid","Okay")</f>
        <v>Okay</v>
      </c>
      <c r="K63" s="16">
        <f>I63-C63</f>
        <v>2</v>
      </c>
      <c r="L63" s="16" t="str">
        <f t="shared" si="4"/>
        <v>Target Met</v>
      </c>
      <c r="M63" s="2" t="s">
        <v>647</v>
      </c>
      <c r="N63" s="2" t="s">
        <v>652</v>
      </c>
      <c r="O63" s="2" t="s">
        <v>689</v>
      </c>
      <c r="P63" s="29" t="str">
        <f t="shared" si="5"/>
        <v>Asia→Japan→Tokyo</v>
      </c>
      <c r="Q63" s="2" t="s">
        <v>704</v>
      </c>
      <c r="R63" s="2" t="s">
        <v>708</v>
      </c>
      <c r="S63" s="2" t="s">
        <v>719</v>
      </c>
      <c r="T63" s="2" t="s">
        <v>727</v>
      </c>
      <c r="U63" t="e">
        <f>(AE63/#REF!)*100</f>
        <v>#REF!</v>
      </c>
      <c r="V63" s="2" t="s">
        <v>795</v>
      </c>
      <c r="W63" s="7">
        <v>1470.15</v>
      </c>
      <c r="X63" s="7">
        <v>2593.7800000000002</v>
      </c>
      <c r="Y63" s="7">
        <f t="shared" si="6"/>
        <v>2593.7800000000002</v>
      </c>
      <c r="Z63" s="7" t="str">
        <f t="shared" si="7"/>
        <v>High</v>
      </c>
      <c r="AA63" s="13">
        <v>0.11</v>
      </c>
      <c r="AB63" s="13">
        <f t="shared" si="8"/>
        <v>0.11</v>
      </c>
      <c r="AC63" s="13" t="str">
        <f t="shared" si="9"/>
        <v>OK</v>
      </c>
      <c r="AD63" s="7">
        <v>12</v>
      </c>
      <c r="AE63" s="7">
        <f>Y63*AD63*(1-AB63)</f>
        <v>27701.570400000001</v>
      </c>
      <c r="AF63" s="7">
        <f>W63*AD63</f>
        <v>17641.800000000003</v>
      </c>
      <c r="AG63" s="7">
        <f t="shared" si="10"/>
        <v>10059.770399999998</v>
      </c>
      <c r="AH63" s="13">
        <f t="shared" si="11"/>
        <v>0.36314801849645306</v>
      </c>
    </row>
    <row r="64" spans="1:34" x14ac:dyDescent="0.35">
      <c r="A64" s="2" t="s">
        <v>77</v>
      </c>
      <c r="B64" s="5">
        <v>45774</v>
      </c>
      <c r="C64" s="5">
        <f>IF(H64&lt;B64,H64,B64)</f>
        <v>45774</v>
      </c>
      <c r="D64" s="5" t="str">
        <f t="shared" si="0"/>
        <v>Apr-2025</v>
      </c>
      <c r="E64" s="5" t="str">
        <f t="shared" si="1"/>
        <v>Apr</v>
      </c>
      <c r="F64" s="5" t="str">
        <f t="shared" si="2"/>
        <v>2025</v>
      </c>
      <c r="G64" s="5" t="str">
        <f t="shared" si="3"/>
        <v>Q2-2025</v>
      </c>
      <c r="H64" s="5">
        <v>45802</v>
      </c>
      <c r="I64" s="5">
        <f>IF(H64&lt;B64, B64+7, H64)</f>
        <v>45802</v>
      </c>
      <c r="J64" s="5" t="str">
        <f>IF(H64&lt;B64, "Invalid","Okay")</f>
        <v>Okay</v>
      </c>
      <c r="K64" s="16">
        <f>I64-C64</f>
        <v>28</v>
      </c>
      <c r="L64" s="16" t="str">
        <f t="shared" si="4"/>
        <v>Target Not Met</v>
      </c>
      <c r="M64" s="2" t="s">
        <v>649</v>
      </c>
      <c r="N64" s="2" t="s">
        <v>657</v>
      </c>
      <c r="O64" s="2" t="s">
        <v>690</v>
      </c>
      <c r="P64" s="29" t="str">
        <f t="shared" si="5"/>
        <v>Europe→France→Paris</v>
      </c>
      <c r="Q64" s="2" t="s">
        <v>705</v>
      </c>
      <c r="R64" s="2" t="s">
        <v>709</v>
      </c>
      <c r="S64" s="2" t="s">
        <v>714</v>
      </c>
      <c r="T64" s="2" t="s">
        <v>730</v>
      </c>
      <c r="U64" t="e">
        <f>(AE64/#REF!)*100</f>
        <v>#REF!</v>
      </c>
      <c r="V64" s="2" t="s">
        <v>796</v>
      </c>
      <c r="W64" s="7">
        <v>603.45000000000005</v>
      </c>
      <c r="X64" s="7">
        <v>1244.08</v>
      </c>
      <c r="Y64" s="7">
        <f t="shared" si="6"/>
        <v>1244.08</v>
      </c>
      <c r="Z64" s="7" t="str">
        <f t="shared" si="7"/>
        <v>Medium</v>
      </c>
      <c r="AA64" s="13">
        <v>0.2</v>
      </c>
      <c r="AB64" s="13">
        <f t="shared" si="8"/>
        <v>0.2</v>
      </c>
      <c r="AC64" s="13" t="str">
        <f t="shared" si="9"/>
        <v>OK</v>
      </c>
      <c r="AD64" s="7">
        <v>11</v>
      </c>
      <c r="AE64" s="7">
        <f>Y64*AD64*(1-AB64)</f>
        <v>10947.904</v>
      </c>
      <c r="AF64" s="7">
        <f>W64*AD64</f>
        <v>6637.9500000000007</v>
      </c>
      <c r="AG64" s="7">
        <f t="shared" si="10"/>
        <v>4309.9539999999997</v>
      </c>
      <c r="AH64" s="13">
        <f t="shared" si="11"/>
        <v>0.39367846119220623</v>
      </c>
    </row>
    <row r="65" spans="1:34" x14ac:dyDescent="0.35">
      <c r="A65" s="2" t="s">
        <v>78</v>
      </c>
      <c r="B65" s="5">
        <v>45598</v>
      </c>
      <c r="C65" s="5">
        <f>IF(H65&lt;B65,H65,B65)</f>
        <v>45598</v>
      </c>
      <c r="D65" s="5" t="str">
        <f t="shared" si="0"/>
        <v>Nov-2024</v>
      </c>
      <c r="E65" s="5" t="str">
        <f t="shared" si="1"/>
        <v>Nov</v>
      </c>
      <c r="F65" s="5" t="str">
        <f t="shared" si="2"/>
        <v>2024</v>
      </c>
      <c r="G65" s="5" t="str">
        <f t="shared" si="3"/>
        <v>Q4-2024</v>
      </c>
      <c r="H65" s="5">
        <v>45614</v>
      </c>
      <c r="I65" s="5">
        <f>IF(H65&lt;B65, B65+7, H65)</f>
        <v>45614</v>
      </c>
      <c r="J65" s="5" t="str">
        <f>IF(H65&lt;B65, "Invalid","Okay")</f>
        <v>Okay</v>
      </c>
      <c r="K65" s="16">
        <f>I65-C65</f>
        <v>16</v>
      </c>
      <c r="L65" s="16" t="str">
        <f t="shared" si="4"/>
        <v>Target Not Met</v>
      </c>
      <c r="M65" s="2" t="s">
        <v>647</v>
      </c>
      <c r="N65" s="2" t="s">
        <v>654</v>
      </c>
      <c r="O65" s="2" t="s">
        <v>691</v>
      </c>
      <c r="P65" s="29" t="str">
        <f t="shared" si="5"/>
        <v>Asia→India→Mumbai</v>
      </c>
      <c r="Q65" s="2" t="s">
        <v>705</v>
      </c>
      <c r="R65" s="2" t="s">
        <v>710</v>
      </c>
      <c r="S65" s="2" t="s">
        <v>719</v>
      </c>
      <c r="T65" s="2" t="s">
        <v>732</v>
      </c>
      <c r="U65" t="e">
        <f>(AE65/#REF!)*100</f>
        <v>#REF!</v>
      </c>
      <c r="V65" s="2" t="s">
        <v>797</v>
      </c>
      <c r="W65" s="7">
        <v>1233.58</v>
      </c>
      <c r="X65" s="7">
        <v>1912.51</v>
      </c>
      <c r="Y65" s="7">
        <f t="shared" si="6"/>
        <v>1912.51</v>
      </c>
      <c r="Z65" s="7" t="str">
        <f t="shared" si="7"/>
        <v>High</v>
      </c>
      <c r="AA65" s="13">
        <v>0.255</v>
      </c>
      <c r="AB65" s="13">
        <f t="shared" si="8"/>
        <v>0.255</v>
      </c>
      <c r="AC65" s="13" t="str">
        <f t="shared" si="9"/>
        <v>OK</v>
      </c>
      <c r="AD65" s="7">
        <v>51</v>
      </c>
      <c r="AE65" s="7">
        <f>Y65*AD65*(1-AB65)</f>
        <v>72665.817450000002</v>
      </c>
      <c r="AF65" s="7">
        <f>W65*AD65</f>
        <v>62912.579999999994</v>
      </c>
      <c r="AG65" s="7">
        <f t="shared" si="10"/>
        <v>9753.2374500000078</v>
      </c>
      <c r="AH65" s="13">
        <f t="shared" si="11"/>
        <v>0.134220432553601</v>
      </c>
    </row>
    <row r="66" spans="1:34" x14ac:dyDescent="0.35">
      <c r="A66" s="2" t="s">
        <v>79</v>
      </c>
      <c r="B66" s="5">
        <v>44972</v>
      </c>
      <c r="C66" s="5">
        <f>IF(H66&lt;B66,H66,B66)</f>
        <v>44972</v>
      </c>
      <c r="D66" s="5" t="str">
        <f t="shared" si="0"/>
        <v>Feb-2023</v>
      </c>
      <c r="E66" s="5" t="str">
        <f t="shared" si="1"/>
        <v>Feb</v>
      </c>
      <c r="F66" s="5" t="str">
        <f t="shared" si="2"/>
        <v>2023</v>
      </c>
      <c r="G66" s="5" t="str">
        <f t="shared" si="3"/>
        <v>Q1-2023</v>
      </c>
      <c r="H66" s="5">
        <v>44983</v>
      </c>
      <c r="I66" s="5">
        <f>IF(H66&lt;B66, B66+7, H66)</f>
        <v>44983</v>
      </c>
      <c r="J66" s="5" t="str">
        <f>IF(H66&lt;B66, "Invalid","Okay")</f>
        <v>Okay</v>
      </c>
      <c r="K66" s="16">
        <f>I66-C66</f>
        <v>11</v>
      </c>
      <c r="L66" s="16" t="str">
        <f t="shared" si="4"/>
        <v>Target Not Met</v>
      </c>
      <c r="M66" s="2" t="s">
        <v>646</v>
      </c>
      <c r="N66" s="2" t="s">
        <v>661</v>
      </c>
      <c r="O66" s="2" t="s">
        <v>682</v>
      </c>
      <c r="P66" s="29" t="str">
        <f t="shared" si="5"/>
        <v>Africa→South Africa→Johannesburg</v>
      </c>
      <c r="Q66" s="2" t="s">
        <v>703</v>
      </c>
      <c r="R66" s="2" t="s">
        <v>707</v>
      </c>
      <c r="S66" s="2" t="s">
        <v>723</v>
      </c>
      <c r="T66" s="2" t="s">
        <v>731</v>
      </c>
      <c r="U66" t="e">
        <f>(AE66/#REF!)*100</f>
        <v>#REF!</v>
      </c>
      <c r="V66" s="2" t="s">
        <v>798</v>
      </c>
      <c r="W66" s="7">
        <v>498.5</v>
      </c>
      <c r="X66" s="7">
        <v>755.87</v>
      </c>
      <c r="Y66" s="7">
        <f t="shared" si="6"/>
        <v>755.87</v>
      </c>
      <c r="Z66" s="7" t="str">
        <f t="shared" si="7"/>
        <v>Low</v>
      </c>
      <c r="AA66" s="13">
        <v>0.13</v>
      </c>
      <c r="AB66" s="13">
        <f t="shared" si="8"/>
        <v>0.13</v>
      </c>
      <c r="AC66" s="13" t="str">
        <f t="shared" si="9"/>
        <v>OK</v>
      </c>
      <c r="AD66" s="7">
        <v>40</v>
      </c>
      <c r="AE66" s="7">
        <f>Y66*AD66*(1-AB66)</f>
        <v>26304.275999999998</v>
      </c>
      <c r="AF66" s="7">
        <f>W66*AD66</f>
        <v>19940</v>
      </c>
      <c r="AG66" s="7">
        <f t="shared" si="10"/>
        <v>6364.275999999998</v>
      </c>
      <c r="AH66" s="13">
        <f t="shared" si="11"/>
        <v>0.24194834330357537</v>
      </c>
    </row>
    <row r="67" spans="1:34" x14ac:dyDescent="0.35">
      <c r="A67" s="2" t="s">
        <v>80</v>
      </c>
      <c r="B67" s="5">
        <v>45263</v>
      </c>
      <c r="C67" s="5">
        <f>IF(H67&lt;B67,H67,B67)</f>
        <v>45263</v>
      </c>
      <c r="D67" s="5" t="str">
        <f t="shared" ref="D67:D130" si="12">TEXT(B67,"MMM-YYYY")</f>
        <v>Dec-2023</v>
      </c>
      <c r="E67" s="5" t="str">
        <f t="shared" ref="E67:E130" si="13">TEXT(C67,"MMM")</f>
        <v>Dec</v>
      </c>
      <c r="F67" s="5" t="str">
        <f t="shared" ref="F67:F130" si="14">TEXT(C67,"YYYY")</f>
        <v>2023</v>
      </c>
      <c r="G67" s="5" t="str">
        <f t="shared" ref="G67:G130" si="15">IF(MONTH(D67)&lt;=3,"Q1",IF(MONTH(D67)&lt;=6,"Q2",IF(MONTH(D67)&lt;=9,"Q3","Q4")))&amp;"-"&amp;YEAR(C67)</f>
        <v>Q4-2023</v>
      </c>
      <c r="H67" s="5">
        <v>45286</v>
      </c>
      <c r="I67" s="5">
        <f>IF(H67&lt;B67, B67+7, H67)</f>
        <v>45286</v>
      </c>
      <c r="J67" s="5" t="str">
        <f>IF(H67&lt;B67, "Invalid","Okay")</f>
        <v>Okay</v>
      </c>
      <c r="K67" s="16">
        <f>I67-C67</f>
        <v>23</v>
      </c>
      <c r="L67" s="16" t="str">
        <f t="shared" ref="L67:L130" si="16">IF(K67&lt;=7,"Target Met","Target Not Met")</f>
        <v>Target Not Met</v>
      </c>
      <c r="M67" s="2" t="s">
        <v>648</v>
      </c>
      <c r="N67" s="2" t="s">
        <v>655</v>
      </c>
      <c r="O67" s="2" t="s">
        <v>692</v>
      </c>
      <c r="P67" s="29" t="str">
        <f t="shared" ref="P67:P130" si="17">_xlfn.CONCAT(M67,"→",N67,"→",O67)</f>
        <v>Americas→Brazil→Rio de Janeiro</v>
      </c>
      <c r="Q67" s="2" t="s">
        <v>702</v>
      </c>
      <c r="R67" s="2" t="s">
        <v>707</v>
      </c>
      <c r="S67" s="2" t="s">
        <v>719</v>
      </c>
      <c r="T67" s="2" t="s">
        <v>730</v>
      </c>
      <c r="U67" t="e">
        <f>(AE67/#REF!)*100</f>
        <v>#REF!</v>
      </c>
      <c r="V67" s="2" t="s">
        <v>799</v>
      </c>
      <c r="W67" s="7">
        <v>1303.1099999999999</v>
      </c>
      <c r="X67" s="7">
        <v>1145.67</v>
      </c>
      <c r="Y67" s="7">
        <f t="shared" ref="Y67:Y130" si="18">ABS(X67)</f>
        <v>1145.67</v>
      </c>
      <c r="Z67" s="7" t="str">
        <f t="shared" ref="Z67:Z130" si="19">IF(Y67&lt;1193.97,"Low",IF(Y67&lt;1912.05,"Medium","High"))</f>
        <v>Low</v>
      </c>
      <c r="AA67" s="13">
        <v>0.184</v>
      </c>
      <c r="AB67" s="13">
        <f t="shared" ref="AB67:AB130" si="20">IF(AA67&gt;30%,"12.14%", AA67)</f>
        <v>0.184</v>
      </c>
      <c r="AC67" s="13" t="str">
        <f t="shared" ref="AC67:AC130" si="21">IF(AA67&gt;30%, "High", "OK")</f>
        <v>OK</v>
      </c>
      <c r="AD67" s="7">
        <v>13</v>
      </c>
      <c r="AE67" s="7">
        <f>Y67*AD67*(1-AB67)</f>
        <v>12153.267360000002</v>
      </c>
      <c r="AF67" s="7">
        <f>W67*AD67</f>
        <v>16940.43</v>
      </c>
      <c r="AG67" s="7">
        <f t="shared" ref="AG67:AG130" si="22">AE67-AF67</f>
        <v>-4787.1626399999986</v>
      </c>
      <c r="AH67" s="13">
        <f t="shared" ref="AH67:AH130" si="23">IF(AE67=0,0,AG67/AE67)</f>
        <v>-0.39389922875851208</v>
      </c>
    </row>
    <row r="68" spans="1:34" x14ac:dyDescent="0.35">
      <c r="A68" s="2" t="s">
        <v>81</v>
      </c>
      <c r="B68" s="5">
        <v>45004</v>
      </c>
      <c r="C68" s="5">
        <f>IF(H68&lt;B68,H68,B68)</f>
        <v>45004</v>
      </c>
      <c r="D68" s="5" t="str">
        <f t="shared" si="12"/>
        <v>Mar-2023</v>
      </c>
      <c r="E68" s="5" t="str">
        <f t="shared" si="13"/>
        <v>Mar</v>
      </c>
      <c r="F68" s="5" t="str">
        <f t="shared" si="14"/>
        <v>2023</v>
      </c>
      <c r="G68" s="5" t="str">
        <f t="shared" si="15"/>
        <v>Q1-2023</v>
      </c>
      <c r="H68" s="5">
        <v>45025</v>
      </c>
      <c r="I68" s="5">
        <f>IF(H68&lt;B68, B68+7, H68)</f>
        <v>45025</v>
      </c>
      <c r="J68" s="5" t="str">
        <f>IF(H68&lt;B68, "Invalid","Okay")</f>
        <v>Okay</v>
      </c>
      <c r="K68" s="16">
        <f>I68-C68</f>
        <v>21</v>
      </c>
      <c r="L68" s="16" t="str">
        <f t="shared" si="16"/>
        <v>Target Not Met</v>
      </c>
      <c r="M68" s="2" t="s">
        <v>649</v>
      </c>
      <c r="N68" s="2" t="s">
        <v>658</v>
      </c>
      <c r="O68" s="2" t="s">
        <v>693</v>
      </c>
      <c r="P68" s="29" t="str">
        <f t="shared" si="17"/>
        <v>Europe→United Kingdom→Manchester</v>
      </c>
      <c r="Q68" s="2" t="s">
        <v>704</v>
      </c>
      <c r="R68" s="2" t="s">
        <v>707</v>
      </c>
      <c r="S68" s="2" t="s">
        <v>716</v>
      </c>
      <c r="T68" s="2" t="s">
        <v>733</v>
      </c>
      <c r="U68" t="e">
        <f>(AE68/#REF!)*100</f>
        <v>#REF!</v>
      </c>
      <c r="V68" s="2" t="s">
        <v>800</v>
      </c>
      <c r="W68" s="7">
        <v>1082.17</v>
      </c>
      <c r="X68" s="7">
        <v>1234.0999999999999</v>
      </c>
      <c r="Y68" s="7">
        <f t="shared" si="18"/>
        <v>1234.0999999999999</v>
      </c>
      <c r="Z68" s="7" t="str">
        <f t="shared" si="19"/>
        <v>Medium</v>
      </c>
      <c r="AA68" s="13">
        <v>0.189</v>
      </c>
      <c r="AB68" s="13">
        <f t="shared" si="20"/>
        <v>0.189</v>
      </c>
      <c r="AC68" s="13" t="str">
        <f t="shared" si="21"/>
        <v>OK</v>
      </c>
      <c r="AD68" s="7">
        <v>16</v>
      </c>
      <c r="AE68" s="7">
        <f>Y68*AD68*(1-AB68)</f>
        <v>16013.681599999998</v>
      </c>
      <c r="AF68" s="7">
        <f>W68*AD68</f>
        <v>17314.72</v>
      </c>
      <c r="AG68" s="7">
        <f t="shared" si="22"/>
        <v>-1301.0384000000031</v>
      </c>
      <c r="AH68" s="13">
        <f t="shared" si="23"/>
        <v>-8.124542703534228E-2</v>
      </c>
    </row>
    <row r="69" spans="1:34" x14ac:dyDescent="0.35">
      <c r="A69" s="2" t="s">
        <v>82</v>
      </c>
      <c r="B69" s="5">
        <v>45434</v>
      </c>
      <c r="C69" s="5">
        <f>IF(H69&lt;B69,H69,B69)</f>
        <v>45434</v>
      </c>
      <c r="D69" s="5" t="str">
        <f t="shared" si="12"/>
        <v>May-2024</v>
      </c>
      <c r="E69" s="5" t="str">
        <f t="shared" si="13"/>
        <v>May</v>
      </c>
      <c r="F69" s="5" t="str">
        <f t="shared" si="14"/>
        <v>2024</v>
      </c>
      <c r="G69" s="5" t="str">
        <f t="shared" si="15"/>
        <v>Q2-2024</v>
      </c>
      <c r="H69" s="5">
        <v>45449</v>
      </c>
      <c r="I69" s="5">
        <f>IF(H69&lt;B69, B69+7, H69)</f>
        <v>45449</v>
      </c>
      <c r="J69" s="5" t="str">
        <f>IF(H69&lt;B69, "Invalid","Okay")</f>
        <v>Okay</v>
      </c>
      <c r="K69" s="16">
        <f>I69-C69</f>
        <v>15</v>
      </c>
      <c r="L69" s="16" t="str">
        <f t="shared" si="16"/>
        <v>Target Not Met</v>
      </c>
      <c r="M69" s="2" t="s">
        <v>647</v>
      </c>
      <c r="N69" s="2" t="s">
        <v>652</v>
      </c>
      <c r="O69" s="2" t="s">
        <v>694</v>
      </c>
      <c r="P69" s="29" t="str">
        <f t="shared" si="17"/>
        <v>Asia→Japan→Nagoya</v>
      </c>
      <c r="Q69" s="2" t="s">
        <v>701</v>
      </c>
      <c r="R69" s="2" t="s">
        <v>710</v>
      </c>
      <c r="S69" s="2" t="s">
        <v>712</v>
      </c>
      <c r="T69" s="2" t="s">
        <v>732</v>
      </c>
      <c r="U69" t="e">
        <f>(AE69/#REF!)*100</f>
        <v>#REF!</v>
      </c>
      <c r="V69" s="2" t="s">
        <v>801</v>
      </c>
      <c r="W69" s="7">
        <v>673.88</v>
      </c>
      <c r="X69" s="7">
        <v>1228.01</v>
      </c>
      <c r="Y69" s="7">
        <f t="shared" si="18"/>
        <v>1228.01</v>
      </c>
      <c r="Z69" s="7" t="str">
        <f t="shared" si="19"/>
        <v>Medium</v>
      </c>
      <c r="AA69" s="13">
        <v>0.105</v>
      </c>
      <c r="AB69" s="13">
        <f t="shared" si="20"/>
        <v>0.105</v>
      </c>
      <c r="AC69" s="13" t="str">
        <f t="shared" si="21"/>
        <v>OK</v>
      </c>
      <c r="AD69" s="7">
        <v>13</v>
      </c>
      <c r="AE69" s="7">
        <f>Y69*AD69*(1-AB69)</f>
        <v>14287.896349999999</v>
      </c>
      <c r="AF69" s="7">
        <f>W69*AD69</f>
        <v>8760.44</v>
      </c>
      <c r="AG69" s="7">
        <f t="shared" si="22"/>
        <v>5527.4563499999986</v>
      </c>
      <c r="AH69" s="13">
        <f t="shared" si="23"/>
        <v>0.38686285332689996</v>
      </c>
    </row>
    <row r="70" spans="1:34" x14ac:dyDescent="0.35">
      <c r="A70" s="2" t="s">
        <v>83</v>
      </c>
      <c r="B70" s="5">
        <v>45157</v>
      </c>
      <c r="C70" s="5">
        <f>IF(H70&lt;B70,H70,B70)</f>
        <v>45157</v>
      </c>
      <c r="D70" s="5" t="str">
        <f t="shared" si="12"/>
        <v>Aug-2023</v>
      </c>
      <c r="E70" s="5" t="str">
        <f t="shared" si="13"/>
        <v>Aug</v>
      </c>
      <c r="F70" s="5" t="str">
        <f t="shared" si="14"/>
        <v>2023</v>
      </c>
      <c r="G70" s="5" t="str">
        <f t="shared" si="15"/>
        <v>Q3-2023</v>
      </c>
      <c r="H70" s="5">
        <v>45176</v>
      </c>
      <c r="I70" s="5">
        <f>IF(H70&lt;B70, B70+7, H70)</f>
        <v>45176</v>
      </c>
      <c r="J70" s="5" t="str">
        <f>IF(H70&lt;B70, "Invalid","Okay")</f>
        <v>Okay</v>
      </c>
      <c r="K70" s="16">
        <f>I70-C70</f>
        <v>19</v>
      </c>
      <c r="L70" s="16" t="str">
        <f t="shared" si="16"/>
        <v>Target Not Met</v>
      </c>
      <c r="M70" s="2" t="s">
        <v>646</v>
      </c>
      <c r="N70" s="2" t="s">
        <v>661</v>
      </c>
      <c r="O70" s="2" t="s">
        <v>682</v>
      </c>
      <c r="P70" s="29" t="str">
        <f t="shared" si="17"/>
        <v>Africa→South Africa→Johannesburg</v>
      </c>
      <c r="Q70" s="2" t="s">
        <v>706</v>
      </c>
      <c r="R70" s="2" t="s">
        <v>707</v>
      </c>
      <c r="S70" s="2" t="s">
        <v>726</v>
      </c>
      <c r="T70" s="2" t="s">
        <v>732</v>
      </c>
      <c r="U70" t="e">
        <f>(AE70/#REF!)*100</f>
        <v>#REF!</v>
      </c>
      <c r="V70" s="2" t="s">
        <v>802</v>
      </c>
      <c r="W70" s="7">
        <v>494.61</v>
      </c>
      <c r="X70" s="7">
        <v>605.23</v>
      </c>
      <c r="Y70" s="7">
        <f t="shared" si="18"/>
        <v>605.23</v>
      </c>
      <c r="Z70" s="7" t="str">
        <f t="shared" si="19"/>
        <v>Low</v>
      </c>
      <c r="AA70" s="13">
        <v>0.20399999999999999</v>
      </c>
      <c r="AB70" s="13">
        <f t="shared" si="20"/>
        <v>0.20399999999999999</v>
      </c>
      <c r="AC70" s="13" t="str">
        <f t="shared" si="21"/>
        <v>OK</v>
      </c>
      <c r="AD70" s="7">
        <v>18</v>
      </c>
      <c r="AE70" s="7">
        <f>Y70*AD70*(1-AB70)</f>
        <v>8671.7354400000004</v>
      </c>
      <c r="AF70" s="7">
        <f>W70*AD70</f>
        <v>8902.98</v>
      </c>
      <c r="AG70" s="7">
        <f t="shared" si="22"/>
        <v>-231.24455999999918</v>
      </c>
      <c r="AH70" s="13">
        <f t="shared" si="23"/>
        <v>-2.6666468505639647E-2</v>
      </c>
    </row>
    <row r="71" spans="1:34" x14ac:dyDescent="0.35">
      <c r="A71" s="2" t="s">
        <v>84</v>
      </c>
      <c r="B71" s="5">
        <v>45037</v>
      </c>
      <c r="C71" s="5">
        <f>IF(H71&lt;B71,H71,B71)</f>
        <v>45037</v>
      </c>
      <c r="D71" s="5" t="str">
        <f t="shared" si="12"/>
        <v>Apr-2023</v>
      </c>
      <c r="E71" s="5" t="str">
        <f t="shared" si="13"/>
        <v>Apr</v>
      </c>
      <c r="F71" s="5" t="str">
        <f t="shared" si="14"/>
        <v>2023</v>
      </c>
      <c r="G71" s="5" t="str">
        <f t="shared" si="15"/>
        <v>Q2-2023</v>
      </c>
      <c r="H71" s="5">
        <v>45056</v>
      </c>
      <c r="I71" s="5">
        <f>IF(H71&lt;B71, B71+7, H71)</f>
        <v>45056</v>
      </c>
      <c r="J71" s="5" t="str">
        <f>IF(H71&lt;B71, "Invalid","Okay")</f>
        <v>Okay</v>
      </c>
      <c r="K71" s="16">
        <f>I71-C71</f>
        <v>19</v>
      </c>
      <c r="L71" s="16" t="str">
        <f t="shared" si="16"/>
        <v>Target Not Met</v>
      </c>
      <c r="M71" s="2" t="s">
        <v>647</v>
      </c>
      <c r="N71" s="2" t="s">
        <v>659</v>
      </c>
      <c r="O71" s="2" t="s">
        <v>685</v>
      </c>
      <c r="P71" s="29" t="str">
        <f t="shared" si="17"/>
        <v>Asia→China→Shanghai</v>
      </c>
      <c r="Q71" s="2" t="s">
        <v>701</v>
      </c>
      <c r="R71" s="2" t="s">
        <v>707</v>
      </c>
      <c r="S71" s="2" t="s">
        <v>720</v>
      </c>
      <c r="T71" s="2" t="s">
        <v>727</v>
      </c>
      <c r="U71" t="e">
        <f>(AE71/#REF!)*100</f>
        <v>#REF!</v>
      </c>
      <c r="V71" s="2" t="s">
        <v>803</v>
      </c>
      <c r="W71" s="7">
        <v>882.33</v>
      </c>
      <c r="X71" s="7">
        <v>1880.15</v>
      </c>
      <c r="Y71" s="7">
        <f t="shared" si="18"/>
        <v>1880.15</v>
      </c>
      <c r="Z71" s="7" t="str">
        <f t="shared" si="19"/>
        <v>Medium</v>
      </c>
      <c r="AA71" s="13">
        <v>0.05</v>
      </c>
      <c r="AB71" s="13">
        <f t="shared" si="20"/>
        <v>0.05</v>
      </c>
      <c r="AC71" s="13" t="str">
        <f t="shared" si="21"/>
        <v>OK</v>
      </c>
      <c r="AD71" s="7">
        <v>5</v>
      </c>
      <c r="AE71" s="7">
        <f>Y71*AD71*(1-AB71)</f>
        <v>8930.7124999999996</v>
      </c>
      <c r="AF71" s="7">
        <f>W71*AD71</f>
        <v>4411.6500000000005</v>
      </c>
      <c r="AG71" s="7">
        <f t="shared" si="22"/>
        <v>4519.0624999999991</v>
      </c>
      <c r="AH71" s="13">
        <f t="shared" si="23"/>
        <v>0.50601365792482955</v>
      </c>
    </row>
    <row r="72" spans="1:34" x14ac:dyDescent="0.35">
      <c r="A72" s="2" t="s">
        <v>85</v>
      </c>
      <c r="B72" s="5">
        <v>45369</v>
      </c>
      <c r="C72" s="5">
        <f>IF(H72&lt;B72,H72,B72)</f>
        <v>45369</v>
      </c>
      <c r="D72" s="5" t="str">
        <f t="shared" si="12"/>
        <v>Mar-2024</v>
      </c>
      <c r="E72" s="5" t="str">
        <f t="shared" si="13"/>
        <v>Mar</v>
      </c>
      <c r="F72" s="5" t="str">
        <f t="shared" si="14"/>
        <v>2024</v>
      </c>
      <c r="G72" s="5" t="str">
        <f t="shared" si="15"/>
        <v>Q1-2024</v>
      </c>
      <c r="H72" s="5">
        <v>45372</v>
      </c>
      <c r="I72" s="5">
        <f>IF(H72&lt;B72, B72+7, H72)</f>
        <v>45372</v>
      </c>
      <c r="J72" s="5" t="str">
        <f>IF(H72&lt;B72, "Invalid","Okay")</f>
        <v>Okay</v>
      </c>
      <c r="K72" s="16">
        <f>I72-C72</f>
        <v>3</v>
      </c>
      <c r="L72" s="16" t="str">
        <f t="shared" si="16"/>
        <v>Target Met</v>
      </c>
      <c r="M72" s="2" t="s">
        <v>649</v>
      </c>
      <c r="N72" s="2" t="s">
        <v>656</v>
      </c>
      <c r="O72" s="2" t="s">
        <v>684</v>
      </c>
      <c r="P72" s="29" t="str">
        <f t="shared" si="17"/>
        <v>Europe→Germany→Munich</v>
      </c>
      <c r="Q72" s="2" t="s">
        <v>705</v>
      </c>
      <c r="R72" s="2" t="s">
        <v>708</v>
      </c>
      <c r="S72" s="2" t="s">
        <v>724</v>
      </c>
      <c r="T72" s="2" t="s">
        <v>733</v>
      </c>
      <c r="U72" t="e">
        <f>(AE72/#REF!)*100</f>
        <v>#REF!</v>
      </c>
      <c r="V72" s="2" t="s">
        <v>804</v>
      </c>
      <c r="W72" s="7">
        <v>910.63</v>
      </c>
      <c r="X72" s="7">
        <v>1269.4000000000001</v>
      </c>
      <c r="Y72" s="7">
        <f t="shared" si="18"/>
        <v>1269.4000000000001</v>
      </c>
      <c r="Z72" s="7" t="str">
        <f t="shared" si="19"/>
        <v>Medium</v>
      </c>
      <c r="AA72" s="13">
        <v>6.8000000000000005E-2</v>
      </c>
      <c r="AB72" s="13">
        <f t="shared" si="20"/>
        <v>6.8000000000000005E-2</v>
      </c>
      <c r="AC72" s="13" t="str">
        <f t="shared" si="21"/>
        <v>OK</v>
      </c>
      <c r="AD72" s="7">
        <v>9</v>
      </c>
      <c r="AE72" s="7">
        <f>Y72*AD72*(1-AB72)</f>
        <v>10647.727199999999</v>
      </c>
      <c r="AF72" s="7">
        <f>W72*AD72</f>
        <v>8195.67</v>
      </c>
      <c r="AG72" s="7">
        <f t="shared" si="22"/>
        <v>2452.0571999999993</v>
      </c>
      <c r="AH72" s="13">
        <f t="shared" si="23"/>
        <v>0.23028925834989455</v>
      </c>
    </row>
    <row r="73" spans="1:34" x14ac:dyDescent="0.35">
      <c r="A73" s="2" t="s">
        <v>86</v>
      </c>
      <c r="B73" s="5">
        <v>45756</v>
      </c>
      <c r="C73" s="5">
        <f>IF(H73&lt;B73,H73,B73)</f>
        <v>45756</v>
      </c>
      <c r="D73" s="5" t="str">
        <f t="shared" si="12"/>
        <v>Apr-2025</v>
      </c>
      <c r="E73" s="5" t="str">
        <f t="shared" si="13"/>
        <v>Apr</v>
      </c>
      <c r="F73" s="5" t="str">
        <f t="shared" si="14"/>
        <v>2025</v>
      </c>
      <c r="G73" s="5" t="str">
        <f t="shared" si="15"/>
        <v>Q2-2025</v>
      </c>
      <c r="H73" s="5">
        <v>45783</v>
      </c>
      <c r="I73" s="5">
        <f>IF(H73&lt;B73, B73+7, H73)</f>
        <v>45783</v>
      </c>
      <c r="J73" s="5" t="str">
        <f>IF(H73&lt;B73, "Invalid","Okay")</f>
        <v>Okay</v>
      </c>
      <c r="K73" s="16">
        <f>I73-C73</f>
        <v>27</v>
      </c>
      <c r="L73" s="16" t="str">
        <f t="shared" si="16"/>
        <v>Target Not Met</v>
      </c>
      <c r="M73" s="2" t="s">
        <v>648</v>
      </c>
      <c r="N73" s="2" t="s">
        <v>655</v>
      </c>
      <c r="O73" s="2" t="s">
        <v>672</v>
      </c>
      <c r="P73" s="29" t="str">
        <f t="shared" si="17"/>
        <v>Americas→Brazil→Brasília</v>
      </c>
      <c r="Q73" s="2" t="s">
        <v>706</v>
      </c>
      <c r="R73" s="2" t="s">
        <v>709</v>
      </c>
      <c r="S73" s="2" t="s">
        <v>721</v>
      </c>
      <c r="T73" s="2" t="s">
        <v>731</v>
      </c>
      <c r="U73" t="e">
        <f>(AE73/#REF!)*100</f>
        <v>#REF!</v>
      </c>
      <c r="V73" s="2" t="s">
        <v>805</v>
      </c>
      <c r="W73" s="7">
        <v>264.19</v>
      </c>
      <c r="X73" s="7">
        <v>620.92999999999995</v>
      </c>
      <c r="Y73" s="7">
        <f t="shared" si="18"/>
        <v>620.92999999999995</v>
      </c>
      <c r="Z73" s="7" t="str">
        <f t="shared" si="19"/>
        <v>Low</v>
      </c>
      <c r="AA73" s="13">
        <v>0.14199999999999999</v>
      </c>
      <c r="AB73" s="13">
        <f t="shared" si="20"/>
        <v>0.14199999999999999</v>
      </c>
      <c r="AC73" s="13" t="str">
        <f t="shared" si="21"/>
        <v>OK</v>
      </c>
      <c r="AD73" s="7">
        <v>12</v>
      </c>
      <c r="AE73" s="7">
        <f>Y73*AD73*(1-AB73)</f>
        <v>6393.0952799999995</v>
      </c>
      <c r="AF73" s="7">
        <f>W73*AD73</f>
        <v>3170.2799999999997</v>
      </c>
      <c r="AG73" s="7">
        <f t="shared" si="22"/>
        <v>3222.8152799999998</v>
      </c>
      <c r="AH73" s="13">
        <f t="shared" si="23"/>
        <v>0.50410875152794532</v>
      </c>
    </row>
    <row r="74" spans="1:34" x14ac:dyDescent="0.35">
      <c r="A74" s="2" t="s">
        <v>87</v>
      </c>
      <c r="B74" s="5">
        <v>45394</v>
      </c>
      <c r="C74" s="5">
        <f>IF(H74&lt;B74,H74,B74)</f>
        <v>45394</v>
      </c>
      <c r="D74" s="5" t="str">
        <f t="shared" si="12"/>
        <v>Apr-2024</v>
      </c>
      <c r="E74" s="5" t="str">
        <f t="shared" si="13"/>
        <v>Apr</v>
      </c>
      <c r="F74" s="5" t="str">
        <f t="shared" si="14"/>
        <v>2024</v>
      </c>
      <c r="G74" s="5" t="str">
        <f t="shared" si="15"/>
        <v>Q2-2024</v>
      </c>
      <c r="H74" s="5">
        <v>45419</v>
      </c>
      <c r="I74" s="5">
        <f>IF(H74&lt;B74, B74+7, H74)</f>
        <v>45419</v>
      </c>
      <c r="J74" s="5" t="str">
        <f>IF(H74&lt;B74, "Invalid","Okay")</f>
        <v>Okay</v>
      </c>
      <c r="K74" s="16">
        <f>I74-C74</f>
        <v>25</v>
      </c>
      <c r="L74" s="16" t="str">
        <f t="shared" si="16"/>
        <v>Target Not Met</v>
      </c>
      <c r="M74" s="2" t="s">
        <v>646</v>
      </c>
      <c r="N74" s="2" t="s">
        <v>661</v>
      </c>
      <c r="O74" s="2" t="s">
        <v>682</v>
      </c>
      <c r="P74" s="29" t="str">
        <f t="shared" si="17"/>
        <v>Africa→South Africa→Johannesburg</v>
      </c>
      <c r="Q74" s="2" t="s">
        <v>702</v>
      </c>
      <c r="R74" s="2" t="s">
        <v>710</v>
      </c>
      <c r="S74" s="2" t="s">
        <v>720</v>
      </c>
      <c r="T74" s="2" t="s">
        <v>731</v>
      </c>
      <c r="U74" t="e">
        <f>(AE74/#REF!)*100</f>
        <v>#REF!</v>
      </c>
      <c r="V74" s="2" t="s">
        <v>806</v>
      </c>
      <c r="W74" s="7">
        <v>1376.51</v>
      </c>
      <c r="X74" s="7">
        <v>1455.91</v>
      </c>
      <c r="Y74" s="7">
        <f t="shared" si="18"/>
        <v>1455.91</v>
      </c>
      <c r="Z74" s="7" t="str">
        <f t="shared" si="19"/>
        <v>Medium</v>
      </c>
      <c r="AA74" s="13">
        <v>0.185</v>
      </c>
      <c r="AB74" s="13">
        <f t="shared" si="20"/>
        <v>0.185</v>
      </c>
      <c r="AC74" s="13" t="str">
        <f t="shared" si="21"/>
        <v>OK</v>
      </c>
      <c r="AD74" s="7">
        <v>17</v>
      </c>
      <c r="AE74" s="7">
        <f>Y74*AD74*(1-AB74)</f>
        <v>20171.63305</v>
      </c>
      <c r="AF74" s="7">
        <f>W74*AD74</f>
        <v>23400.67</v>
      </c>
      <c r="AG74" s="7">
        <f t="shared" si="22"/>
        <v>-3229.0369499999979</v>
      </c>
      <c r="AH74" s="13">
        <f t="shared" si="23"/>
        <v>-0.1600781127634085</v>
      </c>
    </row>
    <row r="75" spans="1:34" x14ac:dyDescent="0.35">
      <c r="A75" s="2" t="s">
        <v>88</v>
      </c>
      <c r="B75" s="5">
        <v>45641</v>
      </c>
      <c r="C75" s="5">
        <f>IF(H75&lt;B75,H75,B75)</f>
        <v>45641</v>
      </c>
      <c r="D75" s="5" t="str">
        <f t="shared" si="12"/>
        <v>Dec-2024</v>
      </c>
      <c r="E75" s="5" t="str">
        <f t="shared" si="13"/>
        <v>Dec</v>
      </c>
      <c r="F75" s="5" t="str">
        <f t="shared" si="14"/>
        <v>2024</v>
      </c>
      <c r="G75" s="5" t="str">
        <f t="shared" si="15"/>
        <v>Q4-2024</v>
      </c>
      <c r="H75" s="5">
        <v>45646</v>
      </c>
      <c r="I75" s="5">
        <f>IF(H75&lt;B75, B75+7, H75)</f>
        <v>45646</v>
      </c>
      <c r="J75" s="5" t="str">
        <f>IF(H75&lt;B75, "Invalid","Okay")</f>
        <v>Okay</v>
      </c>
      <c r="K75" s="16">
        <f>I75-C75</f>
        <v>5</v>
      </c>
      <c r="L75" s="16" t="str">
        <f t="shared" si="16"/>
        <v>Target Met</v>
      </c>
      <c r="M75" s="2" t="s">
        <v>647</v>
      </c>
      <c r="N75" s="2" t="s">
        <v>659</v>
      </c>
      <c r="O75" s="2" t="s">
        <v>676</v>
      </c>
      <c r="P75" s="29" t="str">
        <f t="shared" si="17"/>
        <v>Asia→China→Shenzhen</v>
      </c>
      <c r="Q75" s="2" t="s">
        <v>705</v>
      </c>
      <c r="R75" s="2" t="s">
        <v>711</v>
      </c>
      <c r="S75" s="2" t="s">
        <v>713</v>
      </c>
      <c r="T75" s="2" t="s">
        <v>729</v>
      </c>
      <c r="U75" t="e">
        <f>(AE75/#REF!)*100</f>
        <v>#REF!</v>
      </c>
      <c r="V75" s="2" t="s">
        <v>807</v>
      </c>
      <c r="W75" s="7">
        <v>717.55</v>
      </c>
      <c r="X75" s="7">
        <v>546.42999999999995</v>
      </c>
      <c r="Y75" s="7">
        <f t="shared" si="18"/>
        <v>546.42999999999995</v>
      </c>
      <c r="Z75" s="7" t="str">
        <f t="shared" si="19"/>
        <v>Low</v>
      </c>
      <c r="AA75" s="13">
        <v>4.7E-2</v>
      </c>
      <c r="AB75" s="13">
        <f t="shared" si="20"/>
        <v>4.7E-2</v>
      </c>
      <c r="AC75" s="13" t="str">
        <f t="shared" si="21"/>
        <v>OK</v>
      </c>
      <c r="AD75" s="7">
        <v>18</v>
      </c>
      <c r="AE75" s="7">
        <f>Y75*AD75*(1-AB75)</f>
        <v>9373.460219999999</v>
      </c>
      <c r="AF75" s="7">
        <f>W75*AD75</f>
        <v>12915.9</v>
      </c>
      <c r="AG75" s="7">
        <f t="shared" si="22"/>
        <v>-3542.4397800000006</v>
      </c>
      <c r="AH75" s="13">
        <f t="shared" si="23"/>
        <v>-0.37792231437026369</v>
      </c>
    </row>
    <row r="76" spans="1:34" x14ac:dyDescent="0.35">
      <c r="A76" s="2" t="s">
        <v>89</v>
      </c>
      <c r="B76" s="5">
        <v>45066</v>
      </c>
      <c r="C76" s="5">
        <f>IF(H76&lt;B76,H76,B76)</f>
        <v>45064</v>
      </c>
      <c r="D76" s="5" t="str">
        <f t="shared" si="12"/>
        <v>May-2023</v>
      </c>
      <c r="E76" s="5" t="str">
        <f t="shared" si="13"/>
        <v>May</v>
      </c>
      <c r="F76" s="5" t="str">
        <f t="shared" si="14"/>
        <v>2023</v>
      </c>
      <c r="G76" s="5" t="str">
        <f t="shared" si="15"/>
        <v>Q2-2023</v>
      </c>
      <c r="H76" s="5">
        <v>45064</v>
      </c>
      <c r="I76" s="5">
        <f>IF(H76&lt;B76, B76+7, H76)</f>
        <v>45073</v>
      </c>
      <c r="J76" s="5" t="str">
        <f>IF(H76&lt;B76, "Invalid","Okay")</f>
        <v>Invalid</v>
      </c>
      <c r="K76" s="16">
        <f>I76-C76</f>
        <v>9</v>
      </c>
      <c r="L76" s="16" t="str">
        <f t="shared" si="16"/>
        <v>Target Not Met</v>
      </c>
      <c r="M76" s="2" t="s">
        <v>646</v>
      </c>
      <c r="N76" s="2" t="s">
        <v>661</v>
      </c>
      <c r="O76" s="2" t="s">
        <v>687</v>
      </c>
      <c r="P76" s="29" t="str">
        <f t="shared" si="17"/>
        <v>Africa→South Africa→Durban</v>
      </c>
      <c r="Q76" s="2" t="s">
        <v>701</v>
      </c>
      <c r="R76" s="2" t="s">
        <v>710</v>
      </c>
      <c r="S76" s="2" t="s">
        <v>720</v>
      </c>
      <c r="T76" s="2" t="s">
        <v>727</v>
      </c>
      <c r="U76" t="e">
        <f>(AE76/#REF!)*100</f>
        <v>#REF!</v>
      </c>
      <c r="V76" s="2" t="s">
        <v>808</v>
      </c>
      <c r="W76" s="7">
        <v>917.88</v>
      </c>
      <c r="X76" s="7">
        <v>1347.92</v>
      </c>
      <c r="Y76" s="7">
        <f t="shared" si="18"/>
        <v>1347.92</v>
      </c>
      <c r="Z76" s="7" t="str">
        <f t="shared" si="19"/>
        <v>Medium</v>
      </c>
      <c r="AA76" s="13">
        <v>0.34300000000000003</v>
      </c>
      <c r="AB76" s="13" t="str">
        <f t="shared" si="20"/>
        <v>12.14%</v>
      </c>
      <c r="AC76" s="13" t="str">
        <f t="shared" si="21"/>
        <v>High</v>
      </c>
      <c r="AD76" s="7">
        <v>5</v>
      </c>
      <c r="AE76" s="7">
        <f>Y76*AD76*(1-AB76)</f>
        <v>5921.4125600000007</v>
      </c>
      <c r="AF76" s="7">
        <f>W76*AD76</f>
        <v>4589.3999999999996</v>
      </c>
      <c r="AG76" s="7">
        <f t="shared" si="22"/>
        <v>1332.012560000001</v>
      </c>
      <c r="AH76" s="13">
        <f t="shared" si="23"/>
        <v>0.2249484470982378</v>
      </c>
    </row>
    <row r="77" spans="1:34" x14ac:dyDescent="0.35">
      <c r="A77" s="2" t="s">
        <v>90</v>
      </c>
      <c r="B77" s="5">
        <v>45187</v>
      </c>
      <c r="C77" s="5">
        <f>IF(H77&lt;B77,H77,B77)</f>
        <v>45187</v>
      </c>
      <c r="D77" s="5" t="str">
        <f t="shared" si="12"/>
        <v>Sep-2023</v>
      </c>
      <c r="E77" s="5" t="str">
        <f t="shared" si="13"/>
        <v>Sep</v>
      </c>
      <c r="F77" s="5" t="str">
        <f t="shared" si="14"/>
        <v>2023</v>
      </c>
      <c r="G77" s="5" t="str">
        <f t="shared" si="15"/>
        <v>Q3-2023</v>
      </c>
      <c r="H77" s="5">
        <v>45207</v>
      </c>
      <c r="I77" s="5">
        <f>IF(H77&lt;B77, B77+7, H77)</f>
        <v>45207</v>
      </c>
      <c r="J77" s="5" t="str">
        <f>IF(H77&lt;B77, "Invalid","Okay")</f>
        <v>Okay</v>
      </c>
      <c r="K77" s="16">
        <f>I77-C77</f>
        <v>20</v>
      </c>
      <c r="L77" s="16" t="str">
        <f t="shared" si="16"/>
        <v>Target Not Met</v>
      </c>
      <c r="M77" s="2" t="s">
        <v>647</v>
      </c>
      <c r="N77" s="2" t="s">
        <v>654</v>
      </c>
      <c r="O77" s="2" t="s">
        <v>680</v>
      </c>
      <c r="P77" s="29" t="str">
        <f t="shared" si="17"/>
        <v>Asia→India→Delhi</v>
      </c>
      <c r="Q77" s="2" t="s">
        <v>705</v>
      </c>
      <c r="R77" s="2" t="s">
        <v>711</v>
      </c>
      <c r="S77" s="2" t="s">
        <v>717</v>
      </c>
      <c r="T77" s="2" t="s">
        <v>727</v>
      </c>
      <c r="U77" t="e">
        <f>(AE77/#REF!)*100</f>
        <v>#REF!</v>
      </c>
      <c r="V77" s="2" t="s">
        <v>809</v>
      </c>
      <c r="W77" s="7">
        <v>825.64</v>
      </c>
      <c r="X77" s="7">
        <v>1108.43</v>
      </c>
      <c r="Y77" s="7">
        <f t="shared" si="18"/>
        <v>1108.43</v>
      </c>
      <c r="Z77" s="7" t="str">
        <f t="shared" si="19"/>
        <v>Low</v>
      </c>
      <c r="AA77" s="13">
        <v>0.114</v>
      </c>
      <c r="AB77" s="13">
        <f t="shared" si="20"/>
        <v>0.114</v>
      </c>
      <c r="AC77" s="13" t="str">
        <f t="shared" si="21"/>
        <v>OK</v>
      </c>
      <c r="AD77" s="7">
        <v>7</v>
      </c>
      <c r="AE77" s="7">
        <f>Y77*AD77*(1-AB77)</f>
        <v>6874.4828600000001</v>
      </c>
      <c r="AF77" s="7">
        <f>W77*AD77</f>
        <v>5779.48</v>
      </c>
      <c r="AG77" s="7">
        <f t="shared" si="22"/>
        <v>1095.0028600000005</v>
      </c>
      <c r="AH77" s="13">
        <f t="shared" si="23"/>
        <v>0.15928512475773349</v>
      </c>
    </row>
    <row r="78" spans="1:34" x14ac:dyDescent="0.35">
      <c r="A78" s="2" t="s">
        <v>91</v>
      </c>
      <c r="B78" s="5">
        <v>45532</v>
      </c>
      <c r="C78" s="5">
        <f>IF(H78&lt;B78,H78,B78)</f>
        <v>45532</v>
      </c>
      <c r="D78" s="5" t="str">
        <f t="shared" si="12"/>
        <v>Aug-2024</v>
      </c>
      <c r="E78" s="5" t="str">
        <f t="shared" si="13"/>
        <v>Aug</v>
      </c>
      <c r="F78" s="5" t="str">
        <f t="shared" si="14"/>
        <v>2024</v>
      </c>
      <c r="G78" s="5" t="str">
        <f t="shared" si="15"/>
        <v>Q3-2024</v>
      </c>
      <c r="H78" s="5">
        <v>45560</v>
      </c>
      <c r="I78" s="5">
        <f>IF(H78&lt;B78, B78+7, H78)</f>
        <v>45560</v>
      </c>
      <c r="J78" s="5" t="str">
        <f>IF(H78&lt;B78, "Invalid","Okay")</f>
        <v>Okay</v>
      </c>
      <c r="K78" s="16">
        <f>I78-C78</f>
        <v>28</v>
      </c>
      <c r="L78" s="16" t="str">
        <f t="shared" si="16"/>
        <v>Target Not Met</v>
      </c>
      <c r="M78" s="2" t="s">
        <v>648</v>
      </c>
      <c r="N78" s="2" t="s">
        <v>655</v>
      </c>
      <c r="O78" s="2" t="s">
        <v>692</v>
      </c>
      <c r="P78" s="29" t="str">
        <f t="shared" si="17"/>
        <v>Americas→Brazil→Rio de Janeiro</v>
      </c>
      <c r="Q78" s="2" t="s">
        <v>703</v>
      </c>
      <c r="R78" s="2" t="s">
        <v>708</v>
      </c>
      <c r="S78" s="2" t="s">
        <v>1423</v>
      </c>
      <c r="T78" s="2" t="s">
        <v>733</v>
      </c>
      <c r="U78" t="e">
        <f>(AE78/#REF!)*100</f>
        <v>#REF!</v>
      </c>
      <c r="V78" s="2" t="s">
        <v>810</v>
      </c>
      <c r="W78" s="7">
        <v>1394.65</v>
      </c>
      <c r="X78" s="7">
        <v>3144.1</v>
      </c>
      <c r="Y78" s="7">
        <f t="shared" si="18"/>
        <v>3144.1</v>
      </c>
      <c r="Z78" s="7" t="str">
        <f t="shared" si="19"/>
        <v>High</v>
      </c>
      <c r="AA78" s="13">
        <v>0.13400000000000001</v>
      </c>
      <c r="AB78" s="13">
        <f t="shared" si="20"/>
        <v>0.13400000000000001</v>
      </c>
      <c r="AC78" s="13" t="str">
        <f t="shared" si="21"/>
        <v>OK</v>
      </c>
      <c r="AD78" s="7">
        <v>13</v>
      </c>
      <c r="AE78" s="7">
        <f>Y78*AD78*(1-AB78)</f>
        <v>35396.277799999996</v>
      </c>
      <c r="AF78" s="7">
        <f>W78*AD78</f>
        <v>18130.45</v>
      </c>
      <c r="AG78" s="7">
        <f t="shared" si="22"/>
        <v>17265.827799999995</v>
      </c>
      <c r="AH78" s="13">
        <f t="shared" si="23"/>
        <v>0.4877865378263021</v>
      </c>
    </row>
    <row r="79" spans="1:34" x14ac:dyDescent="0.35">
      <c r="A79" s="2" t="s">
        <v>92</v>
      </c>
      <c r="B79" s="5">
        <v>45473</v>
      </c>
      <c r="C79" s="5">
        <f>IF(H79&lt;B79,H79,B79)</f>
        <v>45471</v>
      </c>
      <c r="D79" s="5" t="str">
        <f t="shared" si="12"/>
        <v>Jun-2024</v>
      </c>
      <c r="E79" s="5" t="str">
        <f t="shared" si="13"/>
        <v>Jun</v>
      </c>
      <c r="F79" s="5" t="str">
        <f t="shared" si="14"/>
        <v>2024</v>
      </c>
      <c r="G79" s="5" t="str">
        <f t="shared" si="15"/>
        <v>Q2-2024</v>
      </c>
      <c r="H79" s="5">
        <v>45471</v>
      </c>
      <c r="I79" s="5">
        <f>IF(H79&lt;B79, B79+7, H79)</f>
        <v>45480</v>
      </c>
      <c r="J79" s="5" t="str">
        <f>IF(H79&lt;B79, "Invalid","Okay")</f>
        <v>Invalid</v>
      </c>
      <c r="K79" s="16">
        <f>I79-C79</f>
        <v>9</v>
      </c>
      <c r="L79" s="16" t="str">
        <f t="shared" si="16"/>
        <v>Target Not Met</v>
      </c>
      <c r="M79" s="2" t="s">
        <v>648</v>
      </c>
      <c r="N79" s="2" t="s">
        <v>655</v>
      </c>
      <c r="O79" s="2" t="s">
        <v>692</v>
      </c>
      <c r="P79" s="29" t="str">
        <f t="shared" si="17"/>
        <v>Americas→Brazil→Rio de Janeiro</v>
      </c>
      <c r="Q79" s="2" t="s">
        <v>705</v>
      </c>
      <c r="R79" s="2" t="s">
        <v>711</v>
      </c>
      <c r="S79" s="2" t="s">
        <v>716</v>
      </c>
      <c r="T79" s="2" t="s">
        <v>733</v>
      </c>
      <c r="U79" t="e">
        <f>(AE79/#REF!)*100</f>
        <v>#REF!</v>
      </c>
      <c r="V79" s="2" t="s">
        <v>811</v>
      </c>
      <c r="W79" s="7">
        <v>1112.98</v>
      </c>
      <c r="X79" s="7">
        <v>2095.73</v>
      </c>
      <c r="Y79" s="7">
        <f t="shared" si="18"/>
        <v>2095.73</v>
      </c>
      <c r="Z79" s="7" t="str">
        <f t="shared" si="19"/>
        <v>High</v>
      </c>
      <c r="AA79" s="13">
        <v>7.1999999999999995E-2</v>
      </c>
      <c r="AB79" s="13">
        <f t="shared" si="20"/>
        <v>7.1999999999999995E-2</v>
      </c>
      <c r="AC79" s="13" t="str">
        <f t="shared" si="21"/>
        <v>OK</v>
      </c>
      <c r="AD79" s="7">
        <v>17</v>
      </c>
      <c r="AE79" s="7">
        <f>Y79*AD79*(1-AB79)</f>
        <v>33062.236480000007</v>
      </c>
      <c r="AF79" s="7">
        <f>W79*AD79</f>
        <v>18920.66</v>
      </c>
      <c r="AG79" s="7">
        <f t="shared" si="22"/>
        <v>14141.576480000007</v>
      </c>
      <c r="AH79" s="13">
        <f t="shared" si="23"/>
        <v>0.42772594916724777</v>
      </c>
    </row>
    <row r="80" spans="1:34" x14ac:dyDescent="0.35">
      <c r="A80" s="2" t="s">
        <v>93</v>
      </c>
      <c r="B80" s="5">
        <v>45091</v>
      </c>
      <c r="C80" s="5">
        <f>IF(H80&lt;B80,H80,B80)</f>
        <v>45091</v>
      </c>
      <c r="D80" s="5" t="str">
        <f t="shared" si="12"/>
        <v>Jun-2023</v>
      </c>
      <c r="E80" s="5" t="str">
        <f t="shared" si="13"/>
        <v>Jun</v>
      </c>
      <c r="F80" s="5" t="str">
        <f t="shared" si="14"/>
        <v>2023</v>
      </c>
      <c r="G80" s="5" t="str">
        <f t="shared" si="15"/>
        <v>Q2-2023</v>
      </c>
      <c r="H80" s="5">
        <v>45093</v>
      </c>
      <c r="I80" s="5">
        <f>IF(H80&lt;B80, B80+7, H80)</f>
        <v>45093</v>
      </c>
      <c r="J80" s="5" t="str">
        <f>IF(H80&lt;B80, "Invalid","Okay")</f>
        <v>Okay</v>
      </c>
      <c r="K80" s="16">
        <f>I80-C80</f>
        <v>2</v>
      </c>
      <c r="L80" s="16" t="str">
        <f t="shared" si="16"/>
        <v>Target Met</v>
      </c>
      <c r="M80" s="2" t="s">
        <v>649</v>
      </c>
      <c r="N80" s="2" t="s">
        <v>658</v>
      </c>
      <c r="O80" s="2" t="s">
        <v>693</v>
      </c>
      <c r="P80" s="29" t="str">
        <f t="shared" si="17"/>
        <v>Europe→United Kingdom→Manchester</v>
      </c>
      <c r="Q80" s="2" t="s">
        <v>703</v>
      </c>
      <c r="R80" s="2" t="s">
        <v>711</v>
      </c>
      <c r="S80" s="2" t="s">
        <v>723</v>
      </c>
      <c r="T80" s="2" t="s">
        <v>727</v>
      </c>
      <c r="U80" t="e">
        <f>(AE80/#REF!)*100</f>
        <v>#REF!</v>
      </c>
      <c r="V80" s="2" t="s">
        <v>812</v>
      </c>
      <c r="W80" s="7">
        <v>357.36</v>
      </c>
      <c r="X80" s="7">
        <v>703.62</v>
      </c>
      <c r="Y80" s="7">
        <f t="shared" si="18"/>
        <v>703.62</v>
      </c>
      <c r="Z80" s="7" t="str">
        <f t="shared" si="19"/>
        <v>Low</v>
      </c>
      <c r="AA80" s="13">
        <v>0.25700000000000001</v>
      </c>
      <c r="AB80" s="13">
        <f t="shared" si="20"/>
        <v>0.25700000000000001</v>
      </c>
      <c r="AC80" s="13" t="str">
        <f t="shared" si="21"/>
        <v>OK</v>
      </c>
      <c r="AD80" s="7">
        <v>20</v>
      </c>
      <c r="AE80" s="7">
        <f>Y80*AD80*(1-AB80)</f>
        <v>10455.7932</v>
      </c>
      <c r="AF80" s="7">
        <f>W80*AD80</f>
        <v>7147.2000000000007</v>
      </c>
      <c r="AG80" s="7">
        <f t="shared" si="22"/>
        <v>3308.5931999999993</v>
      </c>
      <c r="AH80" s="13">
        <f t="shared" si="23"/>
        <v>0.31643636563125593</v>
      </c>
    </row>
    <row r="81" spans="1:34" x14ac:dyDescent="0.35">
      <c r="A81" s="2" t="s">
        <v>94</v>
      </c>
      <c r="B81" s="5">
        <v>45617</v>
      </c>
      <c r="C81" s="5">
        <f>IF(H81&lt;B81,H81,B81)</f>
        <v>45617</v>
      </c>
      <c r="D81" s="5" t="str">
        <f t="shared" si="12"/>
        <v>Nov-2024</v>
      </c>
      <c r="E81" s="5" t="str">
        <f t="shared" si="13"/>
        <v>Nov</v>
      </c>
      <c r="F81" s="5" t="str">
        <f t="shared" si="14"/>
        <v>2024</v>
      </c>
      <c r="G81" s="5" t="str">
        <f t="shared" si="15"/>
        <v>Q4-2024</v>
      </c>
      <c r="H81" s="5">
        <v>45647</v>
      </c>
      <c r="I81" s="5">
        <f>IF(H81&lt;B81, B81+7, H81)</f>
        <v>45647</v>
      </c>
      <c r="J81" s="5" t="str">
        <f>IF(H81&lt;B81, "Invalid","Okay")</f>
        <v>Okay</v>
      </c>
      <c r="K81" s="16">
        <f>I81-C81</f>
        <v>30</v>
      </c>
      <c r="L81" s="16" t="str">
        <f t="shared" si="16"/>
        <v>Target Not Met</v>
      </c>
      <c r="M81" s="2" t="s">
        <v>649</v>
      </c>
      <c r="N81" s="2" t="s">
        <v>657</v>
      </c>
      <c r="O81" s="2" t="s">
        <v>673</v>
      </c>
      <c r="P81" s="29" t="str">
        <f t="shared" si="17"/>
        <v>Europe→France→Marseille</v>
      </c>
      <c r="Q81" s="2" t="s">
        <v>705</v>
      </c>
      <c r="R81" s="2" t="s">
        <v>711</v>
      </c>
      <c r="S81" s="2" t="s">
        <v>714</v>
      </c>
      <c r="T81" s="2" t="s">
        <v>732</v>
      </c>
      <c r="U81" t="e">
        <f>(AE81/#REF!)*100</f>
        <v>#REF!</v>
      </c>
      <c r="V81" s="2" t="s">
        <v>813</v>
      </c>
      <c r="W81" s="7">
        <v>1122.68</v>
      </c>
      <c r="X81" s="7">
        <v>1997.19</v>
      </c>
      <c r="Y81" s="7">
        <f t="shared" si="18"/>
        <v>1997.19</v>
      </c>
      <c r="Z81" s="7" t="str">
        <f t="shared" si="19"/>
        <v>High</v>
      </c>
      <c r="AA81" s="13">
        <v>0.186</v>
      </c>
      <c r="AB81" s="13">
        <f t="shared" si="20"/>
        <v>0.186</v>
      </c>
      <c r="AC81" s="13" t="str">
        <f t="shared" si="21"/>
        <v>OK</v>
      </c>
      <c r="AD81" s="7">
        <v>3</v>
      </c>
      <c r="AE81" s="7">
        <f>Y81*AD81*(1-AB81)</f>
        <v>4877.1379800000004</v>
      </c>
      <c r="AF81" s="7">
        <f>W81*AD81</f>
        <v>3368.04</v>
      </c>
      <c r="AG81" s="7">
        <f t="shared" si="22"/>
        <v>1509.0979800000005</v>
      </c>
      <c r="AH81" s="13">
        <f t="shared" si="23"/>
        <v>0.30942285951073306</v>
      </c>
    </row>
    <row r="82" spans="1:34" x14ac:dyDescent="0.35">
      <c r="A82" s="2" t="s">
        <v>95</v>
      </c>
      <c r="B82" s="5">
        <v>44965</v>
      </c>
      <c r="C82" s="5">
        <f>IF(H82&lt;B82,H82,B82)</f>
        <v>44965</v>
      </c>
      <c r="D82" s="5" t="str">
        <f t="shared" si="12"/>
        <v>Feb-2023</v>
      </c>
      <c r="E82" s="5" t="str">
        <f t="shared" si="13"/>
        <v>Feb</v>
      </c>
      <c r="F82" s="5" t="str">
        <f t="shared" si="14"/>
        <v>2023</v>
      </c>
      <c r="G82" s="5" t="str">
        <f t="shared" si="15"/>
        <v>Q1-2023</v>
      </c>
      <c r="H82" s="5">
        <v>44968</v>
      </c>
      <c r="I82" s="5">
        <f>IF(H82&lt;B82, B82+7, H82)</f>
        <v>44968</v>
      </c>
      <c r="J82" s="5" t="str">
        <f>IF(H82&lt;B82, "Invalid","Okay")</f>
        <v>Okay</v>
      </c>
      <c r="K82" s="16">
        <f>I82-C82</f>
        <v>3</v>
      </c>
      <c r="L82" s="16" t="str">
        <f t="shared" si="16"/>
        <v>Target Met</v>
      </c>
      <c r="M82" s="2" t="s">
        <v>646</v>
      </c>
      <c r="N82" s="2" t="s">
        <v>661</v>
      </c>
      <c r="O82" s="2" t="s">
        <v>695</v>
      </c>
      <c r="P82" s="29" t="str">
        <f t="shared" si="17"/>
        <v>Africa→South Africa→Cape Town</v>
      </c>
      <c r="Q82" s="2" t="s">
        <v>701</v>
      </c>
      <c r="R82" s="2" t="s">
        <v>711</v>
      </c>
      <c r="S82" s="2" t="s">
        <v>724</v>
      </c>
      <c r="T82" s="2" t="s">
        <v>729</v>
      </c>
      <c r="U82" t="e">
        <f>(AE82/#REF!)*100</f>
        <v>#REF!</v>
      </c>
      <c r="V82" s="2" t="s">
        <v>814</v>
      </c>
      <c r="W82" s="7">
        <v>1410.05</v>
      </c>
      <c r="X82" s="7">
        <v>2763.95</v>
      </c>
      <c r="Y82" s="7">
        <f t="shared" si="18"/>
        <v>2763.95</v>
      </c>
      <c r="Z82" s="7" t="str">
        <f t="shared" si="19"/>
        <v>High</v>
      </c>
      <c r="AA82" s="13">
        <v>0.161</v>
      </c>
      <c r="AB82" s="13">
        <f t="shared" si="20"/>
        <v>0.161</v>
      </c>
      <c r="AC82" s="13" t="str">
        <f t="shared" si="21"/>
        <v>OK</v>
      </c>
      <c r="AD82" s="7">
        <v>26</v>
      </c>
      <c r="AE82" s="7">
        <f>Y82*AD82*(1-AB82)</f>
        <v>60292.805299999993</v>
      </c>
      <c r="AF82" s="7">
        <f>W82*AD82</f>
        <v>36661.299999999996</v>
      </c>
      <c r="AG82" s="7">
        <f t="shared" si="22"/>
        <v>23631.505299999997</v>
      </c>
      <c r="AH82" s="13">
        <f t="shared" si="23"/>
        <v>0.39194569206750779</v>
      </c>
    </row>
    <row r="83" spans="1:34" x14ac:dyDescent="0.35">
      <c r="A83" s="2" t="s">
        <v>96</v>
      </c>
      <c r="B83" s="5">
        <v>45157</v>
      </c>
      <c r="C83" s="5">
        <f>IF(H83&lt;B83,H83,B83)</f>
        <v>45157</v>
      </c>
      <c r="D83" s="5" t="str">
        <f t="shared" si="12"/>
        <v>Aug-2023</v>
      </c>
      <c r="E83" s="5" t="str">
        <f t="shared" si="13"/>
        <v>Aug</v>
      </c>
      <c r="F83" s="5" t="str">
        <f t="shared" si="14"/>
        <v>2023</v>
      </c>
      <c r="G83" s="5" t="str">
        <f t="shared" si="15"/>
        <v>Q3-2023</v>
      </c>
      <c r="H83" s="5">
        <v>45181</v>
      </c>
      <c r="I83" s="5">
        <f>IF(H83&lt;B83, B83+7, H83)</f>
        <v>45181</v>
      </c>
      <c r="J83" s="5" t="str">
        <f>IF(H83&lt;B83, "Invalid","Okay")</f>
        <v>Okay</v>
      </c>
      <c r="K83" s="16">
        <f>I83-C83</f>
        <v>24</v>
      </c>
      <c r="L83" s="16" t="str">
        <f t="shared" si="16"/>
        <v>Target Not Met</v>
      </c>
      <c r="M83" s="2" t="s">
        <v>648</v>
      </c>
      <c r="N83" s="2" t="s">
        <v>653</v>
      </c>
      <c r="O83" s="2" t="s">
        <v>688</v>
      </c>
      <c r="P83" s="29" t="str">
        <f t="shared" si="17"/>
        <v>Americas→Canada→Vancouver</v>
      </c>
      <c r="Q83" s="2" t="s">
        <v>706</v>
      </c>
      <c r="R83" s="2" t="s">
        <v>707</v>
      </c>
      <c r="S83" s="2" t="s">
        <v>714</v>
      </c>
      <c r="T83" s="2" t="s">
        <v>728</v>
      </c>
      <c r="U83" t="e">
        <f>(AE83/#REF!)*100</f>
        <v>#REF!</v>
      </c>
      <c r="V83" s="2" t="s">
        <v>815</v>
      </c>
      <c r="W83" s="7">
        <v>1183.95</v>
      </c>
      <c r="X83" s="7">
        <v>1503.53</v>
      </c>
      <c r="Y83" s="7">
        <f t="shared" si="18"/>
        <v>1503.53</v>
      </c>
      <c r="Z83" s="7" t="str">
        <f t="shared" si="19"/>
        <v>Medium</v>
      </c>
      <c r="AA83" s="13">
        <v>0.24099999999999999</v>
      </c>
      <c r="AB83" s="13">
        <f t="shared" si="20"/>
        <v>0.24099999999999999</v>
      </c>
      <c r="AC83" s="13" t="str">
        <f t="shared" si="21"/>
        <v>OK</v>
      </c>
      <c r="AD83" s="7">
        <v>16</v>
      </c>
      <c r="AE83" s="7">
        <f>Y83*AD83*(1-AB83)</f>
        <v>18258.868320000001</v>
      </c>
      <c r="AF83" s="7">
        <f>W83*AD83</f>
        <v>18943.2</v>
      </c>
      <c r="AG83" s="7">
        <f t="shared" si="22"/>
        <v>-684.33167999999932</v>
      </c>
      <c r="AH83" s="13">
        <f t="shared" si="23"/>
        <v>-3.7479413729623705E-2</v>
      </c>
    </row>
    <row r="84" spans="1:34" x14ac:dyDescent="0.35">
      <c r="A84" s="2" t="s">
        <v>97</v>
      </c>
      <c r="B84" s="5">
        <v>45791</v>
      </c>
      <c r="C84" s="5">
        <f>IF(H84&lt;B84,H84,B84)</f>
        <v>45791</v>
      </c>
      <c r="D84" s="5" t="str">
        <f t="shared" si="12"/>
        <v>May-2025</v>
      </c>
      <c r="E84" s="5" t="str">
        <f t="shared" si="13"/>
        <v>May</v>
      </c>
      <c r="F84" s="5" t="str">
        <f t="shared" si="14"/>
        <v>2025</v>
      </c>
      <c r="G84" s="5" t="str">
        <f t="shared" si="15"/>
        <v>Q2-2025</v>
      </c>
      <c r="H84" s="5">
        <v>45801</v>
      </c>
      <c r="I84" s="5">
        <f>IF(H84&lt;B84, B84+7, H84)</f>
        <v>45801</v>
      </c>
      <c r="J84" s="5" t="str">
        <f>IF(H84&lt;B84, "Invalid","Okay")</f>
        <v>Okay</v>
      </c>
      <c r="K84" s="16">
        <f>I84-C84</f>
        <v>10</v>
      </c>
      <c r="L84" s="16" t="str">
        <f t="shared" si="16"/>
        <v>Target Not Met</v>
      </c>
      <c r="M84" s="2" t="s">
        <v>649</v>
      </c>
      <c r="N84" s="2" t="s">
        <v>657</v>
      </c>
      <c r="O84" s="2" t="s">
        <v>690</v>
      </c>
      <c r="P84" s="29" t="str">
        <f t="shared" si="17"/>
        <v>Europe→France→Paris</v>
      </c>
      <c r="Q84" s="2" t="s">
        <v>705</v>
      </c>
      <c r="R84" s="2" t="s">
        <v>709</v>
      </c>
      <c r="S84" s="2" t="s">
        <v>723</v>
      </c>
      <c r="T84" s="2" t="s">
        <v>727</v>
      </c>
      <c r="U84" t="e">
        <f>(AE84/#REF!)*100</f>
        <v>#REF!</v>
      </c>
      <c r="V84" s="2" t="s">
        <v>816</v>
      </c>
      <c r="W84" s="7">
        <v>170.39</v>
      </c>
      <c r="X84" s="7">
        <v>388.04</v>
      </c>
      <c r="Y84" s="7">
        <f t="shared" si="18"/>
        <v>388.04</v>
      </c>
      <c r="Z84" s="7" t="str">
        <f t="shared" si="19"/>
        <v>Low</v>
      </c>
      <c r="AA84" s="13">
        <v>8.4000000000000005E-2</v>
      </c>
      <c r="AB84" s="13">
        <f t="shared" si="20"/>
        <v>8.4000000000000005E-2</v>
      </c>
      <c r="AC84" s="13" t="str">
        <f t="shared" si="21"/>
        <v>OK</v>
      </c>
      <c r="AD84" s="7">
        <v>15</v>
      </c>
      <c r="AE84" s="7">
        <f>Y84*AD84*(1-AB84)</f>
        <v>5331.6696000000002</v>
      </c>
      <c r="AF84" s="7">
        <f>W84*AD84</f>
        <v>2555.85</v>
      </c>
      <c r="AG84" s="7">
        <f t="shared" si="22"/>
        <v>2775.8196000000003</v>
      </c>
      <c r="AH84" s="13">
        <f t="shared" si="23"/>
        <v>0.52062858508711796</v>
      </c>
    </row>
    <row r="85" spans="1:34" x14ac:dyDescent="0.35">
      <c r="A85" s="2" t="s">
        <v>98</v>
      </c>
      <c r="B85" s="5">
        <v>45770</v>
      </c>
      <c r="C85" s="5">
        <f>IF(H85&lt;B85,H85,B85)</f>
        <v>45769</v>
      </c>
      <c r="D85" s="5" t="str">
        <f t="shared" si="12"/>
        <v>Apr-2025</v>
      </c>
      <c r="E85" s="5" t="str">
        <f t="shared" si="13"/>
        <v>Apr</v>
      </c>
      <c r="F85" s="5" t="str">
        <f t="shared" si="14"/>
        <v>2025</v>
      </c>
      <c r="G85" s="5" t="str">
        <f t="shared" si="15"/>
        <v>Q2-2025</v>
      </c>
      <c r="H85" s="5">
        <v>45769</v>
      </c>
      <c r="I85" s="5">
        <f>IF(H85&lt;B85, B85+7, H85)</f>
        <v>45777</v>
      </c>
      <c r="J85" s="5" t="str">
        <f>IF(H85&lt;B85, "Invalid","Okay")</f>
        <v>Invalid</v>
      </c>
      <c r="K85" s="16">
        <f>I85-C85</f>
        <v>8</v>
      </c>
      <c r="L85" s="16" t="str">
        <f t="shared" si="16"/>
        <v>Target Not Met</v>
      </c>
      <c r="M85" s="2" t="s">
        <v>648</v>
      </c>
      <c r="N85" s="2" t="s">
        <v>660</v>
      </c>
      <c r="O85" s="2" t="s">
        <v>686</v>
      </c>
      <c r="P85" s="29" t="str">
        <f t="shared" si="17"/>
        <v>Americas→USA→San Francisco</v>
      </c>
      <c r="Q85" s="2" t="s">
        <v>703</v>
      </c>
      <c r="R85" s="2" t="s">
        <v>710</v>
      </c>
      <c r="S85" s="2" t="s">
        <v>726</v>
      </c>
      <c r="T85" s="2" t="s">
        <v>732</v>
      </c>
      <c r="U85" t="e">
        <f>(AE85/#REF!)*100</f>
        <v>#REF!</v>
      </c>
      <c r="V85" s="2" t="s">
        <v>817</v>
      </c>
      <c r="W85" s="7">
        <v>23.24</v>
      </c>
      <c r="X85" s="7">
        <v>44.57</v>
      </c>
      <c r="Y85" s="7">
        <f t="shared" si="18"/>
        <v>44.57</v>
      </c>
      <c r="Z85" s="7" t="str">
        <f t="shared" si="19"/>
        <v>Low</v>
      </c>
      <c r="AA85" s="13">
        <v>0.215</v>
      </c>
      <c r="AB85" s="13">
        <f t="shared" si="20"/>
        <v>0.215</v>
      </c>
      <c r="AC85" s="13" t="str">
        <f t="shared" si="21"/>
        <v>OK</v>
      </c>
      <c r="AD85" s="7">
        <v>15</v>
      </c>
      <c r="AE85" s="7">
        <f>Y85*AD85*(1-AB85)</f>
        <v>524.81174999999996</v>
      </c>
      <c r="AF85" s="7">
        <f>W85*AD85</f>
        <v>348.59999999999997</v>
      </c>
      <c r="AG85" s="7">
        <f t="shared" si="22"/>
        <v>176.21174999999999</v>
      </c>
      <c r="AH85" s="13">
        <f t="shared" si="23"/>
        <v>0.33576182316802167</v>
      </c>
    </row>
    <row r="86" spans="1:34" x14ac:dyDescent="0.35">
      <c r="A86" s="2" t="s">
        <v>99</v>
      </c>
      <c r="B86" s="5">
        <v>45741</v>
      </c>
      <c r="C86" s="5">
        <f>IF(H86&lt;B86,H86,B86)</f>
        <v>45741</v>
      </c>
      <c r="D86" s="5" t="str">
        <f t="shared" si="12"/>
        <v>Mar-2025</v>
      </c>
      <c r="E86" s="5" t="str">
        <f t="shared" si="13"/>
        <v>Mar</v>
      </c>
      <c r="F86" s="5" t="str">
        <f t="shared" si="14"/>
        <v>2025</v>
      </c>
      <c r="G86" s="5" t="str">
        <f t="shared" si="15"/>
        <v>Q1-2025</v>
      </c>
      <c r="H86" s="5">
        <v>45764</v>
      </c>
      <c r="I86" s="5">
        <f>IF(H86&lt;B86, B86+7, H86)</f>
        <v>45764</v>
      </c>
      <c r="J86" s="5" t="str">
        <f>IF(H86&lt;B86, "Invalid","Okay")</f>
        <v>Okay</v>
      </c>
      <c r="K86" s="16">
        <f>I86-C86</f>
        <v>23</v>
      </c>
      <c r="L86" s="16" t="str">
        <f t="shared" si="16"/>
        <v>Target Not Met</v>
      </c>
      <c r="M86" s="2" t="s">
        <v>649</v>
      </c>
      <c r="N86" s="2" t="s">
        <v>658</v>
      </c>
      <c r="O86" s="2" t="s">
        <v>683</v>
      </c>
      <c r="P86" s="29" t="str">
        <f t="shared" si="17"/>
        <v>Europe→United Kingdom→London</v>
      </c>
      <c r="Q86" s="2" t="s">
        <v>704</v>
      </c>
      <c r="R86" s="2" t="s">
        <v>707</v>
      </c>
      <c r="S86" s="2" t="s">
        <v>722</v>
      </c>
      <c r="T86" s="2" t="s">
        <v>729</v>
      </c>
      <c r="U86" t="e">
        <f>(AE86/#REF!)*100</f>
        <v>#REF!</v>
      </c>
      <c r="V86" s="2" t="s">
        <v>818</v>
      </c>
      <c r="W86" s="7">
        <v>1421.19</v>
      </c>
      <c r="X86" s="7">
        <v>1808.26</v>
      </c>
      <c r="Y86" s="7">
        <f t="shared" si="18"/>
        <v>1808.26</v>
      </c>
      <c r="Z86" s="7" t="str">
        <f t="shared" si="19"/>
        <v>Medium</v>
      </c>
      <c r="AA86" s="13">
        <v>0.104</v>
      </c>
      <c r="AB86" s="13">
        <f t="shared" si="20"/>
        <v>0.104</v>
      </c>
      <c r="AC86" s="13" t="str">
        <f t="shared" si="21"/>
        <v>OK</v>
      </c>
      <c r="AD86" s="7">
        <v>13</v>
      </c>
      <c r="AE86" s="7">
        <f>Y86*AD86*(1-AB86)</f>
        <v>21062.61248</v>
      </c>
      <c r="AF86" s="7">
        <f>W86*AD86</f>
        <v>18475.47</v>
      </c>
      <c r="AG86" s="7">
        <f t="shared" si="22"/>
        <v>2587.1424799999986</v>
      </c>
      <c r="AH86" s="13">
        <f t="shared" si="23"/>
        <v>0.12283103449093123</v>
      </c>
    </row>
    <row r="87" spans="1:34" x14ac:dyDescent="0.35">
      <c r="A87" s="2" t="s">
        <v>100</v>
      </c>
      <c r="B87" s="5">
        <v>45282</v>
      </c>
      <c r="C87" s="5">
        <f>IF(H87&lt;B87,H87,B87)</f>
        <v>45282</v>
      </c>
      <c r="D87" s="5" t="str">
        <f t="shared" si="12"/>
        <v>Dec-2023</v>
      </c>
      <c r="E87" s="5" t="str">
        <f t="shared" si="13"/>
        <v>Dec</v>
      </c>
      <c r="F87" s="5" t="str">
        <f t="shared" si="14"/>
        <v>2023</v>
      </c>
      <c r="G87" s="5" t="str">
        <f t="shared" si="15"/>
        <v>Q4-2023</v>
      </c>
      <c r="H87" s="5">
        <v>45283</v>
      </c>
      <c r="I87" s="5">
        <f>IF(H87&lt;B87, B87+7, H87)</f>
        <v>45283</v>
      </c>
      <c r="J87" s="5" t="str">
        <f>IF(H87&lt;B87, "Invalid","Okay")</f>
        <v>Okay</v>
      </c>
      <c r="K87" s="16">
        <f>I87-C87</f>
        <v>1</v>
      </c>
      <c r="L87" s="16" t="str">
        <f t="shared" si="16"/>
        <v>Target Met</v>
      </c>
      <c r="M87" s="2" t="s">
        <v>646</v>
      </c>
      <c r="N87" s="2" t="s">
        <v>661</v>
      </c>
      <c r="O87" s="2" t="s">
        <v>695</v>
      </c>
      <c r="P87" s="29" t="str">
        <f t="shared" si="17"/>
        <v>Africa→South Africa→Cape Town</v>
      </c>
      <c r="Q87" s="2" t="s">
        <v>703</v>
      </c>
      <c r="R87" s="2" t="s">
        <v>709</v>
      </c>
      <c r="S87" s="2" t="s">
        <v>726</v>
      </c>
      <c r="T87" s="2" t="s">
        <v>727</v>
      </c>
      <c r="U87" t="e">
        <f>(AE87/#REF!)*100</f>
        <v>#REF!</v>
      </c>
      <c r="V87" s="2" t="s">
        <v>819</v>
      </c>
      <c r="W87" s="7">
        <v>1186.18</v>
      </c>
      <c r="X87" s="7">
        <v>1285.0899999999999</v>
      </c>
      <c r="Y87" s="7">
        <f t="shared" si="18"/>
        <v>1285.0899999999999</v>
      </c>
      <c r="Z87" s="7" t="str">
        <f t="shared" si="19"/>
        <v>Medium</v>
      </c>
      <c r="AA87" s="13">
        <v>7.0000000000000007E-2</v>
      </c>
      <c r="AB87" s="13">
        <f t="shared" si="20"/>
        <v>7.0000000000000007E-2</v>
      </c>
      <c r="AC87" s="13" t="str">
        <f t="shared" si="21"/>
        <v>OK</v>
      </c>
      <c r="AD87" s="7">
        <v>11</v>
      </c>
      <c r="AE87" s="7">
        <f>Y87*AD87*(1-AB87)</f>
        <v>13146.470699999998</v>
      </c>
      <c r="AF87" s="7">
        <f>W87*AD87</f>
        <v>13047.980000000001</v>
      </c>
      <c r="AG87" s="7">
        <f t="shared" si="22"/>
        <v>98.49069999999665</v>
      </c>
      <c r="AH87" s="13">
        <f t="shared" si="23"/>
        <v>7.4917977796121861E-3</v>
      </c>
    </row>
    <row r="88" spans="1:34" x14ac:dyDescent="0.35">
      <c r="A88" s="2" t="s">
        <v>101</v>
      </c>
      <c r="B88" s="5">
        <v>45388</v>
      </c>
      <c r="C88" s="5">
        <f>IF(H88&lt;B88,H88,B88)</f>
        <v>45388</v>
      </c>
      <c r="D88" s="5" t="str">
        <f t="shared" si="12"/>
        <v>Apr-2024</v>
      </c>
      <c r="E88" s="5" t="str">
        <f t="shared" si="13"/>
        <v>Apr</v>
      </c>
      <c r="F88" s="5" t="str">
        <f t="shared" si="14"/>
        <v>2024</v>
      </c>
      <c r="G88" s="5" t="str">
        <f t="shared" si="15"/>
        <v>Q2-2024</v>
      </c>
      <c r="H88" s="5">
        <v>45407</v>
      </c>
      <c r="I88" s="5">
        <f>IF(H88&lt;B88, B88+7, H88)</f>
        <v>45407</v>
      </c>
      <c r="J88" s="5" t="str">
        <f>IF(H88&lt;B88, "Invalid","Okay")</f>
        <v>Okay</v>
      </c>
      <c r="K88" s="16">
        <f>I88-C88</f>
        <v>19</v>
      </c>
      <c r="L88" s="16" t="str">
        <f t="shared" si="16"/>
        <v>Target Not Met</v>
      </c>
      <c r="M88" s="2" t="s">
        <v>647</v>
      </c>
      <c r="N88" s="2" t="s">
        <v>659</v>
      </c>
      <c r="O88" s="2" t="s">
        <v>685</v>
      </c>
      <c r="P88" s="29" t="str">
        <f t="shared" si="17"/>
        <v>Asia→China→Shanghai</v>
      </c>
      <c r="Q88" s="2" t="s">
        <v>701</v>
      </c>
      <c r="R88" s="2" t="s">
        <v>707</v>
      </c>
      <c r="S88" s="2" t="s">
        <v>723</v>
      </c>
      <c r="T88" s="2" t="s">
        <v>727</v>
      </c>
      <c r="U88" t="e">
        <f>(AE88/#REF!)*100</f>
        <v>#REF!</v>
      </c>
      <c r="V88" s="2" t="s">
        <v>820</v>
      </c>
      <c r="W88" s="7">
        <v>1366.48</v>
      </c>
      <c r="X88" s="7">
        <v>1678.14</v>
      </c>
      <c r="Y88" s="7">
        <f t="shared" si="18"/>
        <v>1678.14</v>
      </c>
      <c r="Z88" s="7" t="str">
        <f t="shared" si="19"/>
        <v>Medium</v>
      </c>
      <c r="AA88" s="13">
        <v>0.154</v>
      </c>
      <c r="AB88" s="13">
        <f t="shared" si="20"/>
        <v>0.154</v>
      </c>
      <c r="AC88" s="13" t="str">
        <f t="shared" si="21"/>
        <v>OK</v>
      </c>
      <c r="AD88" s="7">
        <v>10</v>
      </c>
      <c r="AE88" s="7">
        <f>Y88*AD88*(1-AB88)</f>
        <v>14197.064400000001</v>
      </c>
      <c r="AF88" s="7">
        <f>W88*AD88</f>
        <v>13664.8</v>
      </c>
      <c r="AG88" s="7">
        <f t="shared" si="22"/>
        <v>532.26440000000184</v>
      </c>
      <c r="AH88" s="13">
        <f t="shared" si="23"/>
        <v>3.7491159087790132E-2</v>
      </c>
    </row>
    <row r="89" spans="1:34" x14ac:dyDescent="0.35">
      <c r="A89" s="2" t="s">
        <v>102</v>
      </c>
      <c r="B89" s="5">
        <v>45876</v>
      </c>
      <c r="C89" s="5">
        <f>IF(H89&lt;B89,H89,B89)</f>
        <v>45876</v>
      </c>
      <c r="D89" s="5" t="str">
        <f t="shared" si="12"/>
        <v>Aug-2025</v>
      </c>
      <c r="E89" s="5" t="str">
        <f t="shared" si="13"/>
        <v>Aug</v>
      </c>
      <c r="F89" s="5" t="str">
        <f t="shared" si="14"/>
        <v>2025</v>
      </c>
      <c r="G89" s="5" t="str">
        <f t="shared" si="15"/>
        <v>Q3-2025</v>
      </c>
      <c r="H89" s="5">
        <v>45888</v>
      </c>
      <c r="I89" s="5">
        <f>IF(H89&lt;B89, B89+7, H89)</f>
        <v>45888</v>
      </c>
      <c r="J89" s="5" t="str">
        <f>IF(H89&lt;B89, "Invalid","Okay")</f>
        <v>Okay</v>
      </c>
      <c r="K89" s="16">
        <f>I89-C89</f>
        <v>12</v>
      </c>
      <c r="L89" s="16" t="str">
        <f t="shared" si="16"/>
        <v>Target Not Met</v>
      </c>
      <c r="M89" s="2" t="s">
        <v>646</v>
      </c>
      <c r="N89" s="2" t="s">
        <v>650</v>
      </c>
      <c r="O89" s="2" t="s">
        <v>678</v>
      </c>
      <c r="P89" s="29" t="str">
        <f t="shared" si="17"/>
        <v>Africa→Kenya→Nakuru</v>
      </c>
      <c r="Q89" s="2" t="s">
        <v>701</v>
      </c>
      <c r="R89" s="2" t="s">
        <v>1423</v>
      </c>
      <c r="S89" s="2" t="s">
        <v>724</v>
      </c>
      <c r="T89" s="2" t="s">
        <v>727</v>
      </c>
      <c r="U89" t="e">
        <f>(AE89/#REF!)*100</f>
        <v>#REF!</v>
      </c>
      <c r="V89" s="2" t="s">
        <v>821</v>
      </c>
      <c r="W89" s="7">
        <v>601.51</v>
      </c>
      <c r="X89" s="7">
        <v>679.35</v>
      </c>
      <c r="Y89" s="7">
        <f t="shared" si="18"/>
        <v>679.35</v>
      </c>
      <c r="Z89" s="7" t="str">
        <f t="shared" si="19"/>
        <v>Low</v>
      </c>
      <c r="AA89" s="13">
        <v>0.188</v>
      </c>
      <c r="AB89" s="13">
        <f t="shared" si="20"/>
        <v>0.188</v>
      </c>
      <c r="AC89" s="13" t="str">
        <f t="shared" si="21"/>
        <v>OK</v>
      </c>
      <c r="AD89" s="7">
        <v>3</v>
      </c>
      <c r="AE89" s="7">
        <f>Y89*AD89*(1-AB89)</f>
        <v>1654.8966000000003</v>
      </c>
      <c r="AF89" s="7">
        <f>W89*AD89</f>
        <v>1804.53</v>
      </c>
      <c r="AG89" s="7">
        <f t="shared" si="22"/>
        <v>-149.63339999999971</v>
      </c>
      <c r="AH89" s="13">
        <f t="shared" si="23"/>
        <v>-9.0418579626062243E-2</v>
      </c>
    </row>
    <row r="90" spans="1:34" x14ac:dyDescent="0.35">
      <c r="A90" s="2" t="s">
        <v>103</v>
      </c>
      <c r="B90" s="5">
        <v>45312</v>
      </c>
      <c r="C90" s="5">
        <f>IF(H90&lt;B90,H90,B90)</f>
        <v>45312</v>
      </c>
      <c r="D90" s="5" t="str">
        <f t="shared" si="12"/>
        <v>Jan-2024</v>
      </c>
      <c r="E90" s="5" t="str">
        <f t="shared" si="13"/>
        <v>Jan</v>
      </c>
      <c r="F90" s="5" t="str">
        <f t="shared" si="14"/>
        <v>2024</v>
      </c>
      <c r="G90" s="5" t="str">
        <f t="shared" si="15"/>
        <v>Q1-2024</v>
      </c>
      <c r="H90" s="5">
        <v>45316</v>
      </c>
      <c r="I90" s="5">
        <f>IF(H90&lt;B90, B90+7, H90)</f>
        <v>45316</v>
      </c>
      <c r="J90" s="5" t="str">
        <f>IF(H90&lt;B90, "Invalid","Okay")</f>
        <v>Okay</v>
      </c>
      <c r="K90" s="16">
        <f>I90-C90</f>
        <v>4</v>
      </c>
      <c r="L90" s="16" t="str">
        <f t="shared" si="16"/>
        <v>Target Met</v>
      </c>
      <c r="M90" s="2" t="s">
        <v>647</v>
      </c>
      <c r="N90" s="2" t="s">
        <v>654</v>
      </c>
      <c r="O90" s="2" t="s">
        <v>680</v>
      </c>
      <c r="P90" s="29" t="str">
        <f t="shared" si="17"/>
        <v>Asia→India→Delhi</v>
      </c>
      <c r="Q90" s="2" t="s">
        <v>704</v>
      </c>
      <c r="R90" s="2" t="s">
        <v>711</v>
      </c>
      <c r="S90" s="2" t="s">
        <v>712</v>
      </c>
      <c r="T90" s="2" t="s">
        <v>732</v>
      </c>
      <c r="U90" t="e">
        <f>(AE90/#REF!)*100</f>
        <v>#REF!</v>
      </c>
      <c r="V90" s="2" t="s">
        <v>822</v>
      </c>
      <c r="W90" s="7">
        <v>523.70000000000005</v>
      </c>
      <c r="X90" s="7">
        <v>1109.92</v>
      </c>
      <c r="Y90" s="7">
        <f t="shared" si="18"/>
        <v>1109.92</v>
      </c>
      <c r="Z90" s="7" t="str">
        <f t="shared" si="19"/>
        <v>Low</v>
      </c>
      <c r="AA90" s="13">
        <v>0.03</v>
      </c>
      <c r="AB90" s="13">
        <f t="shared" si="20"/>
        <v>0.03</v>
      </c>
      <c r="AC90" s="13" t="str">
        <f t="shared" si="21"/>
        <v>OK</v>
      </c>
      <c r="AD90" s="7">
        <v>11</v>
      </c>
      <c r="AE90" s="7">
        <f>Y90*AD90*(1-AB90)</f>
        <v>11842.8464</v>
      </c>
      <c r="AF90" s="7">
        <f>W90*AD90</f>
        <v>5760.7000000000007</v>
      </c>
      <c r="AG90" s="7">
        <f t="shared" si="22"/>
        <v>6082.1463999999996</v>
      </c>
      <c r="AH90" s="13">
        <f t="shared" si="23"/>
        <v>0.51357133197302973</v>
      </c>
    </row>
    <row r="91" spans="1:34" x14ac:dyDescent="0.35">
      <c r="A91" s="2" t="s">
        <v>104</v>
      </c>
      <c r="B91" s="5">
        <v>45106</v>
      </c>
      <c r="C91" s="5">
        <f>IF(H91&lt;B91,H91,B91)</f>
        <v>45106</v>
      </c>
      <c r="D91" s="5" t="str">
        <f t="shared" si="12"/>
        <v>Jun-2023</v>
      </c>
      <c r="E91" s="5" t="str">
        <f t="shared" si="13"/>
        <v>Jun</v>
      </c>
      <c r="F91" s="5" t="str">
        <f t="shared" si="14"/>
        <v>2023</v>
      </c>
      <c r="G91" s="5" t="str">
        <f t="shared" si="15"/>
        <v>Q2-2023</v>
      </c>
      <c r="H91" s="5">
        <v>45109</v>
      </c>
      <c r="I91" s="5">
        <f>IF(H91&lt;B91, B91+7, H91)</f>
        <v>45109</v>
      </c>
      <c r="J91" s="5" t="str">
        <f>IF(H91&lt;B91, "Invalid","Okay")</f>
        <v>Okay</v>
      </c>
      <c r="K91" s="16">
        <f>I91-C91</f>
        <v>3</v>
      </c>
      <c r="L91" s="16" t="str">
        <f t="shared" si="16"/>
        <v>Target Met</v>
      </c>
      <c r="M91" s="2" t="s">
        <v>647</v>
      </c>
      <c r="N91" s="2" t="s">
        <v>652</v>
      </c>
      <c r="O91" s="2" t="s">
        <v>694</v>
      </c>
      <c r="P91" s="29" t="str">
        <f t="shared" si="17"/>
        <v>Asia→Japan→Nagoya</v>
      </c>
      <c r="Q91" s="2" t="s">
        <v>702</v>
      </c>
      <c r="R91" s="2" t="s">
        <v>709</v>
      </c>
      <c r="S91" s="2" t="s">
        <v>721</v>
      </c>
      <c r="T91" s="2" t="s">
        <v>732</v>
      </c>
      <c r="U91" t="e">
        <f>(AE91/#REF!)*100</f>
        <v>#REF!</v>
      </c>
      <c r="V91" s="2" t="s">
        <v>823</v>
      </c>
      <c r="W91" s="7">
        <v>55.65</v>
      </c>
      <c r="X91" s="7">
        <v>83.57</v>
      </c>
      <c r="Y91" s="7">
        <f t="shared" si="18"/>
        <v>83.57</v>
      </c>
      <c r="Z91" s="7" t="str">
        <f t="shared" si="19"/>
        <v>Low</v>
      </c>
      <c r="AA91" s="13">
        <v>6.6000000000000003E-2</v>
      </c>
      <c r="AB91" s="13">
        <f t="shared" si="20"/>
        <v>6.6000000000000003E-2</v>
      </c>
      <c r="AC91" s="13" t="str">
        <f t="shared" si="21"/>
        <v>OK</v>
      </c>
      <c r="AD91" s="7">
        <v>8</v>
      </c>
      <c r="AE91" s="7">
        <f>Y91*AD91*(1-AB91)</f>
        <v>624.43503999999996</v>
      </c>
      <c r="AF91" s="7">
        <f>W91*AD91</f>
        <v>445.2</v>
      </c>
      <c r="AG91" s="7">
        <f t="shared" si="22"/>
        <v>179.23503999999997</v>
      </c>
      <c r="AH91" s="13">
        <f t="shared" si="23"/>
        <v>0.2870355257449998</v>
      </c>
    </row>
    <row r="92" spans="1:34" x14ac:dyDescent="0.35">
      <c r="A92" s="2" t="s">
        <v>105</v>
      </c>
      <c r="B92" s="5">
        <v>45775</v>
      </c>
      <c r="C92" s="5">
        <f>IF(H92&lt;B92,H92,B92)</f>
        <v>45775</v>
      </c>
      <c r="D92" s="5" t="str">
        <f t="shared" si="12"/>
        <v>Apr-2025</v>
      </c>
      <c r="E92" s="5" t="str">
        <f t="shared" si="13"/>
        <v>Apr</v>
      </c>
      <c r="F92" s="5" t="str">
        <f t="shared" si="14"/>
        <v>2025</v>
      </c>
      <c r="G92" s="5" t="str">
        <f t="shared" si="15"/>
        <v>Q2-2025</v>
      </c>
      <c r="H92" s="5">
        <v>45792</v>
      </c>
      <c r="I92" s="5">
        <f>IF(H92&lt;B92, B92+7, H92)</f>
        <v>45792</v>
      </c>
      <c r="J92" s="5" t="str">
        <f>IF(H92&lt;B92, "Invalid","Okay")</f>
        <v>Okay</v>
      </c>
      <c r="K92" s="16">
        <f>I92-C92</f>
        <v>17</v>
      </c>
      <c r="L92" s="16" t="str">
        <f t="shared" si="16"/>
        <v>Target Not Met</v>
      </c>
      <c r="M92" s="2" t="s">
        <v>647</v>
      </c>
      <c r="N92" s="2" t="s">
        <v>652</v>
      </c>
      <c r="O92" s="2" t="s">
        <v>694</v>
      </c>
      <c r="P92" s="29" t="str">
        <f t="shared" si="17"/>
        <v>Asia→Japan→Nagoya</v>
      </c>
      <c r="Q92" s="2" t="s">
        <v>702</v>
      </c>
      <c r="R92" s="2" t="s">
        <v>711</v>
      </c>
      <c r="S92" s="2" t="s">
        <v>725</v>
      </c>
      <c r="T92" s="2" t="s">
        <v>729</v>
      </c>
      <c r="U92" t="e">
        <f>(AE92/#REF!)*100</f>
        <v>#REF!</v>
      </c>
      <c r="V92" s="2" t="s">
        <v>824</v>
      </c>
      <c r="W92" s="7">
        <v>691.19</v>
      </c>
      <c r="X92" s="7">
        <v>1284.3</v>
      </c>
      <c r="Y92" s="7">
        <f t="shared" si="18"/>
        <v>1284.3</v>
      </c>
      <c r="Z92" s="7" t="str">
        <f t="shared" si="19"/>
        <v>Medium</v>
      </c>
      <c r="AA92" s="13">
        <v>7.3999999999999996E-2</v>
      </c>
      <c r="AB92" s="13">
        <f t="shared" si="20"/>
        <v>7.3999999999999996E-2</v>
      </c>
      <c r="AC92" s="13" t="str">
        <f t="shared" si="21"/>
        <v>OK</v>
      </c>
      <c r="AD92" s="7">
        <v>7</v>
      </c>
      <c r="AE92" s="7">
        <f>Y92*AD92*(1-AB92)</f>
        <v>8324.8326000000015</v>
      </c>
      <c r="AF92" s="7">
        <f>W92*AD92</f>
        <v>4838.33</v>
      </c>
      <c r="AG92" s="7">
        <f t="shared" si="22"/>
        <v>3486.5026000000016</v>
      </c>
      <c r="AH92" s="13">
        <f t="shared" si="23"/>
        <v>0.41880753253825198</v>
      </c>
    </row>
    <row r="93" spans="1:34" x14ac:dyDescent="0.35">
      <c r="A93" s="2" t="s">
        <v>106</v>
      </c>
      <c r="B93" s="5">
        <v>45817</v>
      </c>
      <c r="C93" s="5">
        <f>IF(H93&lt;B93,H93,B93)</f>
        <v>45817</v>
      </c>
      <c r="D93" s="5" t="str">
        <f t="shared" si="12"/>
        <v>Jun-2025</v>
      </c>
      <c r="E93" s="5" t="str">
        <f t="shared" si="13"/>
        <v>Jun</v>
      </c>
      <c r="F93" s="5" t="str">
        <f t="shared" si="14"/>
        <v>2025</v>
      </c>
      <c r="G93" s="5" t="str">
        <f t="shared" si="15"/>
        <v>Q2-2025</v>
      </c>
      <c r="H93" s="5">
        <v>45833</v>
      </c>
      <c r="I93" s="5">
        <f>IF(H93&lt;B93, B93+7, H93)</f>
        <v>45833</v>
      </c>
      <c r="J93" s="5" t="str">
        <f>IF(H93&lt;B93, "Invalid","Okay")</f>
        <v>Okay</v>
      </c>
      <c r="K93" s="16">
        <f>I93-C93</f>
        <v>16</v>
      </c>
      <c r="L93" s="16" t="str">
        <f t="shared" si="16"/>
        <v>Target Not Met</v>
      </c>
      <c r="M93" s="2" t="s">
        <v>647</v>
      </c>
      <c r="N93" s="2" t="s">
        <v>654</v>
      </c>
      <c r="O93" s="2" t="s">
        <v>696</v>
      </c>
      <c r="P93" s="29" t="str">
        <f t="shared" si="17"/>
        <v>Asia→India→Hyderabad</v>
      </c>
      <c r="Q93" s="2" t="s">
        <v>706</v>
      </c>
      <c r="R93" s="2" t="s">
        <v>710</v>
      </c>
      <c r="S93" s="2" t="s">
        <v>724</v>
      </c>
      <c r="T93" s="2" t="s">
        <v>730</v>
      </c>
      <c r="U93" t="e">
        <f>(AE93/#REF!)*100</f>
        <v>#REF!</v>
      </c>
      <c r="V93" s="2" t="s">
        <v>825</v>
      </c>
      <c r="W93" s="7">
        <v>527.33000000000004</v>
      </c>
      <c r="X93" s="7">
        <v>911.72</v>
      </c>
      <c r="Y93" s="7">
        <f t="shared" si="18"/>
        <v>911.72</v>
      </c>
      <c r="Z93" s="7" t="str">
        <f t="shared" si="19"/>
        <v>Low</v>
      </c>
      <c r="AA93" s="13">
        <v>0.14399999999999999</v>
      </c>
      <c r="AB93" s="13">
        <f t="shared" si="20"/>
        <v>0.14399999999999999</v>
      </c>
      <c r="AC93" s="13" t="str">
        <f t="shared" si="21"/>
        <v>OK</v>
      </c>
      <c r="AD93" s="7">
        <v>25</v>
      </c>
      <c r="AE93" s="7">
        <f>Y93*AD93*(1-AB93)</f>
        <v>19510.808000000001</v>
      </c>
      <c r="AF93" s="7">
        <f>W93*AD93</f>
        <v>13183.250000000002</v>
      </c>
      <c r="AG93" s="7">
        <f t="shared" si="22"/>
        <v>6327.5579999999991</v>
      </c>
      <c r="AH93" s="13">
        <f t="shared" si="23"/>
        <v>0.32431040272652978</v>
      </c>
    </row>
    <row r="94" spans="1:34" x14ac:dyDescent="0.35">
      <c r="A94" s="2" t="s">
        <v>107</v>
      </c>
      <c r="B94" s="5">
        <v>45101</v>
      </c>
      <c r="C94" s="5">
        <f>IF(H94&lt;B94,H94,B94)</f>
        <v>45100</v>
      </c>
      <c r="D94" s="5" t="str">
        <f t="shared" si="12"/>
        <v>Jun-2023</v>
      </c>
      <c r="E94" s="5" t="str">
        <f t="shared" si="13"/>
        <v>Jun</v>
      </c>
      <c r="F94" s="5" t="str">
        <f t="shared" si="14"/>
        <v>2023</v>
      </c>
      <c r="G94" s="5" t="str">
        <f t="shared" si="15"/>
        <v>Q2-2023</v>
      </c>
      <c r="H94" s="5">
        <v>45100</v>
      </c>
      <c r="I94" s="5">
        <f>IF(H94&lt;B94, B94+7, H94)</f>
        <v>45108</v>
      </c>
      <c r="J94" s="5" t="str">
        <f>IF(H94&lt;B94, "Invalid","Okay")</f>
        <v>Invalid</v>
      </c>
      <c r="K94" s="16">
        <f>I94-C94</f>
        <v>8</v>
      </c>
      <c r="L94" s="16" t="str">
        <f t="shared" si="16"/>
        <v>Target Not Met</v>
      </c>
      <c r="M94" s="2" t="s">
        <v>648</v>
      </c>
      <c r="N94" s="2" t="s">
        <v>655</v>
      </c>
      <c r="O94" s="2" t="s">
        <v>692</v>
      </c>
      <c r="P94" s="29" t="str">
        <f t="shared" si="17"/>
        <v>Americas→Brazil→Rio de Janeiro</v>
      </c>
      <c r="Q94" s="2" t="s">
        <v>703</v>
      </c>
      <c r="R94" s="2" t="s">
        <v>707</v>
      </c>
      <c r="S94" s="2" t="s">
        <v>718</v>
      </c>
      <c r="T94" s="2" t="s">
        <v>728</v>
      </c>
      <c r="U94" t="e">
        <f>(AE94/#REF!)*100</f>
        <v>#REF!</v>
      </c>
      <c r="V94" s="2" t="s">
        <v>826</v>
      </c>
      <c r="W94" s="7">
        <v>804.01</v>
      </c>
      <c r="X94" s="7">
        <v>1405.07</v>
      </c>
      <c r="Y94" s="7">
        <f t="shared" si="18"/>
        <v>1405.07</v>
      </c>
      <c r="Z94" s="7" t="str">
        <f t="shared" si="19"/>
        <v>Medium</v>
      </c>
      <c r="AA94" s="13">
        <v>9.6000000000000002E-2</v>
      </c>
      <c r="AB94" s="13">
        <f t="shared" si="20"/>
        <v>9.6000000000000002E-2</v>
      </c>
      <c r="AC94" s="13" t="str">
        <f t="shared" si="21"/>
        <v>OK</v>
      </c>
      <c r="AD94" s="7">
        <v>8</v>
      </c>
      <c r="AE94" s="7">
        <f>Y94*AD94*(1-AB94)</f>
        <v>10161.46624</v>
      </c>
      <c r="AF94" s="7">
        <f>W94*AD94</f>
        <v>6432.08</v>
      </c>
      <c r="AG94" s="7">
        <f t="shared" si="22"/>
        <v>3729.3862399999998</v>
      </c>
      <c r="AH94" s="13">
        <f t="shared" si="23"/>
        <v>0.36701260939287439</v>
      </c>
    </row>
    <row r="95" spans="1:34" x14ac:dyDescent="0.35">
      <c r="A95" s="2" t="s">
        <v>108</v>
      </c>
      <c r="B95" s="5">
        <v>45569</v>
      </c>
      <c r="C95" s="5">
        <f>IF(H95&lt;B95,H95,B95)</f>
        <v>45569</v>
      </c>
      <c r="D95" s="5" t="str">
        <f t="shared" si="12"/>
        <v>Oct-2024</v>
      </c>
      <c r="E95" s="5" t="str">
        <f t="shared" si="13"/>
        <v>Oct</v>
      </c>
      <c r="F95" s="5" t="str">
        <f t="shared" si="14"/>
        <v>2024</v>
      </c>
      <c r="G95" s="5" t="str">
        <f t="shared" si="15"/>
        <v>Q4-2024</v>
      </c>
      <c r="H95" s="5">
        <v>45598</v>
      </c>
      <c r="I95" s="5">
        <f>IF(H95&lt;B95, B95+7, H95)</f>
        <v>45598</v>
      </c>
      <c r="J95" s="5" t="str">
        <f>IF(H95&lt;B95, "Invalid","Okay")</f>
        <v>Okay</v>
      </c>
      <c r="K95" s="16">
        <f>I95-C95</f>
        <v>29</v>
      </c>
      <c r="L95" s="16" t="str">
        <f t="shared" si="16"/>
        <v>Target Not Met</v>
      </c>
      <c r="M95" s="2" t="s">
        <v>646</v>
      </c>
      <c r="N95" s="2" t="s">
        <v>651</v>
      </c>
      <c r="O95" s="2" t="s">
        <v>669</v>
      </c>
      <c r="P95" s="29" t="str">
        <f t="shared" si="17"/>
        <v>Africa→Nigeria→Abuja</v>
      </c>
      <c r="Q95" s="2" t="s">
        <v>701</v>
      </c>
      <c r="R95" s="2" t="s">
        <v>710</v>
      </c>
      <c r="S95" s="2" t="s">
        <v>721</v>
      </c>
      <c r="T95" s="2" t="s">
        <v>733</v>
      </c>
      <c r="U95" t="e">
        <f>(AE95/#REF!)*100</f>
        <v>#REF!</v>
      </c>
      <c r="V95" s="2" t="s">
        <v>827</v>
      </c>
      <c r="W95" s="7">
        <v>412.09</v>
      </c>
      <c r="X95" s="7">
        <v>968.94</v>
      </c>
      <c r="Y95" s="7">
        <f t="shared" si="18"/>
        <v>968.94</v>
      </c>
      <c r="Z95" s="7" t="str">
        <f t="shared" si="19"/>
        <v>Low</v>
      </c>
      <c r="AA95" s="13">
        <v>9.9000000000000005E-2</v>
      </c>
      <c r="AB95" s="13">
        <f t="shared" si="20"/>
        <v>9.9000000000000005E-2</v>
      </c>
      <c r="AC95" s="13" t="str">
        <f t="shared" si="21"/>
        <v>OK</v>
      </c>
      <c r="AD95" s="7">
        <v>23</v>
      </c>
      <c r="AE95" s="7">
        <f>Y95*AD95*(1-AB95)</f>
        <v>20079.343620000003</v>
      </c>
      <c r="AF95" s="7">
        <f>W95*AD95</f>
        <v>9478.07</v>
      </c>
      <c r="AG95" s="7">
        <f t="shared" si="22"/>
        <v>10601.273620000004</v>
      </c>
      <c r="AH95" s="13">
        <f t="shared" si="23"/>
        <v>0.52796913189137418</v>
      </c>
    </row>
    <row r="96" spans="1:34" x14ac:dyDescent="0.35">
      <c r="A96" s="2" t="s">
        <v>109</v>
      </c>
      <c r="B96" s="5">
        <v>45910</v>
      </c>
      <c r="C96" s="5">
        <f>IF(H96&lt;B96,H96,B96)</f>
        <v>45910</v>
      </c>
      <c r="D96" s="5" t="str">
        <f t="shared" si="12"/>
        <v>Sep-2025</v>
      </c>
      <c r="E96" s="5" t="str">
        <f t="shared" si="13"/>
        <v>Sep</v>
      </c>
      <c r="F96" s="5" t="str">
        <f t="shared" si="14"/>
        <v>2025</v>
      </c>
      <c r="G96" s="5" t="str">
        <f t="shared" si="15"/>
        <v>Q3-2025</v>
      </c>
      <c r="H96" s="5">
        <v>45930</v>
      </c>
      <c r="I96" s="5">
        <f>IF(H96&lt;B96, B96+7, H96)</f>
        <v>45930</v>
      </c>
      <c r="J96" s="5" t="str">
        <f>IF(H96&lt;B96, "Invalid","Okay")</f>
        <v>Okay</v>
      </c>
      <c r="K96" s="16">
        <f>I96-C96</f>
        <v>20</v>
      </c>
      <c r="L96" s="16" t="str">
        <f t="shared" si="16"/>
        <v>Target Not Met</v>
      </c>
      <c r="M96" s="2" t="s">
        <v>646</v>
      </c>
      <c r="N96" s="2" t="s">
        <v>650</v>
      </c>
      <c r="O96" s="2" t="s">
        <v>675</v>
      </c>
      <c r="P96" s="29" t="str">
        <f t="shared" si="17"/>
        <v>Africa→Kenya→Mombasa</v>
      </c>
      <c r="Q96" s="2" t="s">
        <v>701</v>
      </c>
      <c r="R96" s="2" t="s">
        <v>711</v>
      </c>
      <c r="S96" s="2" t="s">
        <v>716</v>
      </c>
      <c r="T96" s="2" t="s">
        <v>730</v>
      </c>
      <c r="U96" t="e">
        <f>(AE96/#REF!)*100</f>
        <v>#REF!</v>
      </c>
      <c r="V96" s="2" t="s">
        <v>828</v>
      </c>
      <c r="W96" s="7">
        <v>1009.48</v>
      </c>
      <c r="X96" s="7">
        <v>1088.81</v>
      </c>
      <c r="Y96" s="7">
        <f t="shared" si="18"/>
        <v>1088.81</v>
      </c>
      <c r="Z96" s="7" t="str">
        <f t="shared" si="19"/>
        <v>Low</v>
      </c>
      <c r="AA96" s="13">
        <v>0.16</v>
      </c>
      <c r="AB96" s="13">
        <f t="shared" si="20"/>
        <v>0.16</v>
      </c>
      <c r="AC96" s="13" t="str">
        <f t="shared" si="21"/>
        <v>OK</v>
      </c>
      <c r="AD96" s="7">
        <v>6</v>
      </c>
      <c r="AE96" s="7">
        <f>Y96*AD96*(1-AB96)</f>
        <v>5487.6023999999998</v>
      </c>
      <c r="AF96" s="7">
        <f>W96*AD96</f>
        <v>6056.88</v>
      </c>
      <c r="AG96" s="7">
        <f t="shared" si="22"/>
        <v>-569.27760000000035</v>
      </c>
      <c r="AH96" s="13">
        <f t="shared" si="23"/>
        <v>-0.10373885688219693</v>
      </c>
    </row>
    <row r="97" spans="1:34" x14ac:dyDescent="0.35">
      <c r="A97" s="2" t="s">
        <v>110</v>
      </c>
      <c r="B97" s="5">
        <v>45022</v>
      </c>
      <c r="C97" s="5">
        <f>IF(H97&lt;B97,H97,B97)</f>
        <v>45022</v>
      </c>
      <c r="D97" s="5" t="str">
        <f t="shared" si="12"/>
        <v>Apr-2023</v>
      </c>
      <c r="E97" s="5" t="str">
        <f t="shared" si="13"/>
        <v>Apr</v>
      </c>
      <c r="F97" s="5" t="str">
        <f t="shared" si="14"/>
        <v>2023</v>
      </c>
      <c r="G97" s="5" t="str">
        <f t="shared" si="15"/>
        <v>Q2-2023</v>
      </c>
      <c r="H97" s="5">
        <v>45043</v>
      </c>
      <c r="I97" s="5">
        <f>IF(H97&lt;B97, B97+7, H97)</f>
        <v>45043</v>
      </c>
      <c r="J97" s="5" t="str">
        <f>IF(H97&lt;B97, "Invalid","Okay")</f>
        <v>Okay</v>
      </c>
      <c r="K97" s="16">
        <f>I97-C97</f>
        <v>21</v>
      </c>
      <c r="L97" s="16" t="str">
        <f t="shared" si="16"/>
        <v>Target Not Met</v>
      </c>
      <c r="M97" s="2" t="s">
        <v>649</v>
      </c>
      <c r="N97" s="2" t="s">
        <v>658</v>
      </c>
      <c r="O97" s="2" t="s">
        <v>693</v>
      </c>
      <c r="P97" s="29" t="str">
        <f t="shared" si="17"/>
        <v>Europe→United Kingdom→Manchester</v>
      </c>
      <c r="Q97" s="2" t="s">
        <v>706</v>
      </c>
      <c r="R97" s="2" t="s">
        <v>710</v>
      </c>
      <c r="S97" s="2" t="s">
        <v>714</v>
      </c>
      <c r="T97" s="2" t="s">
        <v>728</v>
      </c>
      <c r="U97" t="e">
        <f>(AE97/#REF!)*100</f>
        <v>#REF!</v>
      </c>
      <c r="V97" s="2" t="s">
        <v>829</v>
      </c>
      <c r="W97" s="7">
        <v>1084.79</v>
      </c>
      <c r="X97" s="7">
        <v>2484.9899999999998</v>
      </c>
      <c r="Y97" s="7">
        <f t="shared" si="18"/>
        <v>2484.9899999999998</v>
      </c>
      <c r="Z97" s="7" t="str">
        <f t="shared" si="19"/>
        <v>High</v>
      </c>
      <c r="AA97" s="13">
        <v>3.4000000000000002E-2</v>
      </c>
      <c r="AB97" s="13">
        <f t="shared" si="20"/>
        <v>3.4000000000000002E-2</v>
      </c>
      <c r="AC97" s="13" t="str">
        <f t="shared" si="21"/>
        <v>OK</v>
      </c>
      <c r="AD97" s="7">
        <v>18</v>
      </c>
      <c r="AE97" s="7">
        <f>Y97*AD97*(1-AB97)</f>
        <v>43209.006119999991</v>
      </c>
      <c r="AF97" s="7">
        <f>W97*AD97</f>
        <v>19526.22</v>
      </c>
      <c r="AG97" s="7">
        <f t="shared" si="22"/>
        <v>23682.78611999999</v>
      </c>
      <c r="AH97" s="13">
        <f t="shared" si="23"/>
        <v>0.54809837685755114</v>
      </c>
    </row>
    <row r="98" spans="1:34" x14ac:dyDescent="0.35">
      <c r="A98" s="2" t="s">
        <v>111</v>
      </c>
      <c r="B98" s="5">
        <v>45870</v>
      </c>
      <c r="C98" s="5">
        <f>IF(H98&lt;B98,H98,B98)</f>
        <v>45870</v>
      </c>
      <c r="D98" s="5" t="str">
        <f t="shared" si="12"/>
        <v>Aug-2025</v>
      </c>
      <c r="E98" s="5" t="str">
        <f t="shared" si="13"/>
        <v>Aug</v>
      </c>
      <c r="F98" s="5" t="str">
        <f t="shared" si="14"/>
        <v>2025</v>
      </c>
      <c r="G98" s="5" t="str">
        <f t="shared" si="15"/>
        <v>Q3-2025</v>
      </c>
      <c r="H98" s="5">
        <v>45885</v>
      </c>
      <c r="I98" s="5">
        <f>IF(H98&lt;B98, B98+7, H98)</f>
        <v>45885</v>
      </c>
      <c r="J98" s="5" t="str">
        <f>IF(H98&lt;B98, "Invalid","Okay")</f>
        <v>Okay</v>
      </c>
      <c r="K98" s="16">
        <f>I98-C98</f>
        <v>15</v>
      </c>
      <c r="L98" s="16" t="str">
        <f t="shared" si="16"/>
        <v>Target Not Met</v>
      </c>
      <c r="M98" s="2" t="s">
        <v>647</v>
      </c>
      <c r="N98" s="2" t="s">
        <v>654</v>
      </c>
      <c r="O98" s="2" t="s">
        <v>1423</v>
      </c>
      <c r="P98" s="29" t="str">
        <f t="shared" si="17"/>
        <v>Asia→India→Unknown</v>
      </c>
      <c r="Q98" s="2" t="s">
        <v>706</v>
      </c>
      <c r="R98" s="2" t="s">
        <v>711</v>
      </c>
      <c r="S98" s="2" t="s">
        <v>719</v>
      </c>
      <c r="T98" s="2" t="s">
        <v>732</v>
      </c>
      <c r="U98" t="e">
        <f>(AE98/#REF!)*100</f>
        <v>#REF!</v>
      </c>
      <c r="V98" s="2" t="s">
        <v>830</v>
      </c>
      <c r="W98" s="7">
        <v>24.44</v>
      </c>
      <c r="X98" s="7">
        <v>28.69</v>
      </c>
      <c r="Y98" s="7">
        <f t="shared" si="18"/>
        <v>28.69</v>
      </c>
      <c r="Z98" s="7" t="str">
        <f t="shared" si="19"/>
        <v>Low</v>
      </c>
      <c r="AA98" s="13">
        <v>0.14599999999999999</v>
      </c>
      <c r="AB98" s="13">
        <f t="shared" si="20"/>
        <v>0.14599999999999999</v>
      </c>
      <c r="AC98" s="13" t="str">
        <f t="shared" si="21"/>
        <v>OK</v>
      </c>
      <c r="AD98" s="7">
        <v>6</v>
      </c>
      <c r="AE98" s="7">
        <f>Y98*AD98*(1-AB98)</f>
        <v>147.00756000000001</v>
      </c>
      <c r="AF98" s="7">
        <f>W98*AD98</f>
        <v>146.64000000000001</v>
      </c>
      <c r="AG98" s="7">
        <f t="shared" si="22"/>
        <v>0.36755999999999744</v>
      </c>
      <c r="AH98" s="13">
        <f t="shared" si="23"/>
        <v>2.5002795774584476E-3</v>
      </c>
    </row>
    <row r="99" spans="1:34" x14ac:dyDescent="0.35">
      <c r="A99" s="2" t="s">
        <v>112</v>
      </c>
      <c r="B99" s="5">
        <v>45440</v>
      </c>
      <c r="C99" s="5">
        <f>IF(H99&lt;B99,H99,B99)</f>
        <v>45438</v>
      </c>
      <c r="D99" s="5" t="str">
        <f t="shared" si="12"/>
        <v>May-2024</v>
      </c>
      <c r="E99" s="5" t="str">
        <f t="shared" si="13"/>
        <v>May</v>
      </c>
      <c r="F99" s="5" t="str">
        <f t="shared" si="14"/>
        <v>2024</v>
      </c>
      <c r="G99" s="5" t="str">
        <f t="shared" si="15"/>
        <v>Q2-2024</v>
      </c>
      <c r="H99" s="5">
        <v>45438</v>
      </c>
      <c r="I99" s="5">
        <f>IF(H99&lt;B99, B99+7, H99)</f>
        <v>45447</v>
      </c>
      <c r="J99" s="5" t="str">
        <f>IF(H99&lt;B99, "Invalid","Okay")</f>
        <v>Invalid</v>
      </c>
      <c r="K99" s="16">
        <f>I99-C99</f>
        <v>9</v>
      </c>
      <c r="L99" s="16" t="str">
        <f t="shared" si="16"/>
        <v>Target Not Met</v>
      </c>
      <c r="M99" s="2" t="s">
        <v>646</v>
      </c>
      <c r="N99" s="2" t="s">
        <v>651</v>
      </c>
      <c r="O99" s="2" t="s">
        <v>669</v>
      </c>
      <c r="P99" s="29" t="str">
        <f t="shared" si="17"/>
        <v>Africa→Nigeria→Abuja</v>
      </c>
      <c r="Q99" s="2" t="s">
        <v>706</v>
      </c>
      <c r="R99" s="2" t="s">
        <v>708</v>
      </c>
      <c r="S99" s="2" t="s">
        <v>721</v>
      </c>
      <c r="T99" s="2" t="s">
        <v>733</v>
      </c>
      <c r="U99" t="e">
        <f>(AE99/#REF!)*100</f>
        <v>#REF!</v>
      </c>
      <c r="V99" s="2" t="s">
        <v>831</v>
      </c>
      <c r="W99" s="7">
        <v>1227.08</v>
      </c>
      <c r="X99" s="7">
        <v>1896.62</v>
      </c>
      <c r="Y99" s="7">
        <f t="shared" si="18"/>
        <v>1896.62</v>
      </c>
      <c r="Z99" s="7" t="str">
        <f t="shared" si="19"/>
        <v>Medium</v>
      </c>
      <c r="AA99" s="13">
        <v>0</v>
      </c>
      <c r="AB99" s="13">
        <f t="shared" si="20"/>
        <v>0</v>
      </c>
      <c r="AC99" s="13" t="str">
        <f t="shared" si="21"/>
        <v>OK</v>
      </c>
      <c r="AD99" s="7">
        <v>18</v>
      </c>
      <c r="AE99" s="7">
        <f>Y99*AD99*(1-AB99)</f>
        <v>34139.159999999996</v>
      </c>
      <c r="AF99" s="7">
        <f>W99*AD99</f>
        <v>22087.439999999999</v>
      </c>
      <c r="AG99" s="7">
        <f t="shared" si="22"/>
        <v>12051.719999999998</v>
      </c>
      <c r="AH99" s="13">
        <f t="shared" si="23"/>
        <v>0.353017473189147</v>
      </c>
    </row>
    <row r="100" spans="1:34" x14ac:dyDescent="0.35">
      <c r="A100" s="2" t="s">
        <v>113</v>
      </c>
      <c r="B100" s="5">
        <v>45860</v>
      </c>
      <c r="C100" s="5">
        <f>IF(H100&lt;B100,H100,B100)</f>
        <v>45860</v>
      </c>
      <c r="D100" s="5" t="str">
        <f t="shared" si="12"/>
        <v>Jul-2025</v>
      </c>
      <c r="E100" s="5" t="str">
        <f t="shared" si="13"/>
        <v>Jul</v>
      </c>
      <c r="F100" s="5" t="str">
        <f t="shared" si="14"/>
        <v>2025</v>
      </c>
      <c r="G100" s="5" t="str">
        <f t="shared" si="15"/>
        <v>Q3-2025</v>
      </c>
      <c r="H100" s="5">
        <v>45887</v>
      </c>
      <c r="I100" s="5">
        <f>IF(H100&lt;B100, B100+7, H100)</f>
        <v>45887</v>
      </c>
      <c r="J100" s="5" t="str">
        <f>IF(H100&lt;B100, "Invalid","Okay")</f>
        <v>Okay</v>
      </c>
      <c r="K100" s="16">
        <f>I100-C100</f>
        <v>27</v>
      </c>
      <c r="L100" s="16" t="str">
        <f t="shared" si="16"/>
        <v>Target Not Met</v>
      </c>
      <c r="M100" s="2" t="s">
        <v>647</v>
      </c>
      <c r="N100" s="2" t="s">
        <v>659</v>
      </c>
      <c r="O100" s="2" t="s">
        <v>676</v>
      </c>
      <c r="P100" s="29" t="str">
        <f t="shared" si="17"/>
        <v>Asia→China→Shenzhen</v>
      </c>
      <c r="Q100" s="2" t="s">
        <v>703</v>
      </c>
      <c r="R100" s="2" t="s">
        <v>709</v>
      </c>
      <c r="S100" s="2" t="s">
        <v>724</v>
      </c>
      <c r="T100" s="2" t="s">
        <v>729</v>
      </c>
      <c r="U100" t="e">
        <f>(AE100/#REF!)*100</f>
        <v>#REF!</v>
      </c>
      <c r="V100" s="2" t="s">
        <v>832</v>
      </c>
      <c r="W100" s="7">
        <v>547.32000000000005</v>
      </c>
      <c r="X100" s="7">
        <v>419.17</v>
      </c>
      <c r="Y100" s="7">
        <f t="shared" si="18"/>
        <v>419.17</v>
      </c>
      <c r="Z100" s="7" t="str">
        <f t="shared" si="19"/>
        <v>Low</v>
      </c>
      <c r="AA100" s="13">
        <v>9.1999999999999998E-2</v>
      </c>
      <c r="AB100" s="13">
        <f t="shared" si="20"/>
        <v>9.1999999999999998E-2</v>
      </c>
      <c r="AC100" s="13" t="str">
        <f t="shared" si="21"/>
        <v>OK</v>
      </c>
      <c r="AD100" s="7">
        <v>14</v>
      </c>
      <c r="AE100" s="7">
        <f>Y100*AD100*(1-AB100)</f>
        <v>5328.4890400000004</v>
      </c>
      <c r="AF100" s="7">
        <f>W100*AD100</f>
        <v>7662.4800000000005</v>
      </c>
      <c r="AG100" s="7">
        <f t="shared" si="22"/>
        <v>-2333.9909600000001</v>
      </c>
      <c r="AH100" s="13">
        <f t="shared" si="23"/>
        <v>-0.43802116181137907</v>
      </c>
    </row>
    <row r="101" spans="1:34" x14ac:dyDescent="0.35">
      <c r="A101" s="2" t="s">
        <v>114</v>
      </c>
      <c r="B101" s="5">
        <v>44985</v>
      </c>
      <c r="C101" s="5">
        <f>IF(H101&lt;B101,H101,B101)</f>
        <v>44985</v>
      </c>
      <c r="D101" s="5" t="str">
        <f t="shared" si="12"/>
        <v>Feb-2023</v>
      </c>
      <c r="E101" s="5" t="str">
        <f t="shared" si="13"/>
        <v>Feb</v>
      </c>
      <c r="F101" s="5" t="str">
        <f t="shared" si="14"/>
        <v>2023</v>
      </c>
      <c r="G101" s="5" t="str">
        <f t="shared" si="15"/>
        <v>Q1-2023</v>
      </c>
      <c r="H101" s="5">
        <v>45005</v>
      </c>
      <c r="I101" s="5">
        <f>IF(H101&lt;B101, B101+7, H101)</f>
        <v>45005</v>
      </c>
      <c r="J101" s="5" t="str">
        <f>IF(H101&lt;B101, "Invalid","Okay")</f>
        <v>Okay</v>
      </c>
      <c r="K101" s="16">
        <f>I101-C101</f>
        <v>20</v>
      </c>
      <c r="L101" s="16" t="str">
        <f t="shared" si="16"/>
        <v>Target Not Met</v>
      </c>
      <c r="M101" s="2" t="s">
        <v>649</v>
      </c>
      <c r="N101" s="2" t="s">
        <v>656</v>
      </c>
      <c r="O101" s="2" t="s">
        <v>671</v>
      </c>
      <c r="P101" s="29" t="str">
        <f t="shared" si="17"/>
        <v>Europe→Germany→Berlin</v>
      </c>
      <c r="Q101" s="2" t="s">
        <v>705</v>
      </c>
      <c r="R101" s="2" t="s">
        <v>711</v>
      </c>
      <c r="S101" s="2" t="s">
        <v>722</v>
      </c>
      <c r="T101" s="2" t="s">
        <v>731</v>
      </c>
      <c r="U101" t="e">
        <f>(AE101/#REF!)*100</f>
        <v>#REF!</v>
      </c>
      <c r="V101" s="2" t="s">
        <v>833</v>
      </c>
      <c r="W101" s="7">
        <v>1200.78</v>
      </c>
      <c r="X101" s="7">
        <v>2001.17</v>
      </c>
      <c r="Y101" s="7">
        <f t="shared" si="18"/>
        <v>2001.17</v>
      </c>
      <c r="Z101" s="7" t="str">
        <f t="shared" si="19"/>
        <v>High</v>
      </c>
      <c r="AA101" s="13">
        <v>0.29199999999999998</v>
      </c>
      <c r="AB101" s="13">
        <f t="shared" si="20"/>
        <v>0.29199999999999998</v>
      </c>
      <c r="AC101" s="13" t="str">
        <f t="shared" si="21"/>
        <v>OK</v>
      </c>
      <c r="AD101" s="7">
        <v>18</v>
      </c>
      <c r="AE101" s="7">
        <f>Y101*AD101*(1-AB101)</f>
        <v>25502.910479999999</v>
      </c>
      <c r="AF101" s="7">
        <f>W101*AD101</f>
        <v>21614.04</v>
      </c>
      <c r="AG101" s="7">
        <f t="shared" si="22"/>
        <v>3888.8704799999978</v>
      </c>
      <c r="AH101" s="13">
        <f t="shared" si="23"/>
        <v>0.15248732034132906</v>
      </c>
    </row>
    <row r="102" spans="1:34" x14ac:dyDescent="0.35">
      <c r="A102" s="2" t="s">
        <v>115</v>
      </c>
      <c r="B102" s="5">
        <v>45684</v>
      </c>
      <c r="C102" s="5">
        <f>IF(H102&lt;B102,H102,B102)</f>
        <v>45684</v>
      </c>
      <c r="D102" s="5" t="str">
        <f t="shared" si="12"/>
        <v>Jan-2025</v>
      </c>
      <c r="E102" s="5" t="str">
        <f t="shared" si="13"/>
        <v>Jan</v>
      </c>
      <c r="F102" s="5" t="str">
        <f t="shared" si="14"/>
        <v>2025</v>
      </c>
      <c r="G102" s="5" t="str">
        <f t="shared" si="15"/>
        <v>Q1-2025</v>
      </c>
      <c r="H102" s="5">
        <v>45703</v>
      </c>
      <c r="I102" s="5">
        <f>IF(H102&lt;B102, B102+7, H102)</f>
        <v>45703</v>
      </c>
      <c r="J102" s="5" t="str">
        <f>IF(H102&lt;B102, "Invalid","Okay")</f>
        <v>Okay</v>
      </c>
      <c r="K102" s="16">
        <f>I102-C102</f>
        <v>19</v>
      </c>
      <c r="L102" s="16" t="str">
        <f t="shared" si="16"/>
        <v>Target Not Met</v>
      </c>
      <c r="M102" s="2" t="s">
        <v>647</v>
      </c>
      <c r="N102" s="2" t="s">
        <v>659</v>
      </c>
      <c r="O102" s="2" t="s">
        <v>676</v>
      </c>
      <c r="P102" s="29" t="str">
        <f t="shared" si="17"/>
        <v>Asia→China→Shenzhen</v>
      </c>
      <c r="Q102" s="2" t="s">
        <v>703</v>
      </c>
      <c r="R102" s="2" t="s">
        <v>711</v>
      </c>
      <c r="S102" s="2" t="s">
        <v>716</v>
      </c>
      <c r="T102" s="2" t="s">
        <v>730</v>
      </c>
      <c r="U102" t="e">
        <f>(AE102/#REF!)*100</f>
        <v>#REF!</v>
      </c>
      <c r="V102" s="2" t="s">
        <v>834</v>
      </c>
      <c r="W102" s="7">
        <v>1253.22</v>
      </c>
      <c r="X102" s="7">
        <v>3104.71</v>
      </c>
      <c r="Y102" s="7">
        <f t="shared" si="18"/>
        <v>3104.71</v>
      </c>
      <c r="Z102" s="7" t="str">
        <f t="shared" si="19"/>
        <v>High</v>
      </c>
      <c r="AA102" s="13">
        <v>0</v>
      </c>
      <c r="AB102" s="13">
        <f t="shared" si="20"/>
        <v>0</v>
      </c>
      <c r="AC102" s="13" t="str">
        <f t="shared" si="21"/>
        <v>OK</v>
      </c>
      <c r="AD102" s="7">
        <v>17</v>
      </c>
      <c r="AE102" s="7">
        <f>Y102*AD102*(1-AB102)</f>
        <v>52780.07</v>
      </c>
      <c r="AF102" s="7">
        <f>W102*AD102</f>
        <v>21304.74</v>
      </c>
      <c r="AG102" s="7">
        <f t="shared" si="22"/>
        <v>31475.329999999998</v>
      </c>
      <c r="AH102" s="13">
        <f t="shared" si="23"/>
        <v>0.59634877331538205</v>
      </c>
    </row>
    <row r="103" spans="1:34" x14ac:dyDescent="0.35">
      <c r="A103" s="2" t="s">
        <v>116</v>
      </c>
      <c r="B103" s="5">
        <v>45304</v>
      </c>
      <c r="C103" s="5">
        <f>IF(H103&lt;B103,H103,B103)</f>
        <v>45304</v>
      </c>
      <c r="D103" s="5" t="str">
        <f t="shared" si="12"/>
        <v>Jan-2024</v>
      </c>
      <c r="E103" s="5" t="str">
        <f t="shared" si="13"/>
        <v>Jan</v>
      </c>
      <c r="F103" s="5" t="str">
        <f t="shared" si="14"/>
        <v>2024</v>
      </c>
      <c r="G103" s="5" t="str">
        <f t="shared" si="15"/>
        <v>Q1-2024</v>
      </c>
      <c r="H103" s="5">
        <v>45313</v>
      </c>
      <c r="I103" s="5">
        <f>IF(H103&lt;B103, B103+7, H103)</f>
        <v>45313</v>
      </c>
      <c r="J103" s="5" t="str">
        <f>IF(H103&lt;B103, "Invalid","Okay")</f>
        <v>Okay</v>
      </c>
      <c r="K103" s="16">
        <f>I103-C103</f>
        <v>9</v>
      </c>
      <c r="L103" s="16" t="str">
        <f t="shared" si="16"/>
        <v>Target Not Met</v>
      </c>
      <c r="M103" s="2" t="s">
        <v>647</v>
      </c>
      <c r="N103" s="2" t="s">
        <v>654</v>
      </c>
      <c r="O103" s="2" t="s">
        <v>691</v>
      </c>
      <c r="P103" s="29" t="str">
        <f t="shared" si="17"/>
        <v>Asia→India→Mumbai</v>
      </c>
      <c r="Q103" s="2" t="s">
        <v>706</v>
      </c>
      <c r="R103" s="2" t="s">
        <v>709</v>
      </c>
      <c r="S103" s="2" t="s">
        <v>713</v>
      </c>
      <c r="T103" s="2" t="s">
        <v>727</v>
      </c>
      <c r="U103" t="e">
        <f>(AE103/#REF!)*100</f>
        <v>#REF!</v>
      </c>
      <c r="V103" s="2" t="s">
        <v>835</v>
      </c>
      <c r="W103" s="7">
        <v>313.60000000000002</v>
      </c>
      <c r="X103" s="7">
        <v>334.28</v>
      </c>
      <c r="Y103" s="7">
        <f t="shared" si="18"/>
        <v>334.28</v>
      </c>
      <c r="Z103" s="7" t="str">
        <f t="shared" si="19"/>
        <v>Low</v>
      </c>
      <c r="AA103" s="13">
        <v>0.14000000000000001</v>
      </c>
      <c r="AB103" s="13">
        <f t="shared" si="20"/>
        <v>0.14000000000000001</v>
      </c>
      <c r="AC103" s="13" t="str">
        <f t="shared" si="21"/>
        <v>OK</v>
      </c>
      <c r="AD103" s="7">
        <v>22</v>
      </c>
      <c r="AE103" s="7">
        <f>Y103*AD103*(1-AB103)</f>
        <v>6324.5775999999996</v>
      </c>
      <c r="AF103" s="7">
        <f>W103*AD103</f>
        <v>6899.2000000000007</v>
      </c>
      <c r="AG103" s="7">
        <f t="shared" si="22"/>
        <v>-574.62240000000111</v>
      </c>
      <c r="AH103" s="13">
        <f t="shared" si="23"/>
        <v>-9.0855458868905517E-2</v>
      </c>
    </row>
    <row r="104" spans="1:34" x14ac:dyDescent="0.35">
      <c r="A104" s="2" t="s">
        <v>117</v>
      </c>
      <c r="B104" s="5">
        <v>45747</v>
      </c>
      <c r="C104" s="5">
        <f>IF(H104&lt;B104,H104,B104)</f>
        <v>45747</v>
      </c>
      <c r="D104" s="5" t="str">
        <f t="shared" si="12"/>
        <v>Mar-2025</v>
      </c>
      <c r="E104" s="5" t="str">
        <f t="shared" si="13"/>
        <v>Mar</v>
      </c>
      <c r="F104" s="5" t="str">
        <f t="shared" si="14"/>
        <v>2025</v>
      </c>
      <c r="G104" s="5" t="str">
        <f t="shared" si="15"/>
        <v>Q1-2025</v>
      </c>
      <c r="H104" s="5">
        <v>45751</v>
      </c>
      <c r="I104" s="5">
        <f>IF(H104&lt;B104, B104+7, H104)</f>
        <v>45751</v>
      </c>
      <c r="J104" s="5" t="str">
        <f>IF(H104&lt;B104, "Invalid","Okay")</f>
        <v>Okay</v>
      </c>
      <c r="K104" s="16">
        <f>I104-C104</f>
        <v>4</v>
      </c>
      <c r="L104" s="16" t="str">
        <f t="shared" si="16"/>
        <v>Target Met</v>
      </c>
      <c r="M104" s="2" t="s">
        <v>646</v>
      </c>
      <c r="N104" s="2" t="s">
        <v>650</v>
      </c>
      <c r="O104" s="2" t="s">
        <v>678</v>
      </c>
      <c r="P104" s="29" t="str">
        <f t="shared" si="17"/>
        <v>Africa→Kenya→Nakuru</v>
      </c>
      <c r="Q104" s="2" t="s">
        <v>701</v>
      </c>
      <c r="R104" s="2" t="s">
        <v>711</v>
      </c>
      <c r="S104" s="2" t="s">
        <v>712</v>
      </c>
      <c r="T104" s="2" t="s">
        <v>731</v>
      </c>
      <c r="U104" t="e">
        <f>(AE104/#REF!)*100</f>
        <v>#REF!</v>
      </c>
      <c r="V104" s="2" t="s">
        <v>836</v>
      </c>
      <c r="W104" s="7">
        <v>862.08</v>
      </c>
      <c r="X104" s="7">
        <v>1952.83</v>
      </c>
      <c r="Y104" s="7">
        <f t="shared" si="18"/>
        <v>1952.83</v>
      </c>
      <c r="Z104" s="7" t="str">
        <f t="shared" si="19"/>
        <v>High</v>
      </c>
      <c r="AA104" s="13">
        <v>0</v>
      </c>
      <c r="AB104" s="13">
        <f t="shared" si="20"/>
        <v>0</v>
      </c>
      <c r="AC104" s="13" t="str">
        <f t="shared" si="21"/>
        <v>OK</v>
      </c>
      <c r="AD104" s="7">
        <v>7</v>
      </c>
      <c r="AE104" s="7">
        <f>Y104*AD104*(1-AB104)</f>
        <v>13669.81</v>
      </c>
      <c r="AF104" s="7">
        <f>W104*AD104</f>
        <v>6034.56</v>
      </c>
      <c r="AG104" s="7">
        <f t="shared" si="22"/>
        <v>7635.2499999999991</v>
      </c>
      <c r="AH104" s="13">
        <f t="shared" si="23"/>
        <v>0.5585483631447693</v>
      </c>
    </row>
    <row r="105" spans="1:34" x14ac:dyDescent="0.35">
      <c r="A105" s="2" t="s">
        <v>118</v>
      </c>
      <c r="B105" s="5">
        <v>45631</v>
      </c>
      <c r="C105" s="5">
        <f>IF(H105&lt;B105,H105,B105)</f>
        <v>45631</v>
      </c>
      <c r="D105" s="5" t="str">
        <f t="shared" si="12"/>
        <v>Dec-2024</v>
      </c>
      <c r="E105" s="5" t="str">
        <f t="shared" si="13"/>
        <v>Dec</v>
      </c>
      <c r="F105" s="5" t="str">
        <f t="shared" si="14"/>
        <v>2024</v>
      </c>
      <c r="G105" s="5" t="str">
        <f t="shared" si="15"/>
        <v>Q4-2024</v>
      </c>
      <c r="H105" s="5">
        <v>45654</v>
      </c>
      <c r="I105" s="5">
        <f>IF(H105&lt;B105, B105+7, H105)</f>
        <v>45654</v>
      </c>
      <c r="J105" s="5" t="str">
        <f>IF(H105&lt;B105, "Invalid","Okay")</f>
        <v>Okay</v>
      </c>
      <c r="K105" s="16">
        <f>I105-C105</f>
        <v>23</v>
      </c>
      <c r="L105" s="16" t="str">
        <f t="shared" si="16"/>
        <v>Target Not Met</v>
      </c>
      <c r="M105" s="2" t="s">
        <v>648</v>
      </c>
      <c r="N105" s="2" t="s">
        <v>653</v>
      </c>
      <c r="O105" s="2" t="s">
        <v>688</v>
      </c>
      <c r="P105" s="29" t="str">
        <f t="shared" si="17"/>
        <v>Americas→Canada→Vancouver</v>
      </c>
      <c r="Q105" s="2" t="s">
        <v>701</v>
      </c>
      <c r="R105" s="2" t="s">
        <v>711</v>
      </c>
      <c r="S105" s="2" t="s">
        <v>721</v>
      </c>
      <c r="T105" s="2" t="s">
        <v>733</v>
      </c>
      <c r="U105" t="e">
        <f>(AE105/#REF!)*100</f>
        <v>#REF!</v>
      </c>
      <c r="V105" s="2" t="s">
        <v>837</v>
      </c>
      <c r="W105" s="7">
        <v>107.03</v>
      </c>
      <c r="X105" s="7">
        <v>242.29</v>
      </c>
      <c r="Y105" s="7">
        <f t="shared" si="18"/>
        <v>242.29</v>
      </c>
      <c r="Z105" s="7" t="str">
        <f t="shared" si="19"/>
        <v>Low</v>
      </c>
      <c r="AA105" s="13">
        <v>0.18</v>
      </c>
      <c r="AB105" s="13">
        <f t="shared" si="20"/>
        <v>0.18</v>
      </c>
      <c r="AC105" s="13" t="str">
        <f t="shared" si="21"/>
        <v>OK</v>
      </c>
      <c r="AD105" s="7">
        <v>30</v>
      </c>
      <c r="AE105" s="7">
        <f>Y105*AD105*(1-AB105)</f>
        <v>5960.3340000000007</v>
      </c>
      <c r="AF105" s="7">
        <f>W105*AD105</f>
        <v>3210.9</v>
      </c>
      <c r="AG105" s="7">
        <f t="shared" si="22"/>
        <v>2749.4340000000007</v>
      </c>
      <c r="AH105" s="13">
        <f t="shared" si="23"/>
        <v>0.46128857879440988</v>
      </c>
    </row>
    <row r="106" spans="1:34" x14ac:dyDescent="0.35">
      <c r="A106" s="2" t="s">
        <v>119</v>
      </c>
      <c r="B106" s="5">
        <v>45549</v>
      </c>
      <c r="C106" s="5">
        <f>IF(H106&lt;B106,H106,B106)</f>
        <v>45549</v>
      </c>
      <c r="D106" s="5" t="str">
        <f t="shared" si="12"/>
        <v>Sep-2024</v>
      </c>
      <c r="E106" s="5" t="str">
        <f t="shared" si="13"/>
        <v>Sep</v>
      </c>
      <c r="F106" s="5" t="str">
        <f t="shared" si="14"/>
        <v>2024</v>
      </c>
      <c r="G106" s="5" t="str">
        <f t="shared" si="15"/>
        <v>Q3-2024</v>
      </c>
      <c r="H106" s="5">
        <v>45570</v>
      </c>
      <c r="I106" s="5">
        <f>IF(H106&lt;B106, B106+7, H106)</f>
        <v>45570</v>
      </c>
      <c r="J106" s="5" t="str">
        <f>IF(H106&lt;B106, "Invalid","Okay")</f>
        <v>Okay</v>
      </c>
      <c r="K106" s="16">
        <f>I106-C106</f>
        <v>21</v>
      </c>
      <c r="L106" s="16" t="str">
        <f t="shared" si="16"/>
        <v>Target Not Met</v>
      </c>
      <c r="M106" s="2" t="s">
        <v>647</v>
      </c>
      <c r="N106" s="2" t="s">
        <v>659</v>
      </c>
      <c r="O106" s="2" t="s">
        <v>685</v>
      </c>
      <c r="P106" s="29" t="str">
        <f t="shared" si="17"/>
        <v>Asia→China→Shanghai</v>
      </c>
      <c r="Q106" s="2" t="s">
        <v>705</v>
      </c>
      <c r="R106" s="2" t="s">
        <v>708</v>
      </c>
      <c r="S106" s="2" t="s">
        <v>722</v>
      </c>
      <c r="T106" s="2" t="s">
        <v>731</v>
      </c>
      <c r="U106" t="e">
        <f>(AE106/#REF!)*100</f>
        <v>#REF!</v>
      </c>
      <c r="V106" s="2" t="s">
        <v>838</v>
      </c>
      <c r="W106" s="7">
        <v>1405.56</v>
      </c>
      <c r="X106" s="7">
        <v>2968.87</v>
      </c>
      <c r="Y106" s="7">
        <f t="shared" si="18"/>
        <v>2968.87</v>
      </c>
      <c r="Z106" s="7" t="str">
        <f t="shared" si="19"/>
        <v>High</v>
      </c>
      <c r="AA106" s="13">
        <v>0.16900000000000001</v>
      </c>
      <c r="AB106" s="13">
        <f t="shared" si="20"/>
        <v>0.16900000000000001</v>
      </c>
      <c r="AC106" s="13" t="str">
        <f t="shared" si="21"/>
        <v>OK</v>
      </c>
      <c r="AD106" s="7">
        <v>5</v>
      </c>
      <c r="AE106" s="7">
        <f>Y106*AD106*(1-AB106)</f>
        <v>12335.654849999999</v>
      </c>
      <c r="AF106" s="7">
        <f>W106*AD106</f>
        <v>7027.7999999999993</v>
      </c>
      <c r="AG106" s="7">
        <f t="shared" si="22"/>
        <v>5307.8548499999997</v>
      </c>
      <c r="AH106" s="13">
        <f t="shared" si="23"/>
        <v>0.4302856163327235</v>
      </c>
    </row>
    <row r="107" spans="1:34" x14ac:dyDescent="0.35">
      <c r="A107" s="2" t="s">
        <v>120</v>
      </c>
      <c r="B107" s="5">
        <v>45433</v>
      </c>
      <c r="C107" s="5">
        <f>IF(H107&lt;B107,H107,B107)</f>
        <v>45433</v>
      </c>
      <c r="D107" s="5" t="str">
        <f t="shared" si="12"/>
        <v>May-2024</v>
      </c>
      <c r="E107" s="5" t="str">
        <f t="shared" si="13"/>
        <v>May</v>
      </c>
      <c r="F107" s="5" t="str">
        <f t="shared" si="14"/>
        <v>2024</v>
      </c>
      <c r="G107" s="5" t="str">
        <f t="shared" si="15"/>
        <v>Q2-2024</v>
      </c>
      <c r="H107" s="5">
        <v>45439</v>
      </c>
      <c r="I107" s="5">
        <f>IF(H107&lt;B107, B107+7, H107)</f>
        <v>45439</v>
      </c>
      <c r="J107" s="5" t="str">
        <f>IF(H107&lt;B107, "Invalid","Okay")</f>
        <v>Okay</v>
      </c>
      <c r="K107" s="16">
        <f>I107-C107</f>
        <v>6</v>
      </c>
      <c r="L107" s="16" t="str">
        <f t="shared" si="16"/>
        <v>Target Met</v>
      </c>
      <c r="M107" s="2" t="s">
        <v>646</v>
      </c>
      <c r="N107" s="2" t="s">
        <v>661</v>
      </c>
      <c r="O107" s="2" t="s">
        <v>682</v>
      </c>
      <c r="P107" s="29" t="str">
        <f t="shared" si="17"/>
        <v>Africa→South Africa→Johannesburg</v>
      </c>
      <c r="Q107" s="2" t="s">
        <v>703</v>
      </c>
      <c r="R107" s="2" t="s">
        <v>708</v>
      </c>
      <c r="S107" s="2" t="s">
        <v>724</v>
      </c>
      <c r="T107" s="2" t="s">
        <v>727</v>
      </c>
      <c r="U107" t="e">
        <f>(AE107/#REF!)*100</f>
        <v>#REF!</v>
      </c>
      <c r="V107" s="2" t="s">
        <v>839</v>
      </c>
      <c r="W107" s="7">
        <v>1157.51</v>
      </c>
      <c r="X107" s="7">
        <v>1394.3</v>
      </c>
      <c r="Y107" s="7">
        <f t="shared" si="18"/>
        <v>1394.3</v>
      </c>
      <c r="Z107" s="7" t="str">
        <f t="shared" si="19"/>
        <v>Medium</v>
      </c>
      <c r="AA107" s="13">
        <v>0.27800000000000002</v>
      </c>
      <c r="AB107" s="13">
        <f t="shared" si="20"/>
        <v>0.27800000000000002</v>
      </c>
      <c r="AC107" s="13" t="str">
        <f t="shared" si="21"/>
        <v>OK</v>
      </c>
      <c r="AD107" s="7">
        <v>12</v>
      </c>
      <c r="AE107" s="7">
        <f>Y107*AD107*(1-AB107)</f>
        <v>12080.215199999999</v>
      </c>
      <c r="AF107" s="7">
        <f>W107*AD107</f>
        <v>13890.119999999999</v>
      </c>
      <c r="AG107" s="7">
        <f t="shared" si="22"/>
        <v>-1809.9048000000003</v>
      </c>
      <c r="AH107" s="13">
        <f t="shared" si="23"/>
        <v>-0.14982388724333326</v>
      </c>
    </row>
    <row r="108" spans="1:34" x14ac:dyDescent="0.35">
      <c r="A108" s="2" t="s">
        <v>121</v>
      </c>
      <c r="B108" s="5">
        <v>45057</v>
      </c>
      <c r="C108" s="5">
        <f>IF(H108&lt;B108,H108,B108)</f>
        <v>45057</v>
      </c>
      <c r="D108" s="5" t="str">
        <f t="shared" si="12"/>
        <v>May-2023</v>
      </c>
      <c r="E108" s="5" t="str">
        <f t="shared" si="13"/>
        <v>May</v>
      </c>
      <c r="F108" s="5" t="str">
        <f t="shared" si="14"/>
        <v>2023</v>
      </c>
      <c r="G108" s="5" t="str">
        <f t="shared" si="15"/>
        <v>Q2-2023</v>
      </c>
      <c r="H108" s="5">
        <v>45084</v>
      </c>
      <c r="I108" s="5">
        <f>IF(H108&lt;B108, B108+7, H108)</f>
        <v>45084</v>
      </c>
      <c r="J108" s="5" t="str">
        <f>IF(H108&lt;B108, "Invalid","Okay")</f>
        <v>Okay</v>
      </c>
      <c r="K108" s="16">
        <f>I108-C108</f>
        <v>27</v>
      </c>
      <c r="L108" s="16" t="str">
        <f t="shared" si="16"/>
        <v>Target Not Met</v>
      </c>
      <c r="M108" s="2" t="s">
        <v>646</v>
      </c>
      <c r="N108" s="2" t="s">
        <v>650</v>
      </c>
      <c r="O108" s="2" t="s">
        <v>675</v>
      </c>
      <c r="P108" s="29" t="str">
        <f t="shared" si="17"/>
        <v>Africa→Kenya→Mombasa</v>
      </c>
      <c r="Q108" s="2" t="s">
        <v>701</v>
      </c>
      <c r="R108" s="2" t="s">
        <v>708</v>
      </c>
      <c r="S108" s="2" t="s">
        <v>713</v>
      </c>
      <c r="T108" s="2" t="s">
        <v>730</v>
      </c>
      <c r="U108" t="e">
        <f>(AE108/#REF!)*100</f>
        <v>#REF!</v>
      </c>
      <c r="V108" s="2" t="s">
        <v>840</v>
      </c>
      <c r="W108" s="7">
        <v>12.85</v>
      </c>
      <c r="X108" s="7">
        <v>15.41</v>
      </c>
      <c r="Y108" s="7">
        <f t="shared" si="18"/>
        <v>15.41</v>
      </c>
      <c r="Z108" s="7" t="str">
        <f t="shared" si="19"/>
        <v>Low</v>
      </c>
      <c r="AA108" s="13">
        <v>0.13700000000000001</v>
      </c>
      <c r="AB108" s="13">
        <f t="shared" si="20"/>
        <v>0.13700000000000001</v>
      </c>
      <c r="AC108" s="13" t="str">
        <f t="shared" si="21"/>
        <v>OK</v>
      </c>
      <c r="AD108" s="7">
        <v>39</v>
      </c>
      <c r="AE108" s="7">
        <f>Y108*AD108*(1-AB108)</f>
        <v>518.65436999999997</v>
      </c>
      <c r="AF108" s="7">
        <f>W108*AD108</f>
        <v>501.15</v>
      </c>
      <c r="AG108" s="7">
        <f t="shared" si="22"/>
        <v>17.504369999999994</v>
      </c>
      <c r="AH108" s="13">
        <f t="shared" si="23"/>
        <v>3.3749585489851353E-2</v>
      </c>
    </row>
    <row r="109" spans="1:34" x14ac:dyDescent="0.35">
      <c r="A109" s="2" t="s">
        <v>122</v>
      </c>
      <c r="B109" s="5">
        <v>45518</v>
      </c>
      <c r="C109" s="5">
        <f>IF(H109&lt;B109,H109,B109)</f>
        <v>45518</v>
      </c>
      <c r="D109" s="5" t="str">
        <f t="shared" si="12"/>
        <v>Aug-2024</v>
      </c>
      <c r="E109" s="5" t="str">
        <f t="shared" si="13"/>
        <v>Aug</v>
      </c>
      <c r="F109" s="5" t="str">
        <f t="shared" si="14"/>
        <v>2024</v>
      </c>
      <c r="G109" s="5" t="str">
        <f t="shared" si="15"/>
        <v>Q3-2024</v>
      </c>
      <c r="H109" s="5">
        <v>45539</v>
      </c>
      <c r="I109" s="5">
        <f>IF(H109&lt;B109, B109+7, H109)</f>
        <v>45539</v>
      </c>
      <c r="J109" s="5" t="str">
        <f>IF(H109&lt;B109, "Invalid","Okay")</f>
        <v>Okay</v>
      </c>
      <c r="K109" s="16">
        <f>I109-C109</f>
        <v>21</v>
      </c>
      <c r="L109" s="16" t="str">
        <f t="shared" si="16"/>
        <v>Target Not Met</v>
      </c>
      <c r="M109" s="2" t="s">
        <v>649</v>
      </c>
      <c r="N109" s="2" t="s">
        <v>658</v>
      </c>
      <c r="O109" s="2" t="s">
        <v>693</v>
      </c>
      <c r="P109" s="29" t="str">
        <f t="shared" si="17"/>
        <v>Europe→United Kingdom→Manchester</v>
      </c>
      <c r="Q109" s="2" t="s">
        <v>703</v>
      </c>
      <c r="R109" s="2" t="s">
        <v>708</v>
      </c>
      <c r="S109" s="2" t="s">
        <v>713</v>
      </c>
      <c r="T109" s="2" t="s">
        <v>730</v>
      </c>
      <c r="U109" t="e">
        <f>(AE109/#REF!)*100</f>
        <v>#REF!</v>
      </c>
      <c r="V109" s="2" t="s">
        <v>841</v>
      </c>
      <c r="W109" s="7">
        <v>1138.8</v>
      </c>
      <c r="X109" s="7">
        <v>2250.81</v>
      </c>
      <c r="Y109" s="7">
        <f t="shared" si="18"/>
        <v>2250.81</v>
      </c>
      <c r="Z109" s="7" t="str">
        <f t="shared" si="19"/>
        <v>High</v>
      </c>
      <c r="AA109" s="13">
        <v>0.123</v>
      </c>
      <c r="AB109" s="13">
        <f t="shared" si="20"/>
        <v>0.123</v>
      </c>
      <c r="AC109" s="13" t="str">
        <f t="shared" si="21"/>
        <v>OK</v>
      </c>
      <c r="AD109" s="7">
        <v>12</v>
      </c>
      <c r="AE109" s="7">
        <f>Y109*AD109*(1-AB109)</f>
        <v>23687.524440000001</v>
      </c>
      <c r="AF109" s="7">
        <f>W109*AD109</f>
        <v>13665.599999999999</v>
      </c>
      <c r="AG109" s="7">
        <f t="shared" si="22"/>
        <v>10021.924440000003</v>
      </c>
      <c r="AH109" s="13">
        <f t="shared" si="23"/>
        <v>0.42308872188756258</v>
      </c>
    </row>
    <row r="110" spans="1:34" x14ac:dyDescent="0.35">
      <c r="A110" s="2" t="s">
        <v>123</v>
      </c>
      <c r="B110" s="5">
        <v>45581</v>
      </c>
      <c r="C110" s="5">
        <f>IF(H110&lt;B110,H110,B110)</f>
        <v>45581</v>
      </c>
      <c r="D110" s="5" t="str">
        <f t="shared" si="12"/>
        <v>Oct-2024</v>
      </c>
      <c r="E110" s="5" t="str">
        <f t="shared" si="13"/>
        <v>Oct</v>
      </c>
      <c r="F110" s="5" t="str">
        <f t="shared" si="14"/>
        <v>2024</v>
      </c>
      <c r="G110" s="5" t="str">
        <f t="shared" si="15"/>
        <v>Q4-2024</v>
      </c>
      <c r="H110" s="5">
        <v>45604</v>
      </c>
      <c r="I110" s="5">
        <f>IF(H110&lt;B110, B110+7, H110)</f>
        <v>45604</v>
      </c>
      <c r="J110" s="5" t="str">
        <f>IF(H110&lt;B110, "Invalid","Okay")</f>
        <v>Okay</v>
      </c>
      <c r="K110" s="16">
        <f>I110-C110</f>
        <v>23</v>
      </c>
      <c r="L110" s="16" t="str">
        <f t="shared" si="16"/>
        <v>Target Not Met</v>
      </c>
      <c r="M110" s="2" t="s">
        <v>647</v>
      </c>
      <c r="N110" s="2" t="s">
        <v>652</v>
      </c>
      <c r="O110" s="2" t="s">
        <v>666</v>
      </c>
      <c r="P110" s="29" t="str">
        <f t="shared" si="17"/>
        <v>Asia→Japan→Osaka</v>
      </c>
      <c r="Q110" s="2" t="s">
        <v>705</v>
      </c>
      <c r="R110" s="2" t="s">
        <v>707</v>
      </c>
      <c r="S110" s="2" t="s">
        <v>713</v>
      </c>
      <c r="T110" s="2" t="s">
        <v>729</v>
      </c>
      <c r="U110" t="e">
        <f>(AE110/#REF!)*100</f>
        <v>#REF!</v>
      </c>
      <c r="V110" s="2" t="s">
        <v>842</v>
      </c>
      <c r="W110" s="7">
        <v>82.14</v>
      </c>
      <c r="X110" s="7">
        <v>166.04</v>
      </c>
      <c r="Y110" s="7">
        <f t="shared" si="18"/>
        <v>166.04</v>
      </c>
      <c r="Z110" s="7" t="str">
        <f t="shared" si="19"/>
        <v>Low</v>
      </c>
      <c r="AA110" s="13">
        <v>0</v>
      </c>
      <c r="AB110" s="13">
        <f t="shared" si="20"/>
        <v>0</v>
      </c>
      <c r="AC110" s="13" t="str">
        <f t="shared" si="21"/>
        <v>OK</v>
      </c>
      <c r="AD110" s="7">
        <v>10</v>
      </c>
      <c r="AE110" s="7">
        <f>Y110*AD110*(1-AB110)</f>
        <v>1660.3999999999999</v>
      </c>
      <c r="AF110" s="7">
        <f>W110*AD110</f>
        <v>821.4</v>
      </c>
      <c r="AG110" s="7">
        <f t="shared" si="22"/>
        <v>838.99999999999989</v>
      </c>
      <c r="AH110" s="13">
        <f t="shared" si="23"/>
        <v>0.50529992772825827</v>
      </c>
    </row>
    <row r="111" spans="1:34" x14ac:dyDescent="0.35">
      <c r="A111" s="2" t="s">
        <v>124</v>
      </c>
      <c r="B111" s="5">
        <v>45445</v>
      </c>
      <c r="C111" s="5">
        <f>IF(H111&lt;B111,H111,B111)</f>
        <v>45445</v>
      </c>
      <c r="D111" s="5" t="str">
        <f t="shared" si="12"/>
        <v>Jun-2024</v>
      </c>
      <c r="E111" s="5" t="str">
        <f t="shared" si="13"/>
        <v>Jun</v>
      </c>
      <c r="F111" s="5" t="str">
        <f t="shared" si="14"/>
        <v>2024</v>
      </c>
      <c r="G111" s="5" t="str">
        <f t="shared" si="15"/>
        <v>Q2-2024</v>
      </c>
      <c r="H111" s="5">
        <v>45451</v>
      </c>
      <c r="I111" s="5">
        <f>IF(H111&lt;B111, B111+7, H111)</f>
        <v>45451</v>
      </c>
      <c r="J111" s="5" t="str">
        <f>IF(H111&lt;B111, "Invalid","Okay")</f>
        <v>Okay</v>
      </c>
      <c r="K111" s="16">
        <f>I111-C111</f>
        <v>6</v>
      </c>
      <c r="L111" s="16" t="str">
        <f t="shared" si="16"/>
        <v>Target Met</v>
      </c>
      <c r="M111" s="2" t="s">
        <v>646</v>
      </c>
      <c r="N111" s="2" t="s">
        <v>650</v>
      </c>
      <c r="O111" s="2" t="s">
        <v>662</v>
      </c>
      <c r="P111" s="29" t="str">
        <f t="shared" si="17"/>
        <v>Africa→Kenya→Kisumu</v>
      </c>
      <c r="Q111" s="2" t="s">
        <v>704</v>
      </c>
      <c r="R111" s="2" t="s">
        <v>709</v>
      </c>
      <c r="S111" s="2" t="s">
        <v>720</v>
      </c>
      <c r="T111" s="2" t="s">
        <v>733</v>
      </c>
      <c r="U111" t="e">
        <f>(AE111/#REF!)*100</f>
        <v>#REF!</v>
      </c>
      <c r="V111" s="2" t="s">
        <v>843</v>
      </c>
      <c r="W111" s="7">
        <v>292.94</v>
      </c>
      <c r="X111" s="7">
        <v>356.55</v>
      </c>
      <c r="Y111" s="7">
        <f t="shared" si="18"/>
        <v>356.55</v>
      </c>
      <c r="Z111" s="7" t="str">
        <f t="shared" si="19"/>
        <v>Low</v>
      </c>
      <c r="AA111" s="13">
        <v>0.22900000000000001</v>
      </c>
      <c r="AB111" s="13">
        <f t="shared" si="20"/>
        <v>0.22900000000000001</v>
      </c>
      <c r="AC111" s="13" t="str">
        <f t="shared" si="21"/>
        <v>OK</v>
      </c>
      <c r="AD111" s="7">
        <v>2</v>
      </c>
      <c r="AE111" s="7">
        <f>Y111*AD111*(1-AB111)</f>
        <v>549.80010000000004</v>
      </c>
      <c r="AF111" s="7">
        <f>W111*AD111</f>
        <v>585.88</v>
      </c>
      <c r="AG111" s="7">
        <f t="shared" si="22"/>
        <v>-36.079899999999952</v>
      </c>
      <c r="AH111" s="13">
        <f t="shared" si="23"/>
        <v>-6.5623669402751925E-2</v>
      </c>
    </row>
    <row r="112" spans="1:34" x14ac:dyDescent="0.35">
      <c r="A112" s="2" t="s">
        <v>125</v>
      </c>
      <c r="B112" s="5">
        <v>45452</v>
      </c>
      <c r="C112" s="5">
        <f>IF(H112&lt;B112,H112,B112)</f>
        <v>45452</v>
      </c>
      <c r="D112" s="5" t="str">
        <f t="shared" si="12"/>
        <v>Jun-2024</v>
      </c>
      <c r="E112" s="5" t="str">
        <f t="shared" si="13"/>
        <v>Jun</v>
      </c>
      <c r="F112" s="5" t="str">
        <f t="shared" si="14"/>
        <v>2024</v>
      </c>
      <c r="G112" s="5" t="str">
        <f t="shared" si="15"/>
        <v>Q2-2024</v>
      </c>
      <c r="H112" s="5">
        <v>45480</v>
      </c>
      <c r="I112" s="5">
        <f>IF(H112&lt;B112, B112+7, H112)</f>
        <v>45480</v>
      </c>
      <c r="J112" s="5" t="str">
        <f>IF(H112&lt;B112, "Invalid","Okay")</f>
        <v>Okay</v>
      </c>
      <c r="K112" s="16">
        <f>I112-C112</f>
        <v>28</v>
      </c>
      <c r="L112" s="16" t="str">
        <f t="shared" si="16"/>
        <v>Target Not Met</v>
      </c>
      <c r="M112" s="2" t="s">
        <v>647</v>
      </c>
      <c r="N112" s="2" t="s">
        <v>659</v>
      </c>
      <c r="O112" s="2" t="s">
        <v>676</v>
      </c>
      <c r="P112" s="29" t="str">
        <f t="shared" si="17"/>
        <v>Asia→China→Shenzhen</v>
      </c>
      <c r="Q112" s="2" t="s">
        <v>701</v>
      </c>
      <c r="R112" s="2" t="s">
        <v>708</v>
      </c>
      <c r="S112" s="2" t="s">
        <v>713</v>
      </c>
      <c r="T112" s="2" t="s">
        <v>727</v>
      </c>
      <c r="U112" t="e">
        <f>(AE112/#REF!)*100</f>
        <v>#REF!</v>
      </c>
      <c r="V112" s="2" t="s">
        <v>844</v>
      </c>
      <c r="W112" s="7">
        <v>550.22</v>
      </c>
      <c r="X112" s="7">
        <v>1025.05</v>
      </c>
      <c r="Y112" s="7">
        <f t="shared" si="18"/>
        <v>1025.05</v>
      </c>
      <c r="Z112" s="7" t="str">
        <f t="shared" si="19"/>
        <v>Low</v>
      </c>
      <c r="AA112" s="13">
        <v>0</v>
      </c>
      <c r="AB112" s="13">
        <f t="shared" si="20"/>
        <v>0</v>
      </c>
      <c r="AC112" s="13" t="str">
        <f t="shared" si="21"/>
        <v>OK</v>
      </c>
      <c r="AD112" s="7">
        <v>27</v>
      </c>
      <c r="AE112" s="7">
        <f>Y112*AD112*(1-AB112)</f>
        <v>27676.35</v>
      </c>
      <c r="AF112" s="7">
        <f>W112*AD112</f>
        <v>14855.94</v>
      </c>
      <c r="AG112" s="7">
        <f t="shared" si="22"/>
        <v>12820.409999999998</v>
      </c>
      <c r="AH112" s="13">
        <f t="shared" si="23"/>
        <v>0.46322618408858102</v>
      </c>
    </row>
    <row r="113" spans="1:34" x14ac:dyDescent="0.35">
      <c r="A113" s="2" t="s">
        <v>126</v>
      </c>
      <c r="B113" s="5">
        <v>45453</v>
      </c>
      <c r="C113" s="5">
        <f>IF(H113&lt;B113,H113,B113)</f>
        <v>45453</v>
      </c>
      <c r="D113" s="5" t="str">
        <f t="shared" si="12"/>
        <v>Jun-2024</v>
      </c>
      <c r="E113" s="5" t="str">
        <f t="shared" si="13"/>
        <v>Jun</v>
      </c>
      <c r="F113" s="5" t="str">
        <f t="shared" si="14"/>
        <v>2024</v>
      </c>
      <c r="G113" s="5" t="str">
        <f t="shared" si="15"/>
        <v>Q2-2024</v>
      </c>
      <c r="H113" s="5">
        <v>45454</v>
      </c>
      <c r="I113" s="5">
        <f>IF(H113&lt;B113, B113+7, H113)</f>
        <v>45454</v>
      </c>
      <c r="J113" s="5" t="str">
        <f>IF(H113&lt;B113, "Invalid","Okay")</f>
        <v>Okay</v>
      </c>
      <c r="K113" s="16">
        <f>I113-C113</f>
        <v>1</v>
      </c>
      <c r="L113" s="16" t="str">
        <f t="shared" si="16"/>
        <v>Target Met</v>
      </c>
      <c r="M113" s="2" t="s">
        <v>649</v>
      </c>
      <c r="N113" s="2" t="s">
        <v>658</v>
      </c>
      <c r="O113" s="2" t="s">
        <v>674</v>
      </c>
      <c r="P113" s="29" t="str">
        <f t="shared" si="17"/>
        <v>Europe→United Kingdom→Birmingham</v>
      </c>
      <c r="Q113" s="2" t="s">
        <v>705</v>
      </c>
      <c r="R113" s="2" t="s">
        <v>709</v>
      </c>
      <c r="S113" s="2" t="s">
        <v>724</v>
      </c>
      <c r="T113" s="2" t="s">
        <v>731</v>
      </c>
      <c r="U113" t="e">
        <f>(AE113/#REF!)*100</f>
        <v>#REF!</v>
      </c>
      <c r="V113" s="2" t="s">
        <v>845</v>
      </c>
      <c r="W113" s="7">
        <v>1187.1300000000001</v>
      </c>
      <c r="X113" s="7">
        <v>1795.17</v>
      </c>
      <c r="Y113" s="7">
        <f t="shared" si="18"/>
        <v>1795.17</v>
      </c>
      <c r="Z113" s="7" t="str">
        <f t="shared" si="19"/>
        <v>Medium</v>
      </c>
      <c r="AA113" s="13">
        <v>1.2E-2</v>
      </c>
      <c r="AB113" s="13">
        <f t="shared" si="20"/>
        <v>1.2E-2</v>
      </c>
      <c r="AC113" s="13" t="str">
        <f t="shared" si="21"/>
        <v>OK</v>
      </c>
      <c r="AD113" s="7">
        <v>17</v>
      </c>
      <c r="AE113" s="7">
        <f>Y113*AD113*(1-AB113)</f>
        <v>30151.675319999998</v>
      </c>
      <c r="AF113" s="7">
        <f>W113*AD113</f>
        <v>20181.210000000003</v>
      </c>
      <c r="AG113" s="7">
        <f t="shared" si="22"/>
        <v>9970.4653199999957</v>
      </c>
      <c r="AH113" s="13">
        <f t="shared" si="23"/>
        <v>0.33067699271046663</v>
      </c>
    </row>
    <row r="114" spans="1:34" x14ac:dyDescent="0.35">
      <c r="A114" s="2" t="s">
        <v>127</v>
      </c>
      <c r="B114" s="5">
        <v>45472</v>
      </c>
      <c r="C114" s="5">
        <f>IF(H114&lt;B114,H114,B114)</f>
        <v>45472</v>
      </c>
      <c r="D114" s="5" t="str">
        <f t="shared" si="12"/>
        <v>Jun-2024</v>
      </c>
      <c r="E114" s="5" t="str">
        <f t="shared" si="13"/>
        <v>Jun</v>
      </c>
      <c r="F114" s="5" t="str">
        <f t="shared" si="14"/>
        <v>2024</v>
      </c>
      <c r="G114" s="5" t="str">
        <f t="shared" si="15"/>
        <v>Q2-2024</v>
      </c>
      <c r="H114" s="5">
        <v>45499</v>
      </c>
      <c r="I114" s="5">
        <f>IF(H114&lt;B114, B114+7, H114)</f>
        <v>45499</v>
      </c>
      <c r="J114" s="5" t="str">
        <f>IF(H114&lt;B114, "Invalid","Okay")</f>
        <v>Okay</v>
      </c>
      <c r="K114" s="16">
        <f>I114-C114</f>
        <v>27</v>
      </c>
      <c r="L114" s="16" t="str">
        <f t="shared" si="16"/>
        <v>Target Not Met</v>
      </c>
      <c r="M114" s="2" t="s">
        <v>646</v>
      </c>
      <c r="N114" s="2" t="s">
        <v>661</v>
      </c>
      <c r="O114" s="2" t="s">
        <v>687</v>
      </c>
      <c r="P114" s="29" t="str">
        <f t="shared" si="17"/>
        <v>Africa→South Africa→Durban</v>
      </c>
      <c r="Q114" s="2" t="s">
        <v>706</v>
      </c>
      <c r="R114" s="2" t="s">
        <v>710</v>
      </c>
      <c r="S114" s="2" t="s">
        <v>717</v>
      </c>
      <c r="T114" s="2" t="s">
        <v>729</v>
      </c>
      <c r="U114" t="e">
        <f>(AE114/#REF!)*100</f>
        <v>#REF!</v>
      </c>
      <c r="V114" s="2" t="s">
        <v>846</v>
      </c>
      <c r="W114" s="7">
        <v>5.36</v>
      </c>
      <c r="X114" s="7">
        <v>4.37</v>
      </c>
      <c r="Y114" s="7">
        <f t="shared" si="18"/>
        <v>4.37</v>
      </c>
      <c r="Z114" s="7" t="str">
        <f t="shared" si="19"/>
        <v>Low</v>
      </c>
      <c r="AA114" s="13">
        <v>0.11799999999999999</v>
      </c>
      <c r="AB114" s="13">
        <f t="shared" si="20"/>
        <v>0.11799999999999999</v>
      </c>
      <c r="AC114" s="13" t="str">
        <f t="shared" si="21"/>
        <v>OK</v>
      </c>
      <c r="AD114" s="7">
        <v>9</v>
      </c>
      <c r="AE114" s="7">
        <f>Y114*AD114*(1-AB114)</f>
        <v>34.689059999999998</v>
      </c>
      <c r="AF114" s="7">
        <f>W114*AD114</f>
        <v>48.24</v>
      </c>
      <c r="AG114" s="7">
        <f t="shared" si="22"/>
        <v>-13.550940000000004</v>
      </c>
      <c r="AH114" s="13">
        <f t="shared" si="23"/>
        <v>-0.39064016148030545</v>
      </c>
    </row>
    <row r="115" spans="1:34" x14ac:dyDescent="0.35">
      <c r="A115" s="2" t="s">
        <v>128</v>
      </c>
      <c r="B115" s="5">
        <v>45674</v>
      </c>
      <c r="C115" s="5">
        <f>IF(H115&lt;B115,H115,B115)</f>
        <v>45674</v>
      </c>
      <c r="D115" s="5" t="str">
        <f t="shared" si="12"/>
        <v>Jan-2025</v>
      </c>
      <c r="E115" s="5" t="str">
        <f t="shared" si="13"/>
        <v>Jan</v>
      </c>
      <c r="F115" s="5" t="str">
        <f t="shared" si="14"/>
        <v>2025</v>
      </c>
      <c r="G115" s="5" t="str">
        <f t="shared" si="15"/>
        <v>Q1-2025</v>
      </c>
      <c r="H115" s="5">
        <v>45681</v>
      </c>
      <c r="I115" s="5">
        <f>IF(H115&lt;B115, B115+7, H115)</f>
        <v>45681</v>
      </c>
      <c r="J115" s="5" t="str">
        <f>IF(H115&lt;B115, "Invalid","Okay")</f>
        <v>Okay</v>
      </c>
      <c r="K115" s="16">
        <f>I115-C115</f>
        <v>7</v>
      </c>
      <c r="L115" s="16" t="str">
        <f t="shared" si="16"/>
        <v>Target Met</v>
      </c>
      <c r="M115" s="2" t="s">
        <v>648</v>
      </c>
      <c r="N115" s="2" t="s">
        <v>660</v>
      </c>
      <c r="O115" s="2" t="s">
        <v>697</v>
      </c>
      <c r="P115" s="29" t="str">
        <f t="shared" si="17"/>
        <v>Americas→USA→Austin</v>
      </c>
      <c r="Q115" s="2" t="s">
        <v>706</v>
      </c>
      <c r="R115" s="2" t="s">
        <v>708</v>
      </c>
      <c r="S115" s="2" t="s">
        <v>715</v>
      </c>
      <c r="T115" s="2" t="s">
        <v>733</v>
      </c>
      <c r="U115" t="e">
        <f>(AE115/#REF!)*100</f>
        <v>#REF!</v>
      </c>
      <c r="V115" s="2" t="s">
        <v>847</v>
      </c>
      <c r="W115" s="7">
        <v>142.09</v>
      </c>
      <c r="X115" s="7">
        <v>218.5</v>
      </c>
      <c r="Y115" s="7">
        <f t="shared" si="18"/>
        <v>218.5</v>
      </c>
      <c r="Z115" s="7" t="str">
        <f t="shared" si="19"/>
        <v>Low</v>
      </c>
      <c r="AA115" s="13">
        <v>0.11899999999999999</v>
      </c>
      <c r="AB115" s="13">
        <f t="shared" si="20"/>
        <v>0.11899999999999999</v>
      </c>
      <c r="AC115" s="13" t="str">
        <f t="shared" si="21"/>
        <v>OK</v>
      </c>
      <c r="AD115" s="7">
        <v>11</v>
      </c>
      <c r="AE115" s="7">
        <f>Y115*AD115*(1-AB115)</f>
        <v>2117.4834999999998</v>
      </c>
      <c r="AF115" s="7">
        <f>W115*AD115</f>
        <v>1562.99</v>
      </c>
      <c r="AG115" s="7">
        <f t="shared" si="22"/>
        <v>554.49349999999981</v>
      </c>
      <c r="AH115" s="13">
        <f t="shared" si="23"/>
        <v>0.26186437816398561</v>
      </c>
    </row>
    <row r="116" spans="1:34" x14ac:dyDescent="0.35">
      <c r="A116" s="2" t="s">
        <v>129</v>
      </c>
      <c r="B116" s="5">
        <v>45250</v>
      </c>
      <c r="C116" s="5">
        <f>IF(H116&lt;B116,H116,B116)</f>
        <v>45250</v>
      </c>
      <c r="D116" s="5" t="str">
        <f t="shared" si="12"/>
        <v>Nov-2023</v>
      </c>
      <c r="E116" s="5" t="str">
        <f t="shared" si="13"/>
        <v>Nov</v>
      </c>
      <c r="F116" s="5" t="str">
        <f t="shared" si="14"/>
        <v>2023</v>
      </c>
      <c r="G116" s="5" t="str">
        <f t="shared" si="15"/>
        <v>Q4-2023</v>
      </c>
      <c r="H116" s="5">
        <v>45265</v>
      </c>
      <c r="I116" s="5">
        <f>IF(H116&lt;B116, B116+7, H116)</f>
        <v>45265</v>
      </c>
      <c r="J116" s="5" t="str">
        <f>IF(H116&lt;B116, "Invalid","Okay")</f>
        <v>Okay</v>
      </c>
      <c r="K116" s="16">
        <f>I116-C116</f>
        <v>15</v>
      </c>
      <c r="L116" s="16" t="str">
        <f t="shared" si="16"/>
        <v>Target Not Met</v>
      </c>
      <c r="M116" s="2" t="s">
        <v>647</v>
      </c>
      <c r="N116" s="2" t="s">
        <v>652</v>
      </c>
      <c r="O116" s="2" t="s">
        <v>689</v>
      </c>
      <c r="P116" s="29" t="str">
        <f t="shared" si="17"/>
        <v>Asia→Japan→Tokyo</v>
      </c>
      <c r="Q116" s="2" t="s">
        <v>706</v>
      </c>
      <c r="R116" s="2" t="s">
        <v>707</v>
      </c>
      <c r="S116" s="2" t="s">
        <v>716</v>
      </c>
      <c r="T116" s="2" t="s">
        <v>729</v>
      </c>
      <c r="U116" t="e">
        <f>(AE116/#REF!)*100</f>
        <v>#REF!</v>
      </c>
      <c r="V116" s="2" t="s">
        <v>848</v>
      </c>
      <c r="W116" s="7">
        <v>354.24</v>
      </c>
      <c r="X116" s="7">
        <v>249.87</v>
      </c>
      <c r="Y116" s="7">
        <f t="shared" si="18"/>
        <v>249.87</v>
      </c>
      <c r="Z116" s="7" t="str">
        <f t="shared" si="19"/>
        <v>Low</v>
      </c>
      <c r="AA116" s="13">
        <v>0</v>
      </c>
      <c r="AB116" s="13">
        <f t="shared" si="20"/>
        <v>0</v>
      </c>
      <c r="AC116" s="13" t="str">
        <f t="shared" si="21"/>
        <v>OK</v>
      </c>
      <c r="AD116" s="7">
        <v>6</v>
      </c>
      <c r="AE116" s="7">
        <f>Y116*AD116*(1-AB116)</f>
        <v>1499.22</v>
      </c>
      <c r="AF116" s="7">
        <f>W116*AD116</f>
        <v>2125.44</v>
      </c>
      <c r="AG116" s="7">
        <f t="shared" si="22"/>
        <v>-626.22</v>
      </c>
      <c r="AH116" s="13">
        <f t="shared" si="23"/>
        <v>-0.41769720254532355</v>
      </c>
    </row>
    <row r="117" spans="1:34" x14ac:dyDescent="0.35">
      <c r="A117" s="2" t="s">
        <v>130</v>
      </c>
      <c r="B117" s="5">
        <v>44987</v>
      </c>
      <c r="C117" s="5">
        <f>IF(H117&lt;B117,H117,B117)</f>
        <v>44987</v>
      </c>
      <c r="D117" s="5" t="str">
        <f t="shared" si="12"/>
        <v>Mar-2023</v>
      </c>
      <c r="E117" s="5" t="str">
        <f t="shared" si="13"/>
        <v>Mar</v>
      </c>
      <c r="F117" s="5" t="str">
        <f t="shared" si="14"/>
        <v>2023</v>
      </c>
      <c r="G117" s="5" t="str">
        <f t="shared" si="15"/>
        <v>Q1-2023</v>
      </c>
      <c r="H117" s="5">
        <v>44990</v>
      </c>
      <c r="I117" s="5">
        <f>IF(H117&lt;B117, B117+7, H117)</f>
        <v>44990</v>
      </c>
      <c r="J117" s="5" t="str">
        <f>IF(H117&lt;B117, "Invalid","Okay")</f>
        <v>Okay</v>
      </c>
      <c r="K117" s="16">
        <f>I117-C117</f>
        <v>3</v>
      </c>
      <c r="L117" s="16" t="str">
        <f t="shared" si="16"/>
        <v>Target Met</v>
      </c>
      <c r="M117" s="2" t="s">
        <v>648</v>
      </c>
      <c r="N117" s="2" t="s">
        <v>655</v>
      </c>
      <c r="O117" s="2" t="s">
        <v>672</v>
      </c>
      <c r="P117" s="29" t="str">
        <f t="shared" si="17"/>
        <v>Americas→Brazil→Brasília</v>
      </c>
      <c r="Q117" s="2" t="s">
        <v>706</v>
      </c>
      <c r="R117" s="2" t="s">
        <v>711</v>
      </c>
      <c r="S117" s="2" t="s">
        <v>715</v>
      </c>
      <c r="T117" s="2" t="s">
        <v>732</v>
      </c>
      <c r="U117" t="e">
        <f>(AE117/#REF!)*100</f>
        <v>#REF!</v>
      </c>
      <c r="V117" s="2" t="s">
        <v>849</v>
      </c>
      <c r="W117" s="7">
        <v>1473.58</v>
      </c>
      <c r="X117" s="7">
        <v>3436.52</v>
      </c>
      <c r="Y117" s="7">
        <f t="shared" si="18"/>
        <v>3436.52</v>
      </c>
      <c r="Z117" s="7" t="str">
        <f t="shared" si="19"/>
        <v>High</v>
      </c>
      <c r="AA117" s="13">
        <v>0.108</v>
      </c>
      <c r="AB117" s="13">
        <f t="shared" si="20"/>
        <v>0.108</v>
      </c>
      <c r="AC117" s="13" t="str">
        <f t="shared" si="21"/>
        <v>OK</v>
      </c>
      <c r="AD117" s="7">
        <v>8</v>
      </c>
      <c r="AE117" s="7">
        <f>Y117*AD117*(1-AB117)</f>
        <v>24523.006720000001</v>
      </c>
      <c r="AF117" s="7">
        <f>W117*AD117</f>
        <v>11788.64</v>
      </c>
      <c r="AG117" s="7">
        <f t="shared" si="22"/>
        <v>12734.366720000002</v>
      </c>
      <c r="AH117" s="13">
        <f t="shared" si="23"/>
        <v>0.51928243813652564</v>
      </c>
    </row>
    <row r="118" spans="1:34" x14ac:dyDescent="0.35">
      <c r="A118" s="2" t="s">
        <v>131</v>
      </c>
      <c r="B118" s="5">
        <v>45811</v>
      </c>
      <c r="C118" s="5">
        <f>IF(H118&lt;B118,H118,B118)</f>
        <v>45811</v>
      </c>
      <c r="D118" s="5" t="str">
        <f t="shared" si="12"/>
        <v>Jun-2025</v>
      </c>
      <c r="E118" s="5" t="str">
        <f t="shared" si="13"/>
        <v>Jun</v>
      </c>
      <c r="F118" s="5" t="str">
        <f t="shared" si="14"/>
        <v>2025</v>
      </c>
      <c r="G118" s="5" t="str">
        <f t="shared" si="15"/>
        <v>Q2-2025</v>
      </c>
      <c r="H118" s="5">
        <v>45818</v>
      </c>
      <c r="I118" s="5">
        <f>IF(H118&lt;B118, B118+7, H118)</f>
        <v>45818</v>
      </c>
      <c r="J118" s="5" t="str">
        <f>IF(H118&lt;B118, "Invalid","Okay")</f>
        <v>Okay</v>
      </c>
      <c r="K118" s="16">
        <f>I118-C118</f>
        <v>7</v>
      </c>
      <c r="L118" s="16" t="str">
        <f t="shared" si="16"/>
        <v>Target Met</v>
      </c>
      <c r="M118" s="2" t="s">
        <v>648</v>
      </c>
      <c r="N118" s="2" t="s">
        <v>653</v>
      </c>
      <c r="O118" s="2" t="s">
        <v>667</v>
      </c>
      <c r="P118" s="29" t="str">
        <f t="shared" si="17"/>
        <v>Americas→Canada→Toronto</v>
      </c>
      <c r="Q118" s="2" t="s">
        <v>704</v>
      </c>
      <c r="R118" s="2" t="s">
        <v>710</v>
      </c>
      <c r="S118" s="2" t="s">
        <v>719</v>
      </c>
      <c r="T118" s="2" t="s">
        <v>728</v>
      </c>
      <c r="U118" t="e">
        <f>(AE118/#REF!)*100</f>
        <v>#REF!</v>
      </c>
      <c r="V118" s="2" t="s">
        <v>850</v>
      </c>
      <c r="W118" s="7">
        <v>75.180000000000007</v>
      </c>
      <c r="X118" s="7">
        <v>53.45</v>
      </c>
      <c r="Y118" s="7">
        <f t="shared" si="18"/>
        <v>53.45</v>
      </c>
      <c r="Z118" s="7" t="str">
        <f t="shared" si="19"/>
        <v>Low</v>
      </c>
      <c r="AA118" s="13">
        <v>0.157</v>
      </c>
      <c r="AB118" s="13">
        <f t="shared" si="20"/>
        <v>0.157</v>
      </c>
      <c r="AC118" s="13" t="str">
        <f t="shared" si="21"/>
        <v>OK</v>
      </c>
      <c r="AD118" s="7">
        <v>17</v>
      </c>
      <c r="AE118" s="7">
        <f>Y118*AD118*(1-AB118)</f>
        <v>765.99195000000009</v>
      </c>
      <c r="AF118" s="7">
        <f>W118*AD118</f>
        <v>1278.0600000000002</v>
      </c>
      <c r="AG118" s="7">
        <f t="shared" si="22"/>
        <v>-512.06805000000008</v>
      </c>
      <c r="AH118" s="13">
        <f t="shared" si="23"/>
        <v>-0.66850317421743144</v>
      </c>
    </row>
    <row r="119" spans="1:34" x14ac:dyDescent="0.35">
      <c r="A119" s="2" t="s">
        <v>132</v>
      </c>
      <c r="B119" s="5">
        <v>45653</v>
      </c>
      <c r="C119" s="5">
        <f>IF(H119&lt;B119,H119,B119)</f>
        <v>45653</v>
      </c>
      <c r="D119" s="5" t="str">
        <f t="shared" si="12"/>
        <v>Dec-2024</v>
      </c>
      <c r="E119" s="5" t="str">
        <f t="shared" si="13"/>
        <v>Dec</v>
      </c>
      <c r="F119" s="5" t="str">
        <f t="shared" si="14"/>
        <v>2024</v>
      </c>
      <c r="G119" s="5" t="str">
        <f t="shared" si="15"/>
        <v>Q4-2024</v>
      </c>
      <c r="H119" s="5">
        <v>45659</v>
      </c>
      <c r="I119" s="5">
        <f>IF(H119&lt;B119, B119+7, H119)</f>
        <v>45659</v>
      </c>
      <c r="J119" s="5" t="str">
        <f>IF(H119&lt;B119, "Invalid","Okay")</f>
        <v>Okay</v>
      </c>
      <c r="K119" s="16">
        <f>I119-C119</f>
        <v>6</v>
      </c>
      <c r="L119" s="16" t="str">
        <f t="shared" si="16"/>
        <v>Target Met</v>
      </c>
      <c r="M119" s="2" t="s">
        <v>649</v>
      </c>
      <c r="N119" s="2" t="s">
        <v>656</v>
      </c>
      <c r="O119" s="2" t="s">
        <v>698</v>
      </c>
      <c r="P119" s="29" t="str">
        <f t="shared" si="17"/>
        <v>Europe→Germany→Frankfurt</v>
      </c>
      <c r="Q119" s="2" t="s">
        <v>702</v>
      </c>
      <c r="R119" s="2" t="s">
        <v>711</v>
      </c>
      <c r="S119" s="2" t="s">
        <v>721</v>
      </c>
      <c r="T119" s="2" t="s">
        <v>731</v>
      </c>
      <c r="U119" t="e">
        <f>(AE119/#REF!)*100</f>
        <v>#REF!</v>
      </c>
      <c r="V119" s="2" t="s">
        <v>851</v>
      </c>
      <c r="W119" s="7">
        <v>1391.99</v>
      </c>
      <c r="X119" s="7">
        <v>3469.7</v>
      </c>
      <c r="Y119" s="7">
        <f t="shared" si="18"/>
        <v>3469.7</v>
      </c>
      <c r="Z119" s="7" t="str">
        <f t="shared" si="19"/>
        <v>High</v>
      </c>
      <c r="AA119" s="13">
        <v>0.184</v>
      </c>
      <c r="AB119" s="13">
        <f t="shared" si="20"/>
        <v>0.184</v>
      </c>
      <c r="AC119" s="13" t="str">
        <f t="shared" si="21"/>
        <v>OK</v>
      </c>
      <c r="AD119" s="7">
        <v>23</v>
      </c>
      <c r="AE119" s="7">
        <f>Y119*AD119*(1-AB119)</f>
        <v>65119.329599999997</v>
      </c>
      <c r="AF119" s="7">
        <f>W119*AD119</f>
        <v>32015.77</v>
      </c>
      <c r="AG119" s="7">
        <f t="shared" si="22"/>
        <v>33103.559599999993</v>
      </c>
      <c r="AH119" s="13">
        <f t="shared" si="23"/>
        <v>0.50835227886006973</v>
      </c>
    </row>
    <row r="120" spans="1:34" x14ac:dyDescent="0.35">
      <c r="A120" s="2" t="s">
        <v>133</v>
      </c>
      <c r="B120" s="5">
        <v>45086</v>
      </c>
      <c r="C120" s="5">
        <f>IF(H120&lt;B120,H120,B120)</f>
        <v>45086</v>
      </c>
      <c r="D120" s="5" t="str">
        <f t="shared" si="12"/>
        <v>Jun-2023</v>
      </c>
      <c r="E120" s="5" t="str">
        <f t="shared" si="13"/>
        <v>Jun</v>
      </c>
      <c r="F120" s="5" t="str">
        <f t="shared" si="14"/>
        <v>2023</v>
      </c>
      <c r="G120" s="5" t="str">
        <f t="shared" si="15"/>
        <v>Q2-2023</v>
      </c>
      <c r="H120" s="5">
        <v>45096</v>
      </c>
      <c r="I120" s="5">
        <f>IF(H120&lt;B120, B120+7, H120)</f>
        <v>45096</v>
      </c>
      <c r="J120" s="5" t="str">
        <f>IF(H120&lt;B120, "Invalid","Okay")</f>
        <v>Okay</v>
      </c>
      <c r="K120" s="16">
        <f>I120-C120</f>
        <v>10</v>
      </c>
      <c r="L120" s="16" t="str">
        <f t="shared" si="16"/>
        <v>Target Not Met</v>
      </c>
      <c r="M120" s="2" t="s">
        <v>647</v>
      </c>
      <c r="N120" s="2" t="s">
        <v>659</v>
      </c>
      <c r="O120" s="2" t="s">
        <v>699</v>
      </c>
      <c r="P120" s="29" t="str">
        <f t="shared" si="17"/>
        <v>Asia→China→Beijing</v>
      </c>
      <c r="Q120" s="2" t="s">
        <v>706</v>
      </c>
      <c r="R120" s="2" t="s">
        <v>707</v>
      </c>
      <c r="S120" s="2" t="s">
        <v>721</v>
      </c>
      <c r="T120" s="2" t="s">
        <v>732</v>
      </c>
      <c r="U120" t="e">
        <f>(AE120/#REF!)*100</f>
        <v>#REF!</v>
      </c>
      <c r="V120" s="2" t="s">
        <v>852</v>
      </c>
      <c r="W120" s="7">
        <v>339.61</v>
      </c>
      <c r="X120" s="7">
        <v>621.02</v>
      </c>
      <c r="Y120" s="7">
        <f t="shared" si="18"/>
        <v>621.02</v>
      </c>
      <c r="Z120" s="7" t="str">
        <f t="shared" si="19"/>
        <v>Low</v>
      </c>
      <c r="AA120" s="13">
        <v>7.0999999999999994E-2</v>
      </c>
      <c r="AB120" s="13">
        <f t="shared" si="20"/>
        <v>7.0999999999999994E-2</v>
      </c>
      <c r="AC120" s="13" t="str">
        <f t="shared" si="21"/>
        <v>OK</v>
      </c>
      <c r="AD120" s="7">
        <v>10</v>
      </c>
      <c r="AE120" s="7">
        <f>Y120*AD120*(1-AB120)</f>
        <v>5769.2758000000003</v>
      </c>
      <c r="AF120" s="7">
        <f>W120*AD120</f>
        <v>3396.1000000000004</v>
      </c>
      <c r="AG120" s="7">
        <f t="shared" si="22"/>
        <v>2373.1758</v>
      </c>
      <c r="AH120" s="13">
        <f t="shared" si="23"/>
        <v>0.41134726129750981</v>
      </c>
    </row>
    <row r="121" spans="1:34" x14ac:dyDescent="0.35">
      <c r="A121" s="2" t="s">
        <v>134</v>
      </c>
      <c r="B121" s="5">
        <v>45847</v>
      </c>
      <c r="C121" s="5">
        <f>IF(H121&lt;B121,H121,B121)</f>
        <v>45847</v>
      </c>
      <c r="D121" s="5" t="str">
        <f t="shared" si="12"/>
        <v>Jul-2025</v>
      </c>
      <c r="E121" s="5" t="str">
        <f t="shared" si="13"/>
        <v>Jul</v>
      </c>
      <c r="F121" s="5" t="str">
        <f t="shared" si="14"/>
        <v>2025</v>
      </c>
      <c r="G121" s="5" t="str">
        <f t="shared" si="15"/>
        <v>Q3-2025</v>
      </c>
      <c r="H121" s="5">
        <v>45856</v>
      </c>
      <c r="I121" s="5">
        <f>IF(H121&lt;B121, B121+7, H121)</f>
        <v>45856</v>
      </c>
      <c r="J121" s="5" t="str">
        <f>IF(H121&lt;B121, "Invalid","Okay")</f>
        <v>Okay</v>
      </c>
      <c r="K121" s="16">
        <f>I121-C121</f>
        <v>9</v>
      </c>
      <c r="L121" s="16" t="str">
        <f t="shared" si="16"/>
        <v>Target Not Met</v>
      </c>
      <c r="M121" s="2" t="s">
        <v>648</v>
      </c>
      <c r="N121" s="2" t="s">
        <v>653</v>
      </c>
      <c r="O121" s="2" t="s">
        <v>688</v>
      </c>
      <c r="P121" s="29" t="str">
        <f t="shared" si="17"/>
        <v>Americas→Canada→Vancouver</v>
      </c>
      <c r="Q121" s="2" t="s">
        <v>702</v>
      </c>
      <c r="R121" s="2" t="s">
        <v>710</v>
      </c>
      <c r="S121" s="2" t="s">
        <v>714</v>
      </c>
      <c r="T121" s="2" t="s">
        <v>731</v>
      </c>
      <c r="U121" t="e">
        <f>(AE121/#REF!)*100</f>
        <v>#REF!</v>
      </c>
      <c r="V121" s="2" t="s">
        <v>853</v>
      </c>
      <c r="W121" s="7">
        <v>57.96</v>
      </c>
      <c r="X121" s="7">
        <v>88.51</v>
      </c>
      <c r="Y121" s="7">
        <f t="shared" si="18"/>
        <v>88.51</v>
      </c>
      <c r="Z121" s="7" t="str">
        <f t="shared" si="19"/>
        <v>Low</v>
      </c>
      <c r="AA121" s="13">
        <v>4.2999999999999997E-2</v>
      </c>
      <c r="AB121" s="13">
        <f t="shared" si="20"/>
        <v>4.2999999999999997E-2</v>
      </c>
      <c r="AC121" s="13" t="str">
        <f t="shared" si="21"/>
        <v>OK</v>
      </c>
      <c r="AD121" s="7">
        <v>7</v>
      </c>
      <c r="AE121" s="7">
        <f>Y121*AD121*(1-AB121)</f>
        <v>592.92849000000001</v>
      </c>
      <c r="AF121" s="7">
        <f>W121*AD121</f>
        <v>405.72</v>
      </c>
      <c r="AG121" s="7">
        <f t="shared" si="22"/>
        <v>187.20848999999998</v>
      </c>
      <c r="AH121" s="13">
        <f t="shared" si="23"/>
        <v>0.3157353595877978</v>
      </c>
    </row>
    <row r="122" spans="1:34" x14ac:dyDescent="0.35">
      <c r="A122" s="2" t="s">
        <v>135</v>
      </c>
      <c r="B122" s="5">
        <v>45827</v>
      </c>
      <c r="C122" s="5">
        <f>IF(H122&lt;B122,H122,B122)</f>
        <v>45827</v>
      </c>
      <c r="D122" s="5" t="str">
        <f t="shared" si="12"/>
        <v>Jun-2025</v>
      </c>
      <c r="E122" s="5" t="str">
        <f t="shared" si="13"/>
        <v>Jun</v>
      </c>
      <c r="F122" s="5" t="str">
        <f t="shared" si="14"/>
        <v>2025</v>
      </c>
      <c r="G122" s="5" t="str">
        <f t="shared" si="15"/>
        <v>Q2-2025</v>
      </c>
      <c r="H122" s="5">
        <v>45850</v>
      </c>
      <c r="I122" s="5">
        <f>IF(H122&lt;B122, B122+7, H122)</f>
        <v>45850</v>
      </c>
      <c r="J122" s="5" t="str">
        <f>IF(H122&lt;B122, "Invalid","Okay")</f>
        <v>Okay</v>
      </c>
      <c r="K122" s="16">
        <f>I122-C122</f>
        <v>23</v>
      </c>
      <c r="L122" s="16" t="str">
        <f t="shared" si="16"/>
        <v>Target Not Met</v>
      </c>
      <c r="M122" s="2" t="s">
        <v>649</v>
      </c>
      <c r="N122" s="2" t="s">
        <v>658</v>
      </c>
      <c r="O122" s="2" t="s">
        <v>1423</v>
      </c>
      <c r="P122" s="29" t="str">
        <f t="shared" si="17"/>
        <v>Europe→United Kingdom→Unknown</v>
      </c>
      <c r="Q122" s="2" t="s">
        <v>703</v>
      </c>
      <c r="R122" s="2" t="s">
        <v>711</v>
      </c>
      <c r="S122" s="2" t="s">
        <v>1423</v>
      </c>
      <c r="T122" s="2" t="s">
        <v>729</v>
      </c>
      <c r="U122" t="e">
        <f>(AE122/#REF!)*100</f>
        <v>#REF!</v>
      </c>
      <c r="V122" s="2" t="s">
        <v>854</v>
      </c>
      <c r="W122" s="7">
        <v>801.24</v>
      </c>
      <c r="X122" s="7">
        <v>1959.09</v>
      </c>
      <c r="Y122" s="7">
        <f t="shared" si="18"/>
        <v>1959.09</v>
      </c>
      <c r="Z122" s="7" t="str">
        <f t="shared" si="19"/>
        <v>High</v>
      </c>
      <c r="AA122" s="13">
        <v>0.123</v>
      </c>
      <c r="AB122" s="13">
        <f t="shared" si="20"/>
        <v>0.123</v>
      </c>
      <c r="AC122" s="13" t="str">
        <f t="shared" si="21"/>
        <v>OK</v>
      </c>
      <c r="AD122" s="7">
        <v>23</v>
      </c>
      <c r="AE122" s="7">
        <f>Y122*AD122*(1-AB122)</f>
        <v>39516.804389999998</v>
      </c>
      <c r="AF122" s="7">
        <f>W122*AD122</f>
        <v>18428.52</v>
      </c>
      <c r="AG122" s="7">
        <f t="shared" si="22"/>
        <v>21088.284389999997</v>
      </c>
      <c r="AH122" s="13">
        <f t="shared" si="23"/>
        <v>0.53365358650651762</v>
      </c>
    </row>
    <row r="123" spans="1:34" x14ac:dyDescent="0.35">
      <c r="A123" s="2" t="s">
        <v>136</v>
      </c>
      <c r="B123" s="5">
        <v>45249</v>
      </c>
      <c r="C123" s="5">
        <f>IF(H123&lt;B123,H123,B123)</f>
        <v>45249</v>
      </c>
      <c r="D123" s="5" t="str">
        <f t="shared" si="12"/>
        <v>Nov-2023</v>
      </c>
      <c r="E123" s="5" t="str">
        <f t="shared" si="13"/>
        <v>Nov</v>
      </c>
      <c r="F123" s="5" t="str">
        <f t="shared" si="14"/>
        <v>2023</v>
      </c>
      <c r="G123" s="5" t="str">
        <f t="shared" si="15"/>
        <v>Q4-2023</v>
      </c>
      <c r="H123" s="5">
        <v>45273</v>
      </c>
      <c r="I123" s="5">
        <f>IF(H123&lt;B123, B123+7, H123)</f>
        <v>45273</v>
      </c>
      <c r="J123" s="5" t="str">
        <f>IF(H123&lt;B123, "Invalid","Okay")</f>
        <v>Okay</v>
      </c>
      <c r="K123" s="16">
        <f>I123-C123</f>
        <v>24</v>
      </c>
      <c r="L123" s="16" t="str">
        <f t="shared" si="16"/>
        <v>Target Not Met</v>
      </c>
      <c r="M123" s="2" t="s">
        <v>649</v>
      </c>
      <c r="N123" s="2" t="s">
        <v>657</v>
      </c>
      <c r="O123" s="2" t="s">
        <v>679</v>
      </c>
      <c r="P123" s="29" t="str">
        <f t="shared" si="17"/>
        <v>Europe→France→Lyon</v>
      </c>
      <c r="Q123" s="2" t="s">
        <v>703</v>
      </c>
      <c r="R123" s="2" t="s">
        <v>711</v>
      </c>
      <c r="S123" s="2" t="s">
        <v>722</v>
      </c>
      <c r="T123" s="2" t="s">
        <v>732</v>
      </c>
      <c r="U123" t="e">
        <f>(AE123/#REF!)*100</f>
        <v>#REF!</v>
      </c>
      <c r="V123" s="2" t="s">
        <v>855</v>
      </c>
      <c r="W123" s="7">
        <v>1297.42</v>
      </c>
      <c r="X123" s="7">
        <v>2742.97</v>
      </c>
      <c r="Y123" s="7">
        <f t="shared" si="18"/>
        <v>2742.97</v>
      </c>
      <c r="Z123" s="7" t="str">
        <f t="shared" si="19"/>
        <v>High</v>
      </c>
      <c r="AA123" s="13">
        <v>6.9000000000000006E-2</v>
      </c>
      <c r="AB123" s="13">
        <f t="shared" si="20"/>
        <v>6.9000000000000006E-2</v>
      </c>
      <c r="AC123" s="13" t="str">
        <f t="shared" si="21"/>
        <v>OK</v>
      </c>
      <c r="AD123" s="7">
        <v>9</v>
      </c>
      <c r="AE123" s="7">
        <f>Y123*AD123*(1-AB123)</f>
        <v>22983.34563</v>
      </c>
      <c r="AF123" s="7">
        <f>W123*AD123</f>
        <v>11676.78</v>
      </c>
      <c r="AG123" s="7">
        <f t="shared" si="22"/>
        <v>11306.565629999999</v>
      </c>
      <c r="AH123" s="13">
        <f t="shared" si="23"/>
        <v>0.49194602961727291</v>
      </c>
    </row>
    <row r="124" spans="1:34" x14ac:dyDescent="0.35">
      <c r="A124" s="2" t="s">
        <v>137</v>
      </c>
      <c r="B124" s="5">
        <v>45289</v>
      </c>
      <c r="C124" s="5">
        <f>IF(H124&lt;B124,H124,B124)</f>
        <v>45289</v>
      </c>
      <c r="D124" s="5" t="str">
        <f t="shared" si="12"/>
        <v>Dec-2023</v>
      </c>
      <c r="E124" s="5" t="str">
        <f t="shared" si="13"/>
        <v>Dec</v>
      </c>
      <c r="F124" s="5" t="str">
        <f t="shared" si="14"/>
        <v>2023</v>
      </c>
      <c r="G124" s="5" t="str">
        <f t="shared" si="15"/>
        <v>Q4-2023</v>
      </c>
      <c r="H124" s="5">
        <v>45311</v>
      </c>
      <c r="I124" s="5">
        <f>IF(H124&lt;B124, B124+7, H124)</f>
        <v>45311</v>
      </c>
      <c r="J124" s="5" t="str">
        <f>IF(H124&lt;B124, "Invalid","Okay")</f>
        <v>Okay</v>
      </c>
      <c r="K124" s="16">
        <f>I124-C124</f>
        <v>22</v>
      </c>
      <c r="L124" s="16" t="str">
        <f t="shared" si="16"/>
        <v>Target Not Met</v>
      </c>
      <c r="M124" s="2" t="s">
        <v>646</v>
      </c>
      <c r="N124" s="2" t="s">
        <v>650</v>
      </c>
      <c r="O124" s="2" t="s">
        <v>662</v>
      </c>
      <c r="P124" s="29" t="str">
        <f t="shared" si="17"/>
        <v>Africa→Kenya→Kisumu</v>
      </c>
      <c r="Q124" s="2" t="s">
        <v>701</v>
      </c>
      <c r="R124" s="2" t="s">
        <v>711</v>
      </c>
      <c r="S124" s="2" t="s">
        <v>716</v>
      </c>
      <c r="T124" s="2" t="s">
        <v>730</v>
      </c>
      <c r="U124" t="e">
        <f>(AE124/#REF!)*100</f>
        <v>#REF!</v>
      </c>
      <c r="V124" s="2" t="s">
        <v>856</v>
      </c>
      <c r="W124" s="7">
        <v>1395.49</v>
      </c>
      <c r="X124" s="7">
        <v>1679.42</v>
      </c>
      <c r="Y124" s="7">
        <f t="shared" si="18"/>
        <v>1679.42</v>
      </c>
      <c r="Z124" s="7" t="str">
        <f t="shared" si="19"/>
        <v>Medium</v>
      </c>
      <c r="AA124" s="13">
        <v>0.20300000000000001</v>
      </c>
      <c r="AB124" s="13">
        <f t="shared" si="20"/>
        <v>0.20300000000000001</v>
      </c>
      <c r="AC124" s="13" t="str">
        <f t="shared" si="21"/>
        <v>OK</v>
      </c>
      <c r="AD124" s="7">
        <v>12</v>
      </c>
      <c r="AE124" s="7">
        <f>Y124*AD124*(1-AB124)</f>
        <v>16061.972879999999</v>
      </c>
      <c r="AF124" s="7">
        <f>W124*AD124</f>
        <v>16745.88</v>
      </c>
      <c r="AG124" s="7">
        <f t="shared" si="22"/>
        <v>-683.90712000000167</v>
      </c>
      <c r="AH124" s="13">
        <f t="shared" si="23"/>
        <v>-4.2579272490964493E-2</v>
      </c>
    </row>
    <row r="125" spans="1:34" x14ac:dyDescent="0.35">
      <c r="A125" s="2" t="s">
        <v>138</v>
      </c>
      <c r="B125" s="5">
        <v>45598</v>
      </c>
      <c r="C125" s="5">
        <f>IF(H125&lt;B125,H125,B125)</f>
        <v>45598</v>
      </c>
      <c r="D125" s="5" t="str">
        <f t="shared" si="12"/>
        <v>Nov-2024</v>
      </c>
      <c r="E125" s="5" t="str">
        <f t="shared" si="13"/>
        <v>Nov</v>
      </c>
      <c r="F125" s="5" t="str">
        <f t="shared" si="14"/>
        <v>2024</v>
      </c>
      <c r="G125" s="5" t="str">
        <f t="shared" si="15"/>
        <v>Q4-2024</v>
      </c>
      <c r="H125" s="5">
        <v>45625</v>
      </c>
      <c r="I125" s="5">
        <f>IF(H125&lt;B125, B125+7, H125)</f>
        <v>45625</v>
      </c>
      <c r="J125" s="5" t="str">
        <f>IF(H125&lt;B125, "Invalid","Okay")</f>
        <v>Okay</v>
      </c>
      <c r="K125" s="16">
        <f>I125-C125</f>
        <v>27</v>
      </c>
      <c r="L125" s="16" t="str">
        <f t="shared" si="16"/>
        <v>Target Not Met</v>
      </c>
      <c r="M125" s="2" t="s">
        <v>648</v>
      </c>
      <c r="N125" s="2" t="s">
        <v>655</v>
      </c>
      <c r="O125" s="2" t="s">
        <v>672</v>
      </c>
      <c r="P125" s="29" t="str">
        <f t="shared" si="17"/>
        <v>Americas→Brazil→Brasília</v>
      </c>
      <c r="Q125" s="2" t="s">
        <v>705</v>
      </c>
      <c r="R125" s="2" t="s">
        <v>711</v>
      </c>
      <c r="S125" s="2" t="s">
        <v>714</v>
      </c>
      <c r="T125" s="2" t="s">
        <v>729</v>
      </c>
      <c r="U125" t="e">
        <f>(AE125/#REF!)*100</f>
        <v>#REF!</v>
      </c>
      <c r="V125" s="2" t="s">
        <v>857</v>
      </c>
      <c r="W125" s="7">
        <v>1363.51</v>
      </c>
      <c r="X125" s="7">
        <v>1433.9</v>
      </c>
      <c r="Y125" s="7">
        <f t="shared" si="18"/>
        <v>1433.9</v>
      </c>
      <c r="Z125" s="7" t="str">
        <f t="shared" si="19"/>
        <v>Medium</v>
      </c>
      <c r="AA125" s="13">
        <v>5.7000000000000002E-2</v>
      </c>
      <c r="AB125" s="13">
        <f t="shared" si="20"/>
        <v>5.7000000000000002E-2</v>
      </c>
      <c r="AC125" s="13" t="str">
        <f t="shared" si="21"/>
        <v>OK</v>
      </c>
      <c r="AD125" s="7">
        <v>8</v>
      </c>
      <c r="AE125" s="7">
        <f>Y125*AD125*(1-AB125)</f>
        <v>10817.3416</v>
      </c>
      <c r="AF125" s="7">
        <f>W125*AD125</f>
        <v>10908.08</v>
      </c>
      <c r="AG125" s="7">
        <f t="shared" si="22"/>
        <v>-90.738400000000183</v>
      </c>
      <c r="AH125" s="13">
        <f t="shared" si="23"/>
        <v>-8.3882346842037592E-3</v>
      </c>
    </row>
    <row r="126" spans="1:34" x14ac:dyDescent="0.35">
      <c r="A126" s="2" t="s">
        <v>139</v>
      </c>
      <c r="B126" s="5">
        <v>45159</v>
      </c>
      <c r="C126" s="5">
        <f>IF(H126&lt;B126,H126,B126)</f>
        <v>45159</v>
      </c>
      <c r="D126" s="5" t="str">
        <f t="shared" si="12"/>
        <v>Aug-2023</v>
      </c>
      <c r="E126" s="5" t="str">
        <f t="shared" si="13"/>
        <v>Aug</v>
      </c>
      <c r="F126" s="5" t="str">
        <f t="shared" si="14"/>
        <v>2023</v>
      </c>
      <c r="G126" s="5" t="str">
        <f t="shared" si="15"/>
        <v>Q3-2023</v>
      </c>
      <c r="H126" s="5">
        <v>45173</v>
      </c>
      <c r="I126" s="5">
        <f>IF(H126&lt;B126, B126+7, H126)</f>
        <v>45173</v>
      </c>
      <c r="J126" s="5" t="str">
        <f>IF(H126&lt;B126, "Invalid","Okay")</f>
        <v>Okay</v>
      </c>
      <c r="K126" s="16">
        <f>I126-C126</f>
        <v>14</v>
      </c>
      <c r="L126" s="16" t="str">
        <f t="shared" si="16"/>
        <v>Target Not Met</v>
      </c>
      <c r="M126" s="2" t="s">
        <v>648</v>
      </c>
      <c r="N126" s="2" t="s">
        <v>653</v>
      </c>
      <c r="O126" s="2" t="s">
        <v>681</v>
      </c>
      <c r="P126" s="29" t="str">
        <f t="shared" si="17"/>
        <v>Americas→Canada→Montreal</v>
      </c>
      <c r="Q126" s="2" t="s">
        <v>702</v>
      </c>
      <c r="R126" s="2" t="s">
        <v>710</v>
      </c>
      <c r="S126" s="2" t="s">
        <v>721</v>
      </c>
      <c r="T126" s="2" t="s">
        <v>727</v>
      </c>
      <c r="U126" t="e">
        <f>(AE126/#REF!)*100</f>
        <v>#REF!</v>
      </c>
      <c r="V126" s="2" t="s">
        <v>858</v>
      </c>
      <c r="W126" s="7">
        <v>178.19</v>
      </c>
      <c r="X126" s="7">
        <v>284.43</v>
      </c>
      <c r="Y126" s="7">
        <f t="shared" si="18"/>
        <v>284.43</v>
      </c>
      <c r="Z126" s="7" t="str">
        <f t="shared" si="19"/>
        <v>Low</v>
      </c>
      <c r="AA126" s="13">
        <v>8.8999999999999996E-2</v>
      </c>
      <c r="AB126" s="13">
        <f t="shared" si="20"/>
        <v>8.8999999999999996E-2</v>
      </c>
      <c r="AC126" s="13" t="str">
        <f t="shared" si="21"/>
        <v>OK</v>
      </c>
      <c r="AD126" s="7">
        <v>8</v>
      </c>
      <c r="AE126" s="7">
        <f>Y126*AD126*(1-AB126)</f>
        <v>2072.9258400000003</v>
      </c>
      <c r="AF126" s="7">
        <f>W126*AD126</f>
        <v>1425.52</v>
      </c>
      <c r="AG126" s="7">
        <f t="shared" si="22"/>
        <v>647.40584000000035</v>
      </c>
      <c r="AH126" s="13">
        <f t="shared" si="23"/>
        <v>0.31231500302972742</v>
      </c>
    </row>
    <row r="127" spans="1:34" x14ac:dyDescent="0.35">
      <c r="A127" s="2" t="s">
        <v>140</v>
      </c>
      <c r="B127" s="5">
        <v>45150</v>
      </c>
      <c r="C127" s="5">
        <f>IF(H127&lt;B127,H127,B127)</f>
        <v>45150</v>
      </c>
      <c r="D127" s="5" t="str">
        <f t="shared" si="12"/>
        <v>Aug-2023</v>
      </c>
      <c r="E127" s="5" t="str">
        <f t="shared" si="13"/>
        <v>Aug</v>
      </c>
      <c r="F127" s="5" t="str">
        <f t="shared" si="14"/>
        <v>2023</v>
      </c>
      <c r="G127" s="5" t="str">
        <f t="shared" si="15"/>
        <v>Q3-2023</v>
      </c>
      <c r="H127" s="5">
        <v>45175</v>
      </c>
      <c r="I127" s="5">
        <f>IF(H127&lt;B127, B127+7, H127)</f>
        <v>45175</v>
      </c>
      <c r="J127" s="5" t="str">
        <f>IF(H127&lt;B127, "Invalid","Okay")</f>
        <v>Okay</v>
      </c>
      <c r="K127" s="16">
        <f>I127-C127</f>
        <v>25</v>
      </c>
      <c r="L127" s="16" t="str">
        <f t="shared" si="16"/>
        <v>Target Not Met</v>
      </c>
      <c r="M127" s="2" t="s">
        <v>647</v>
      </c>
      <c r="N127" s="2" t="s">
        <v>659</v>
      </c>
      <c r="O127" s="2" t="s">
        <v>685</v>
      </c>
      <c r="P127" s="29" t="str">
        <f t="shared" si="17"/>
        <v>Asia→China→Shanghai</v>
      </c>
      <c r="Q127" s="2" t="s">
        <v>705</v>
      </c>
      <c r="R127" s="2" t="s">
        <v>707</v>
      </c>
      <c r="S127" s="2" t="s">
        <v>717</v>
      </c>
      <c r="T127" s="2" t="s">
        <v>727</v>
      </c>
      <c r="U127" t="e">
        <f>(AE127/#REF!)*100</f>
        <v>#REF!</v>
      </c>
      <c r="V127" s="2" t="s">
        <v>859</v>
      </c>
      <c r="W127" s="7">
        <v>950.77</v>
      </c>
      <c r="X127" s="7">
        <v>694.78</v>
      </c>
      <c r="Y127" s="7">
        <f t="shared" si="18"/>
        <v>694.78</v>
      </c>
      <c r="Z127" s="7" t="str">
        <f t="shared" si="19"/>
        <v>Low</v>
      </c>
      <c r="AA127" s="13">
        <v>8.4000000000000005E-2</v>
      </c>
      <c r="AB127" s="13">
        <f t="shared" si="20"/>
        <v>8.4000000000000005E-2</v>
      </c>
      <c r="AC127" s="13" t="str">
        <f t="shared" si="21"/>
        <v>OK</v>
      </c>
      <c r="AD127" s="7">
        <v>14</v>
      </c>
      <c r="AE127" s="7">
        <f>Y127*AD127*(1-AB127)</f>
        <v>8909.8587200000002</v>
      </c>
      <c r="AF127" s="7">
        <f>W127*AD127</f>
        <v>13310.779999999999</v>
      </c>
      <c r="AG127" s="7">
        <f t="shared" si="22"/>
        <v>-4400.9212799999987</v>
      </c>
      <c r="AH127" s="13">
        <f t="shared" si="23"/>
        <v>-0.49393839097821279</v>
      </c>
    </row>
    <row r="128" spans="1:34" x14ac:dyDescent="0.35">
      <c r="A128" s="2" t="s">
        <v>141</v>
      </c>
      <c r="B128" s="5">
        <v>45450</v>
      </c>
      <c r="C128" s="5">
        <f>IF(H128&lt;B128,H128,B128)</f>
        <v>45450</v>
      </c>
      <c r="D128" s="5" t="str">
        <f t="shared" si="12"/>
        <v>Jun-2024</v>
      </c>
      <c r="E128" s="5" t="str">
        <f t="shared" si="13"/>
        <v>Jun</v>
      </c>
      <c r="F128" s="5" t="str">
        <f t="shared" si="14"/>
        <v>2024</v>
      </c>
      <c r="G128" s="5" t="str">
        <f t="shared" si="15"/>
        <v>Q2-2024</v>
      </c>
      <c r="H128" s="5">
        <v>45469</v>
      </c>
      <c r="I128" s="5">
        <f>IF(H128&lt;B128, B128+7, H128)</f>
        <v>45469</v>
      </c>
      <c r="J128" s="5" t="str">
        <f>IF(H128&lt;B128, "Invalid","Okay")</f>
        <v>Okay</v>
      </c>
      <c r="K128" s="16">
        <f>I128-C128</f>
        <v>19</v>
      </c>
      <c r="L128" s="16" t="str">
        <f t="shared" si="16"/>
        <v>Target Not Met</v>
      </c>
      <c r="M128" s="2" t="s">
        <v>649</v>
      </c>
      <c r="N128" s="2" t="s">
        <v>656</v>
      </c>
      <c r="O128" s="2" t="s">
        <v>671</v>
      </c>
      <c r="P128" s="29" t="str">
        <f t="shared" si="17"/>
        <v>Europe→Germany→Berlin</v>
      </c>
      <c r="Q128" s="2" t="s">
        <v>703</v>
      </c>
      <c r="R128" s="2" t="s">
        <v>709</v>
      </c>
      <c r="S128" s="2" t="s">
        <v>724</v>
      </c>
      <c r="T128" s="2" t="s">
        <v>727</v>
      </c>
      <c r="U128" t="e">
        <f>(AE128/#REF!)*100</f>
        <v>#REF!</v>
      </c>
      <c r="V128" s="2" t="s">
        <v>860</v>
      </c>
      <c r="W128" s="7">
        <v>1064.32</v>
      </c>
      <c r="X128" s="7">
        <v>1848.39</v>
      </c>
      <c r="Y128" s="7">
        <f t="shared" si="18"/>
        <v>1848.39</v>
      </c>
      <c r="Z128" s="7" t="str">
        <f t="shared" si="19"/>
        <v>Medium</v>
      </c>
      <c r="AA128" s="13">
        <v>7.2999999999999995E-2</v>
      </c>
      <c r="AB128" s="13">
        <f t="shared" si="20"/>
        <v>7.2999999999999995E-2</v>
      </c>
      <c r="AC128" s="13" t="str">
        <f t="shared" si="21"/>
        <v>OK</v>
      </c>
      <c r="AD128" s="7">
        <v>38</v>
      </c>
      <c r="AE128" s="7">
        <f>Y128*AD128*(1-AB128)</f>
        <v>65111.38614000001</v>
      </c>
      <c r="AF128" s="7">
        <f>W128*AD128</f>
        <v>40444.159999999996</v>
      </c>
      <c r="AG128" s="7">
        <f t="shared" si="22"/>
        <v>24667.226140000013</v>
      </c>
      <c r="AH128" s="13">
        <f t="shared" si="23"/>
        <v>0.3788465827921631</v>
      </c>
    </row>
    <row r="129" spans="1:34" x14ac:dyDescent="0.35">
      <c r="A129" s="2" t="s">
        <v>142</v>
      </c>
      <c r="B129" s="5">
        <v>45874</v>
      </c>
      <c r="C129" s="5">
        <f>IF(H129&lt;B129,H129,B129)</f>
        <v>45874</v>
      </c>
      <c r="D129" s="5" t="str">
        <f t="shared" si="12"/>
        <v>Aug-2025</v>
      </c>
      <c r="E129" s="5" t="str">
        <f t="shared" si="13"/>
        <v>Aug</v>
      </c>
      <c r="F129" s="5" t="str">
        <f t="shared" si="14"/>
        <v>2025</v>
      </c>
      <c r="G129" s="5" t="str">
        <f t="shared" si="15"/>
        <v>Q3-2025</v>
      </c>
      <c r="H129" s="5">
        <v>45883</v>
      </c>
      <c r="I129" s="5">
        <f>IF(H129&lt;B129, B129+7, H129)</f>
        <v>45883</v>
      </c>
      <c r="J129" s="5" t="str">
        <f>IF(H129&lt;B129, "Invalid","Okay")</f>
        <v>Okay</v>
      </c>
      <c r="K129" s="16">
        <f>I129-C129</f>
        <v>9</v>
      </c>
      <c r="L129" s="16" t="str">
        <f t="shared" si="16"/>
        <v>Target Not Met</v>
      </c>
      <c r="M129" s="2" t="s">
        <v>649</v>
      </c>
      <c r="N129" s="2" t="s">
        <v>658</v>
      </c>
      <c r="O129" s="2" t="s">
        <v>683</v>
      </c>
      <c r="P129" s="29" t="str">
        <f t="shared" si="17"/>
        <v>Europe→United Kingdom→London</v>
      </c>
      <c r="Q129" s="2" t="s">
        <v>703</v>
      </c>
      <c r="R129" s="2" t="s">
        <v>711</v>
      </c>
      <c r="S129" s="2" t="s">
        <v>718</v>
      </c>
      <c r="T129" s="2" t="s">
        <v>727</v>
      </c>
      <c r="U129" t="e">
        <f>(AE129/#REF!)*100</f>
        <v>#REF!</v>
      </c>
      <c r="V129" s="2" t="s">
        <v>861</v>
      </c>
      <c r="W129" s="7">
        <v>41.76</v>
      </c>
      <c r="X129" s="7">
        <v>45.19</v>
      </c>
      <c r="Y129" s="7">
        <f t="shared" si="18"/>
        <v>45.19</v>
      </c>
      <c r="Z129" s="7" t="str">
        <f t="shared" si="19"/>
        <v>Low</v>
      </c>
      <c r="AA129" s="13">
        <v>0.17899999999999999</v>
      </c>
      <c r="AB129" s="13">
        <f t="shared" si="20"/>
        <v>0.17899999999999999</v>
      </c>
      <c r="AC129" s="13" t="str">
        <f t="shared" si="21"/>
        <v>OK</v>
      </c>
      <c r="AD129" s="7">
        <v>23</v>
      </c>
      <c r="AE129" s="7">
        <f>Y129*AD129*(1-AB129)</f>
        <v>853.32276999999988</v>
      </c>
      <c r="AF129" s="7">
        <f>W129*AD129</f>
        <v>960.4799999999999</v>
      </c>
      <c r="AG129" s="7">
        <f t="shared" si="22"/>
        <v>-107.15723000000003</v>
      </c>
      <c r="AH129" s="13">
        <f t="shared" si="23"/>
        <v>-0.12557643340514638</v>
      </c>
    </row>
    <row r="130" spans="1:34" x14ac:dyDescent="0.35">
      <c r="A130" s="2" t="s">
        <v>143</v>
      </c>
      <c r="B130" s="5">
        <v>45442</v>
      </c>
      <c r="C130" s="5">
        <f>IF(H130&lt;B130,H130,B130)</f>
        <v>45442</v>
      </c>
      <c r="D130" s="5" t="str">
        <f t="shared" si="12"/>
        <v>May-2024</v>
      </c>
      <c r="E130" s="5" t="str">
        <f t="shared" si="13"/>
        <v>May</v>
      </c>
      <c r="F130" s="5" t="str">
        <f t="shared" si="14"/>
        <v>2024</v>
      </c>
      <c r="G130" s="5" t="str">
        <f t="shared" si="15"/>
        <v>Q2-2024</v>
      </c>
      <c r="H130" s="5">
        <v>45456</v>
      </c>
      <c r="I130" s="5">
        <f>IF(H130&lt;B130, B130+7, H130)</f>
        <v>45456</v>
      </c>
      <c r="J130" s="5" t="str">
        <f>IF(H130&lt;B130, "Invalid","Okay")</f>
        <v>Okay</v>
      </c>
      <c r="K130" s="16">
        <f>I130-C130</f>
        <v>14</v>
      </c>
      <c r="L130" s="16" t="str">
        <f t="shared" si="16"/>
        <v>Target Not Met</v>
      </c>
      <c r="M130" s="2" t="s">
        <v>648</v>
      </c>
      <c r="N130" s="2" t="s">
        <v>660</v>
      </c>
      <c r="O130" s="2" t="s">
        <v>686</v>
      </c>
      <c r="P130" s="29" t="str">
        <f t="shared" si="17"/>
        <v>Americas→USA→San Francisco</v>
      </c>
      <c r="Q130" s="2" t="s">
        <v>705</v>
      </c>
      <c r="R130" s="2" t="s">
        <v>707</v>
      </c>
      <c r="S130" s="2" t="s">
        <v>721</v>
      </c>
      <c r="T130" s="2" t="s">
        <v>730</v>
      </c>
      <c r="U130" t="e">
        <f>(AE130/#REF!)*100</f>
        <v>#REF!</v>
      </c>
      <c r="V130" s="2" t="s">
        <v>862</v>
      </c>
      <c r="W130" s="7">
        <v>157.78</v>
      </c>
      <c r="X130" s="7">
        <v>361.1</v>
      </c>
      <c r="Y130" s="7">
        <f t="shared" si="18"/>
        <v>361.1</v>
      </c>
      <c r="Z130" s="7" t="str">
        <f t="shared" si="19"/>
        <v>Low</v>
      </c>
      <c r="AA130" s="13">
        <v>0.187</v>
      </c>
      <c r="AB130" s="13">
        <f t="shared" si="20"/>
        <v>0.187</v>
      </c>
      <c r="AC130" s="13" t="str">
        <f t="shared" si="21"/>
        <v>OK</v>
      </c>
      <c r="AD130" s="7">
        <v>9</v>
      </c>
      <c r="AE130" s="7">
        <f>Y130*AD130*(1-AB130)</f>
        <v>2642.1686999999997</v>
      </c>
      <c r="AF130" s="7">
        <f>W130*AD130</f>
        <v>1420.02</v>
      </c>
      <c r="AG130" s="7">
        <f t="shared" si="22"/>
        <v>1222.1486999999997</v>
      </c>
      <c r="AH130" s="13">
        <f t="shared" si="23"/>
        <v>0.46255513510549112</v>
      </c>
    </row>
    <row r="131" spans="1:34" x14ac:dyDescent="0.35">
      <c r="A131" s="2" t="s">
        <v>144</v>
      </c>
      <c r="B131" s="5">
        <v>44948</v>
      </c>
      <c r="C131" s="5">
        <f>IF(H131&lt;B131,H131,B131)</f>
        <v>44948</v>
      </c>
      <c r="D131" s="5" t="str">
        <f t="shared" ref="D131:D194" si="24">TEXT(B131,"MMM-YYYY")</f>
        <v>Jan-2023</v>
      </c>
      <c r="E131" s="5" t="str">
        <f t="shared" ref="E131:E194" si="25">TEXT(C131,"MMM")</f>
        <v>Jan</v>
      </c>
      <c r="F131" s="5" t="str">
        <f t="shared" ref="F131:F194" si="26">TEXT(C131,"YYYY")</f>
        <v>2023</v>
      </c>
      <c r="G131" s="5" t="str">
        <f t="shared" ref="G131:G194" si="27">IF(MONTH(D131)&lt;=3,"Q1",IF(MONTH(D131)&lt;=6,"Q2",IF(MONTH(D131)&lt;=9,"Q3","Q4")))&amp;"-"&amp;YEAR(C131)</f>
        <v>Q1-2023</v>
      </c>
      <c r="H131" s="5">
        <v>44956</v>
      </c>
      <c r="I131" s="5">
        <f>IF(H131&lt;B131, B131+7, H131)</f>
        <v>44956</v>
      </c>
      <c r="J131" s="5" t="str">
        <f>IF(H131&lt;B131, "Invalid","Okay")</f>
        <v>Okay</v>
      </c>
      <c r="K131" s="16">
        <f>I131-C131</f>
        <v>8</v>
      </c>
      <c r="L131" s="16" t="str">
        <f t="shared" ref="L131:L194" si="28">IF(K131&lt;=7,"Target Met","Target Not Met")</f>
        <v>Target Not Met</v>
      </c>
      <c r="M131" s="2" t="s">
        <v>648</v>
      </c>
      <c r="N131" s="2" t="s">
        <v>660</v>
      </c>
      <c r="O131" s="2" t="s">
        <v>686</v>
      </c>
      <c r="P131" s="29" t="str">
        <f t="shared" ref="P131:P194" si="29">_xlfn.CONCAT(M131,"→",N131,"→",O131)</f>
        <v>Americas→USA→San Francisco</v>
      </c>
      <c r="Q131" s="2" t="s">
        <v>705</v>
      </c>
      <c r="R131" s="2" t="s">
        <v>708</v>
      </c>
      <c r="S131" s="2" t="s">
        <v>720</v>
      </c>
      <c r="T131" s="2" t="s">
        <v>729</v>
      </c>
      <c r="U131" t="e">
        <f>(AE131/#REF!)*100</f>
        <v>#REF!</v>
      </c>
      <c r="V131" s="2" t="s">
        <v>863</v>
      </c>
      <c r="W131" s="7">
        <v>413.52</v>
      </c>
      <c r="X131" s="7">
        <v>1004.34</v>
      </c>
      <c r="Y131" s="7">
        <f t="shared" ref="Y131:Y194" si="30">ABS(X131)</f>
        <v>1004.34</v>
      </c>
      <c r="Z131" s="7" t="str">
        <f t="shared" ref="Z131:Z194" si="31">IF(Y131&lt;1193.97,"Low",IF(Y131&lt;1912.05,"Medium","High"))</f>
        <v>Low</v>
      </c>
      <c r="AA131" s="13">
        <v>0.111</v>
      </c>
      <c r="AB131" s="13">
        <f t="shared" ref="AB131:AB194" si="32">IF(AA131&gt;30%,"12.14%", AA131)</f>
        <v>0.111</v>
      </c>
      <c r="AC131" s="13" t="str">
        <f t="shared" ref="AC131:AC194" si="33">IF(AA131&gt;30%, "High", "OK")</f>
        <v>OK</v>
      </c>
      <c r="AD131" s="7">
        <v>18</v>
      </c>
      <c r="AE131" s="7">
        <f>Y131*AD131*(1-AB131)</f>
        <v>16071.44868</v>
      </c>
      <c r="AF131" s="7">
        <f>W131*AD131</f>
        <v>7443.36</v>
      </c>
      <c r="AG131" s="7">
        <f t="shared" ref="AG131:AG194" si="34">AE131-AF131</f>
        <v>8628.0886800000007</v>
      </c>
      <c r="AH131" s="13">
        <f t="shared" ref="AH131:AH194" si="35">IF(AE131=0,0,AG131/AE131)</f>
        <v>0.53685817948304593</v>
      </c>
    </row>
    <row r="132" spans="1:34" x14ac:dyDescent="0.35">
      <c r="A132" s="2" t="s">
        <v>145</v>
      </c>
      <c r="B132" s="5">
        <v>45700</v>
      </c>
      <c r="C132" s="5">
        <f>IF(H132&lt;B132,H132,B132)</f>
        <v>45700</v>
      </c>
      <c r="D132" s="5" t="str">
        <f t="shared" si="24"/>
        <v>Feb-2025</v>
      </c>
      <c r="E132" s="5" t="str">
        <f t="shared" si="25"/>
        <v>Feb</v>
      </c>
      <c r="F132" s="5" t="str">
        <f t="shared" si="26"/>
        <v>2025</v>
      </c>
      <c r="G132" s="5" t="str">
        <f t="shared" si="27"/>
        <v>Q1-2025</v>
      </c>
      <c r="H132" s="5">
        <v>45716</v>
      </c>
      <c r="I132" s="5">
        <f>IF(H132&lt;B132, B132+7, H132)</f>
        <v>45716</v>
      </c>
      <c r="J132" s="5" t="str">
        <f>IF(H132&lt;B132, "Invalid","Okay")</f>
        <v>Okay</v>
      </c>
      <c r="K132" s="16">
        <f>I132-C132</f>
        <v>16</v>
      </c>
      <c r="L132" s="16" t="str">
        <f t="shared" si="28"/>
        <v>Target Not Met</v>
      </c>
      <c r="M132" s="2" t="s">
        <v>648</v>
      </c>
      <c r="N132" s="2" t="s">
        <v>655</v>
      </c>
      <c r="O132" s="2" t="s">
        <v>670</v>
      </c>
      <c r="P132" s="29" t="str">
        <f t="shared" si="29"/>
        <v>Americas→Brazil→São Paulo</v>
      </c>
      <c r="Q132" s="2" t="s">
        <v>703</v>
      </c>
      <c r="R132" s="2" t="s">
        <v>711</v>
      </c>
      <c r="S132" s="2" t="s">
        <v>717</v>
      </c>
      <c r="T132" s="2" t="s">
        <v>732</v>
      </c>
      <c r="U132" t="e">
        <f>(AE132/#REF!)*100</f>
        <v>#REF!</v>
      </c>
      <c r="V132" s="2" t="s">
        <v>864</v>
      </c>
      <c r="W132" s="7">
        <v>414.95</v>
      </c>
      <c r="X132" s="7">
        <v>1027.73</v>
      </c>
      <c r="Y132" s="7">
        <f t="shared" si="30"/>
        <v>1027.73</v>
      </c>
      <c r="Z132" s="7" t="str">
        <f t="shared" si="31"/>
        <v>Low</v>
      </c>
      <c r="AA132" s="13">
        <v>6.3E-2</v>
      </c>
      <c r="AB132" s="13">
        <f t="shared" si="32"/>
        <v>6.3E-2</v>
      </c>
      <c r="AC132" s="13" t="str">
        <f t="shared" si="33"/>
        <v>OK</v>
      </c>
      <c r="AD132" s="7">
        <v>8</v>
      </c>
      <c r="AE132" s="7">
        <f>Y132*AD132*(1-AB132)</f>
        <v>7703.8640800000003</v>
      </c>
      <c r="AF132" s="7">
        <f>W132*AD132</f>
        <v>3319.6</v>
      </c>
      <c r="AG132" s="7">
        <f t="shared" si="34"/>
        <v>4384.2640800000008</v>
      </c>
      <c r="AH132" s="13">
        <f t="shared" si="35"/>
        <v>0.56909935513815568</v>
      </c>
    </row>
    <row r="133" spans="1:34" x14ac:dyDescent="0.35">
      <c r="A133" s="2" t="s">
        <v>146</v>
      </c>
      <c r="B133" s="5">
        <v>45719</v>
      </c>
      <c r="C133" s="5">
        <f>IF(H133&lt;B133,H133,B133)</f>
        <v>45719</v>
      </c>
      <c r="D133" s="5" t="str">
        <f t="shared" si="24"/>
        <v>Mar-2025</v>
      </c>
      <c r="E133" s="5" t="str">
        <f t="shared" si="25"/>
        <v>Mar</v>
      </c>
      <c r="F133" s="5" t="str">
        <f t="shared" si="26"/>
        <v>2025</v>
      </c>
      <c r="G133" s="5" t="str">
        <f t="shared" si="27"/>
        <v>Q1-2025</v>
      </c>
      <c r="H133" s="5">
        <v>45740</v>
      </c>
      <c r="I133" s="5">
        <f>IF(H133&lt;B133, B133+7, H133)</f>
        <v>45740</v>
      </c>
      <c r="J133" s="5" t="str">
        <f>IF(H133&lt;B133, "Invalid","Okay")</f>
        <v>Okay</v>
      </c>
      <c r="K133" s="16">
        <f>I133-C133</f>
        <v>21</v>
      </c>
      <c r="L133" s="16" t="str">
        <f t="shared" si="28"/>
        <v>Target Not Met</v>
      </c>
      <c r="M133" s="2" t="s">
        <v>646</v>
      </c>
      <c r="N133" s="2" t="s">
        <v>651</v>
      </c>
      <c r="O133" s="2" t="s">
        <v>669</v>
      </c>
      <c r="P133" s="29" t="str">
        <f t="shared" si="29"/>
        <v>Africa→Nigeria→Abuja</v>
      </c>
      <c r="Q133" s="2" t="s">
        <v>706</v>
      </c>
      <c r="R133" s="2" t="s">
        <v>711</v>
      </c>
      <c r="S133" s="2" t="s">
        <v>722</v>
      </c>
      <c r="T133" s="2" t="s">
        <v>733</v>
      </c>
      <c r="U133" t="e">
        <f>(AE133/#REF!)*100</f>
        <v>#REF!</v>
      </c>
      <c r="V133" s="2" t="s">
        <v>865</v>
      </c>
      <c r="W133" s="7">
        <v>555.95000000000005</v>
      </c>
      <c r="X133" s="7">
        <v>468.09</v>
      </c>
      <c r="Y133" s="7">
        <f t="shared" si="30"/>
        <v>468.09</v>
      </c>
      <c r="Z133" s="7" t="str">
        <f t="shared" si="31"/>
        <v>Low</v>
      </c>
      <c r="AA133" s="13">
        <v>0.14199999999999999</v>
      </c>
      <c r="AB133" s="13">
        <f t="shared" si="32"/>
        <v>0.14199999999999999</v>
      </c>
      <c r="AC133" s="13" t="str">
        <f t="shared" si="33"/>
        <v>OK</v>
      </c>
      <c r="AD133" s="7">
        <v>11</v>
      </c>
      <c r="AE133" s="7">
        <f>Y133*AD133*(1-AB133)</f>
        <v>4417.8334199999999</v>
      </c>
      <c r="AF133" s="7">
        <f>W133*AD133</f>
        <v>6115.4500000000007</v>
      </c>
      <c r="AG133" s="7">
        <f t="shared" si="34"/>
        <v>-1697.6165800000008</v>
      </c>
      <c r="AH133" s="13">
        <f t="shared" si="35"/>
        <v>-0.38426450674095375</v>
      </c>
    </row>
    <row r="134" spans="1:34" x14ac:dyDescent="0.35">
      <c r="A134" s="2" t="s">
        <v>147</v>
      </c>
      <c r="B134" s="5">
        <v>44953</v>
      </c>
      <c r="C134" s="5">
        <f>IF(H134&lt;B134,H134,B134)</f>
        <v>44953</v>
      </c>
      <c r="D134" s="5" t="str">
        <f t="shared" si="24"/>
        <v>Jan-2023</v>
      </c>
      <c r="E134" s="5" t="str">
        <f t="shared" si="25"/>
        <v>Jan</v>
      </c>
      <c r="F134" s="5" t="str">
        <f t="shared" si="26"/>
        <v>2023</v>
      </c>
      <c r="G134" s="5" t="str">
        <f t="shared" si="27"/>
        <v>Q1-2023</v>
      </c>
      <c r="H134" s="5">
        <v>44957</v>
      </c>
      <c r="I134" s="5">
        <f>IF(H134&lt;B134, B134+7, H134)</f>
        <v>44957</v>
      </c>
      <c r="J134" s="5" t="str">
        <f>IF(H134&lt;B134, "Invalid","Okay")</f>
        <v>Okay</v>
      </c>
      <c r="K134" s="16">
        <f>I134-C134</f>
        <v>4</v>
      </c>
      <c r="L134" s="16" t="str">
        <f t="shared" si="28"/>
        <v>Target Met</v>
      </c>
      <c r="M134" s="2" t="s">
        <v>649</v>
      </c>
      <c r="N134" s="2" t="s">
        <v>658</v>
      </c>
      <c r="O134" s="2" t="s">
        <v>693</v>
      </c>
      <c r="P134" s="29" t="str">
        <f t="shared" si="29"/>
        <v>Europe→United Kingdom→Manchester</v>
      </c>
      <c r="Q134" s="2" t="s">
        <v>706</v>
      </c>
      <c r="R134" s="2" t="s">
        <v>708</v>
      </c>
      <c r="S134" s="2" t="s">
        <v>725</v>
      </c>
      <c r="T134" s="2" t="s">
        <v>731</v>
      </c>
      <c r="U134" t="e">
        <f>(AE134/#REF!)*100</f>
        <v>#REF!</v>
      </c>
      <c r="V134" s="2" t="s">
        <v>866</v>
      </c>
      <c r="W134" s="7">
        <v>941.2</v>
      </c>
      <c r="X134" s="7">
        <v>668.02</v>
      </c>
      <c r="Y134" s="7">
        <f t="shared" si="30"/>
        <v>668.02</v>
      </c>
      <c r="Z134" s="7" t="str">
        <f t="shared" si="31"/>
        <v>Low</v>
      </c>
      <c r="AA134" s="13">
        <v>0.22</v>
      </c>
      <c r="AB134" s="13">
        <f t="shared" si="32"/>
        <v>0.22</v>
      </c>
      <c r="AC134" s="13" t="str">
        <f t="shared" si="33"/>
        <v>OK</v>
      </c>
      <c r="AD134" s="7">
        <v>16</v>
      </c>
      <c r="AE134" s="7">
        <f>Y134*AD134*(1-AB134)</f>
        <v>8336.8896000000004</v>
      </c>
      <c r="AF134" s="7">
        <f>W134*AD134</f>
        <v>15059.2</v>
      </c>
      <c r="AG134" s="7">
        <f t="shared" si="34"/>
        <v>-6722.3104000000003</v>
      </c>
      <c r="AH134" s="13">
        <f t="shared" si="35"/>
        <v>-0.80633314371825193</v>
      </c>
    </row>
    <row r="135" spans="1:34" x14ac:dyDescent="0.35">
      <c r="A135" s="2" t="s">
        <v>148</v>
      </c>
      <c r="B135" s="5">
        <v>45666</v>
      </c>
      <c r="C135" s="5">
        <f>IF(H135&lt;B135,H135,B135)</f>
        <v>45666</v>
      </c>
      <c r="D135" s="5" t="str">
        <f t="shared" si="24"/>
        <v>Jan-2025</v>
      </c>
      <c r="E135" s="5" t="str">
        <f t="shared" si="25"/>
        <v>Jan</v>
      </c>
      <c r="F135" s="5" t="str">
        <f t="shared" si="26"/>
        <v>2025</v>
      </c>
      <c r="G135" s="5" t="str">
        <f t="shared" si="27"/>
        <v>Q1-2025</v>
      </c>
      <c r="H135" s="5">
        <v>45672</v>
      </c>
      <c r="I135" s="5">
        <f>IF(H135&lt;B135, B135+7, H135)</f>
        <v>45672</v>
      </c>
      <c r="J135" s="5" t="str">
        <f>IF(H135&lt;B135, "Invalid","Okay")</f>
        <v>Okay</v>
      </c>
      <c r="K135" s="16">
        <f>I135-C135</f>
        <v>6</v>
      </c>
      <c r="L135" s="16" t="str">
        <f t="shared" si="28"/>
        <v>Target Met</v>
      </c>
      <c r="M135" s="2" t="s">
        <v>647</v>
      </c>
      <c r="N135" s="2" t="s">
        <v>659</v>
      </c>
      <c r="O135" s="2" t="s">
        <v>699</v>
      </c>
      <c r="P135" s="29" t="str">
        <f t="shared" si="29"/>
        <v>Asia→China→Beijing</v>
      </c>
      <c r="Q135" s="2" t="s">
        <v>702</v>
      </c>
      <c r="R135" s="2" t="s">
        <v>708</v>
      </c>
      <c r="S135" s="2" t="s">
        <v>712</v>
      </c>
      <c r="T135" s="2" t="s">
        <v>730</v>
      </c>
      <c r="U135" t="e">
        <f>(AE135/#REF!)*100</f>
        <v>#REF!</v>
      </c>
      <c r="V135" s="2" t="s">
        <v>867</v>
      </c>
      <c r="W135" s="7">
        <v>304.77999999999997</v>
      </c>
      <c r="X135" s="7">
        <v>537.27</v>
      </c>
      <c r="Y135" s="7">
        <f t="shared" si="30"/>
        <v>537.27</v>
      </c>
      <c r="Z135" s="7" t="str">
        <f t="shared" si="31"/>
        <v>Low</v>
      </c>
      <c r="AA135" s="13">
        <v>0.187</v>
      </c>
      <c r="AB135" s="13">
        <f t="shared" si="32"/>
        <v>0.187</v>
      </c>
      <c r="AC135" s="13" t="str">
        <f t="shared" si="33"/>
        <v>OK</v>
      </c>
      <c r="AD135" s="7">
        <v>8</v>
      </c>
      <c r="AE135" s="7">
        <f>Y135*AD135*(1-AB135)</f>
        <v>3494.4040799999998</v>
      </c>
      <c r="AF135" s="7">
        <f>W135*AD135</f>
        <v>2438.2399999999998</v>
      </c>
      <c r="AG135" s="7">
        <f t="shared" si="34"/>
        <v>1056.16408</v>
      </c>
      <c r="AH135" s="13">
        <f t="shared" si="35"/>
        <v>0.3022444044307549</v>
      </c>
    </row>
    <row r="136" spans="1:34" x14ac:dyDescent="0.35">
      <c r="A136" s="2" t="s">
        <v>149</v>
      </c>
      <c r="B136" s="5">
        <v>45647</v>
      </c>
      <c r="C136" s="5">
        <f>IF(H136&lt;B136,H136,B136)</f>
        <v>45647</v>
      </c>
      <c r="D136" s="5" t="str">
        <f t="shared" si="24"/>
        <v>Dec-2024</v>
      </c>
      <c r="E136" s="5" t="str">
        <f t="shared" si="25"/>
        <v>Dec</v>
      </c>
      <c r="F136" s="5" t="str">
        <f t="shared" si="26"/>
        <v>2024</v>
      </c>
      <c r="G136" s="5" t="str">
        <f t="shared" si="27"/>
        <v>Q4-2024</v>
      </c>
      <c r="H136" s="5">
        <v>45652</v>
      </c>
      <c r="I136" s="5">
        <f>IF(H136&lt;B136, B136+7, H136)</f>
        <v>45652</v>
      </c>
      <c r="J136" s="5" t="str">
        <f>IF(H136&lt;B136, "Invalid","Okay")</f>
        <v>Okay</v>
      </c>
      <c r="K136" s="16">
        <f>I136-C136</f>
        <v>5</v>
      </c>
      <c r="L136" s="16" t="str">
        <f t="shared" si="28"/>
        <v>Target Met</v>
      </c>
      <c r="M136" s="2" t="s">
        <v>648</v>
      </c>
      <c r="N136" s="2" t="s">
        <v>660</v>
      </c>
      <c r="O136" s="2" t="s">
        <v>686</v>
      </c>
      <c r="P136" s="29" t="str">
        <f t="shared" si="29"/>
        <v>Americas→USA→San Francisco</v>
      </c>
      <c r="Q136" s="2" t="s">
        <v>704</v>
      </c>
      <c r="R136" s="2" t="s">
        <v>709</v>
      </c>
      <c r="S136" s="2" t="s">
        <v>724</v>
      </c>
      <c r="T136" s="2" t="s">
        <v>728</v>
      </c>
      <c r="U136" t="e">
        <f>(AE136/#REF!)*100</f>
        <v>#REF!</v>
      </c>
      <c r="V136" s="2" t="s">
        <v>868</v>
      </c>
      <c r="W136" s="7">
        <v>699.57</v>
      </c>
      <c r="X136" s="7">
        <v>572.71</v>
      </c>
      <c r="Y136" s="7">
        <f t="shared" si="30"/>
        <v>572.71</v>
      </c>
      <c r="Z136" s="7" t="str">
        <f t="shared" si="31"/>
        <v>Low</v>
      </c>
      <c r="AA136" s="13">
        <v>0.192</v>
      </c>
      <c r="AB136" s="13">
        <f t="shared" si="32"/>
        <v>0.192</v>
      </c>
      <c r="AC136" s="13" t="str">
        <f t="shared" si="33"/>
        <v>OK</v>
      </c>
      <c r="AD136" s="7">
        <v>26</v>
      </c>
      <c r="AE136" s="7">
        <f>Y136*AD136*(1-AB136)</f>
        <v>12031.491680000001</v>
      </c>
      <c r="AF136" s="7">
        <f>W136*AD136</f>
        <v>18188.82</v>
      </c>
      <c r="AG136" s="7">
        <f t="shared" si="34"/>
        <v>-6157.3283199999987</v>
      </c>
      <c r="AH136" s="13">
        <f t="shared" si="35"/>
        <v>-0.51176765805651114</v>
      </c>
    </row>
    <row r="137" spans="1:34" x14ac:dyDescent="0.35">
      <c r="A137" s="2" t="s">
        <v>150</v>
      </c>
      <c r="B137" s="5">
        <v>45028</v>
      </c>
      <c r="C137" s="5">
        <f>IF(H137&lt;B137,H137,B137)</f>
        <v>45028</v>
      </c>
      <c r="D137" s="5" t="str">
        <f t="shared" si="24"/>
        <v>Apr-2023</v>
      </c>
      <c r="E137" s="5" t="str">
        <f t="shared" si="25"/>
        <v>Apr</v>
      </c>
      <c r="F137" s="5" t="str">
        <f t="shared" si="26"/>
        <v>2023</v>
      </c>
      <c r="G137" s="5" t="str">
        <f t="shared" si="27"/>
        <v>Q2-2023</v>
      </c>
      <c r="H137" s="5">
        <v>45033</v>
      </c>
      <c r="I137" s="5">
        <f>IF(H137&lt;B137, B137+7, H137)</f>
        <v>45033</v>
      </c>
      <c r="J137" s="5" t="str">
        <f>IF(H137&lt;B137, "Invalid","Okay")</f>
        <v>Okay</v>
      </c>
      <c r="K137" s="16">
        <f>I137-C137</f>
        <v>5</v>
      </c>
      <c r="L137" s="16" t="str">
        <f t="shared" si="28"/>
        <v>Target Met</v>
      </c>
      <c r="M137" s="2" t="s">
        <v>649</v>
      </c>
      <c r="N137" s="2" t="s">
        <v>657</v>
      </c>
      <c r="O137" s="2" t="s">
        <v>679</v>
      </c>
      <c r="P137" s="29" t="str">
        <f t="shared" si="29"/>
        <v>Europe→France→Lyon</v>
      </c>
      <c r="Q137" s="2" t="s">
        <v>706</v>
      </c>
      <c r="R137" s="2" t="s">
        <v>711</v>
      </c>
      <c r="S137" s="2" t="s">
        <v>718</v>
      </c>
      <c r="T137" s="2" t="s">
        <v>732</v>
      </c>
      <c r="U137" t="e">
        <f>(AE137/#REF!)*100</f>
        <v>#REF!</v>
      </c>
      <c r="V137" s="2" t="s">
        <v>869</v>
      </c>
      <c r="W137" s="7">
        <v>1087.81</v>
      </c>
      <c r="X137" s="7">
        <v>2323.87</v>
      </c>
      <c r="Y137" s="7">
        <f t="shared" si="30"/>
        <v>2323.87</v>
      </c>
      <c r="Z137" s="7" t="str">
        <f t="shared" si="31"/>
        <v>High</v>
      </c>
      <c r="AA137" s="13">
        <v>9.4E-2</v>
      </c>
      <c r="AB137" s="13">
        <f t="shared" si="32"/>
        <v>9.4E-2</v>
      </c>
      <c r="AC137" s="13" t="str">
        <f t="shared" si="33"/>
        <v>OK</v>
      </c>
      <c r="AD137" s="7">
        <v>13</v>
      </c>
      <c r="AE137" s="7">
        <f>Y137*AD137*(1-AB137)</f>
        <v>27370.540859999997</v>
      </c>
      <c r="AF137" s="7">
        <f>W137*AD137</f>
        <v>14141.529999999999</v>
      </c>
      <c r="AG137" s="7">
        <f t="shared" si="34"/>
        <v>13229.010859999999</v>
      </c>
      <c r="AH137" s="13">
        <f t="shared" si="35"/>
        <v>0.48333026839572651</v>
      </c>
    </row>
    <row r="138" spans="1:34" x14ac:dyDescent="0.35">
      <c r="A138" s="2" t="s">
        <v>151</v>
      </c>
      <c r="B138" s="5">
        <v>45640</v>
      </c>
      <c r="C138" s="5">
        <f>IF(H138&lt;B138,H138,B138)</f>
        <v>45640</v>
      </c>
      <c r="D138" s="5" t="str">
        <f t="shared" si="24"/>
        <v>Dec-2024</v>
      </c>
      <c r="E138" s="5" t="str">
        <f t="shared" si="25"/>
        <v>Dec</v>
      </c>
      <c r="F138" s="5" t="str">
        <f t="shared" si="26"/>
        <v>2024</v>
      </c>
      <c r="G138" s="5" t="str">
        <f t="shared" si="27"/>
        <v>Q4-2024</v>
      </c>
      <c r="H138" s="5">
        <v>45669</v>
      </c>
      <c r="I138" s="5">
        <f>IF(H138&lt;B138, B138+7, H138)</f>
        <v>45669</v>
      </c>
      <c r="J138" s="5" t="str">
        <f>IF(H138&lt;B138, "Invalid","Okay")</f>
        <v>Okay</v>
      </c>
      <c r="K138" s="16">
        <f>I138-C138</f>
        <v>29</v>
      </c>
      <c r="L138" s="16" t="str">
        <f t="shared" si="28"/>
        <v>Target Not Met</v>
      </c>
      <c r="M138" s="2" t="s">
        <v>647</v>
      </c>
      <c r="N138" s="2" t="s">
        <v>659</v>
      </c>
      <c r="O138" s="2" t="s">
        <v>676</v>
      </c>
      <c r="P138" s="29" t="str">
        <f t="shared" si="29"/>
        <v>Asia→China→Shenzhen</v>
      </c>
      <c r="Q138" s="2" t="s">
        <v>702</v>
      </c>
      <c r="R138" s="2" t="s">
        <v>708</v>
      </c>
      <c r="S138" s="2" t="s">
        <v>713</v>
      </c>
      <c r="T138" s="2" t="s">
        <v>727</v>
      </c>
      <c r="U138" t="e">
        <f>(AE138/#REF!)*100</f>
        <v>#REF!</v>
      </c>
      <c r="V138" s="2" t="s">
        <v>870</v>
      </c>
      <c r="W138" s="7">
        <v>1412.15</v>
      </c>
      <c r="X138" s="7">
        <v>1631.04</v>
      </c>
      <c r="Y138" s="7">
        <f t="shared" si="30"/>
        <v>1631.04</v>
      </c>
      <c r="Z138" s="7" t="str">
        <f t="shared" si="31"/>
        <v>Medium</v>
      </c>
      <c r="AA138" s="13">
        <v>8.9999999999999993E-3</v>
      </c>
      <c r="AB138" s="13">
        <f t="shared" si="32"/>
        <v>8.9999999999999993E-3</v>
      </c>
      <c r="AC138" s="13" t="str">
        <f t="shared" si="33"/>
        <v>OK</v>
      </c>
      <c r="AD138" s="7">
        <v>6</v>
      </c>
      <c r="AE138" s="7">
        <f>Y138*AD138*(1-AB138)</f>
        <v>9698.1638399999993</v>
      </c>
      <c r="AF138" s="7">
        <f>W138*AD138</f>
        <v>8472.9000000000015</v>
      </c>
      <c r="AG138" s="7">
        <f t="shared" si="34"/>
        <v>1225.2638399999978</v>
      </c>
      <c r="AH138" s="13">
        <f t="shared" si="35"/>
        <v>0.12633977526203535</v>
      </c>
    </row>
    <row r="139" spans="1:34" x14ac:dyDescent="0.35">
      <c r="A139" s="2" t="s">
        <v>152</v>
      </c>
      <c r="B139" s="5">
        <v>45016</v>
      </c>
      <c r="C139" s="5">
        <f>IF(H139&lt;B139,H139,B139)</f>
        <v>45016</v>
      </c>
      <c r="D139" s="5" t="str">
        <f t="shared" si="24"/>
        <v>Mar-2023</v>
      </c>
      <c r="E139" s="5" t="str">
        <f t="shared" si="25"/>
        <v>Mar</v>
      </c>
      <c r="F139" s="5" t="str">
        <f t="shared" si="26"/>
        <v>2023</v>
      </c>
      <c r="G139" s="5" t="str">
        <f t="shared" si="27"/>
        <v>Q1-2023</v>
      </c>
      <c r="H139" s="5">
        <v>45028</v>
      </c>
      <c r="I139" s="5">
        <f>IF(H139&lt;B139, B139+7, H139)</f>
        <v>45028</v>
      </c>
      <c r="J139" s="5" t="str">
        <f>IF(H139&lt;B139, "Invalid","Okay")</f>
        <v>Okay</v>
      </c>
      <c r="K139" s="16">
        <f>I139-C139</f>
        <v>12</v>
      </c>
      <c r="L139" s="16" t="str">
        <f t="shared" si="28"/>
        <v>Target Not Met</v>
      </c>
      <c r="M139" s="2" t="s">
        <v>646</v>
      </c>
      <c r="N139" s="2" t="s">
        <v>650</v>
      </c>
      <c r="O139" s="2" t="s">
        <v>675</v>
      </c>
      <c r="P139" s="29" t="str">
        <f t="shared" si="29"/>
        <v>Africa→Kenya→Mombasa</v>
      </c>
      <c r="Q139" s="2" t="s">
        <v>705</v>
      </c>
      <c r="R139" s="2" t="s">
        <v>708</v>
      </c>
      <c r="S139" s="2" t="s">
        <v>712</v>
      </c>
      <c r="T139" s="2" t="s">
        <v>730</v>
      </c>
      <c r="U139" t="e">
        <f>(AE139/#REF!)*100</f>
        <v>#REF!</v>
      </c>
      <c r="V139" s="2" t="s">
        <v>871</v>
      </c>
      <c r="W139" s="7">
        <v>304.22000000000003</v>
      </c>
      <c r="X139" s="7">
        <v>393.31</v>
      </c>
      <c r="Y139" s="7">
        <f t="shared" si="30"/>
        <v>393.31</v>
      </c>
      <c r="Z139" s="7" t="str">
        <f t="shared" si="31"/>
        <v>Low</v>
      </c>
      <c r="AA139" s="13">
        <v>0.26500000000000001</v>
      </c>
      <c r="AB139" s="13">
        <f t="shared" si="32"/>
        <v>0.26500000000000001</v>
      </c>
      <c r="AC139" s="13" t="str">
        <f t="shared" si="33"/>
        <v>OK</v>
      </c>
      <c r="AD139" s="7">
        <v>15</v>
      </c>
      <c r="AE139" s="7">
        <f>Y139*AD139*(1-AB139)</f>
        <v>4336.2427499999994</v>
      </c>
      <c r="AF139" s="7">
        <f>W139*AD139</f>
        <v>4563.3</v>
      </c>
      <c r="AG139" s="7">
        <f t="shared" si="34"/>
        <v>-227.05725000000075</v>
      </c>
      <c r="AH139" s="13">
        <f t="shared" si="35"/>
        <v>-5.2362670424759034E-2</v>
      </c>
    </row>
    <row r="140" spans="1:34" x14ac:dyDescent="0.35">
      <c r="A140" s="2" t="s">
        <v>153</v>
      </c>
      <c r="B140" s="5">
        <v>45616</v>
      </c>
      <c r="C140" s="5">
        <f>IF(H140&lt;B140,H140,B140)</f>
        <v>45616</v>
      </c>
      <c r="D140" s="5" t="str">
        <f t="shared" si="24"/>
        <v>Nov-2024</v>
      </c>
      <c r="E140" s="5" t="str">
        <f t="shared" si="25"/>
        <v>Nov</v>
      </c>
      <c r="F140" s="5" t="str">
        <f t="shared" si="26"/>
        <v>2024</v>
      </c>
      <c r="G140" s="5" t="str">
        <f t="shared" si="27"/>
        <v>Q4-2024</v>
      </c>
      <c r="H140" s="5">
        <v>45641</v>
      </c>
      <c r="I140" s="5">
        <f>IF(H140&lt;B140, B140+7, H140)</f>
        <v>45641</v>
      </c>
      <c r="J140" s="5" t="str">
        <f>IF(H140&lt;B140, "Invalid","Okay")</f>
        <v>Okay</v>
      </c>
      <c r="K140" s="16">
        <f>I140-C140</f>
        <v>25</v>
      </c>
      <c r="L140" s="16" t="str">
        <f t="shared" si="28"/>
        <v>Target Not Met</v>
      </c>
      <c r="M140" s="2" t="s">
        <v>649</v>
      </c>
      <c r="N140" s="2" t="s">
        <v>657</v>
      </c>
      <c r="O140" s="2" t="s">
        <v>690</v>
      </c>
      <c r="P140" s="29" t="str">
        <f t="shared" si="29"/>
        <v>Europe→France→Paris</v>
      </c>
      <c r="Q140" s="2" t="s">
        <v>701</v>
      </c>
      <c r="R140" s="2" t="s">
        <v>708</v>
      </c>
      <c r="S140" s="2" t="s">
        <v>715</v>
      </c>
      <c r="T140" s="2" t="s">
        <v>728</v>
      </c>
      <c r="U140" t="e">
        <f>(AE140/#REF!)*100</f>
        <v>#REF!</v>
      </c>
      <c r="V140" s="2" t="s">
        <v>872</v>
      </c>
      <c r="W140" s="7">
        <v>1203.58</v>
      </c>
      <c r="X140" s="7">
        <v>1856.16</v>
      </c>
      <c r="Y140" s="7">
        <f t="shared" si="30"/>
        <v>1856.16</v>
      </c>
      <c r="Z140" s="7" t="str">
        <f t="shared" si="31"/>
        <v>Medium</v>
      </c>
      <c r="AA140" s="13">
        <v>0.129</v>
      </c>
      <c r="AB140" s="13">
        <f t="shared" si="32"/>
        <v>0.129</v>
      </c>
      <c r="AC140" s="13" t="str">
        <f t="shared" si="33"/>
        <v>OK</v>
      </c>
      <c r="AD140" s="7">
        <v>22</v>
      </c>
      <c r="AE140" s="7">
        <f>Y140*AD140*(1-AB140)</f>
        <v>35567.737920000007</v>
      </c>
      <c r="AF140" s="7">
        <f>W140*AD140</f>
        <v>26478.76</v>
      </c>
      <c r="AG140" s="7">
        <f t="shared" si="34"/>
        <v>9088.9779200000085</v>
      </c>
      <c r="AH140" s="13">
        <f t="shared" si="35"/>
        <v>0.25553994860295032</v>
      </c>
    </row>
    <row r="141" spans="1:34" x14ac:dyDescent="0.35">
      <c r="A141" s="2" t="s">
        <v>154</v>
      </c>
      <c r="B141" s="5">
        <v>45336</v>
      </c>
      <c r="C141" s="5">
        <f>IF(H141&lt;B141,H141,B141)</f>
        <v>45336</v>
      </c>
      <c r="D141" s="5" t="str">
        <f t="shared" si="24"/>
        <v>Feb-2024</v>
      </c>
      <c r="E141" s="5" t="str">
        <f t="shared" si="25"/>
        <v>Feb</v>
      </c>
      <c r="F141" s="5" t="str">
        <f t="shared" si="26"/>
        <v>2024</v>
      </c>
      <c r="G141" s="5" t="str">
        <f t="shared" si="27"/>
        <v>Q1-2024</v>
      </c>
      <c r="H141" s="5">
        <v>45336</v>
      </c>
      <c r="I141" s="5">
        <f>IF(H141&lt;B141, B141+7, H141)</f>
        <v>45336</v>
      </c>
      <c r="J141" s="5" t="str">
        <f>IF(H141&lt;B141, "Invalid","Okay")</f>
        <v>Okay</v>
      </c>
      <c r="K141" s="16">
        <f>I141-C141</f>
        <v>0</v>
      </c>
      <c r="L141" s="16" t="str">
        <f t="shared" si="28"/>
        <v>Target Met</v>
      </c>
      <c r="M141" s="2" t="s">
        <v>647</v>
      </c>
      <c r="N141" s="2" t="s">
        <v>659</v>
      </c>
      <c r="O141" s="2" t="s">
        <v>699</v>
      </c>
      <c r="P141" s="29" t="str">
        <f t="shared" si="29"/>
        <v>Asia→China→Beijing</v>
      </c>
      <c r="Q141" s="2" t="s">
        <v>701</v>
      </c>
      <c r="R141" s="2" t="s">
        <v>710</v>
      </c>
      <c r="S141" s="2" t="s">
        <v>716</v>
      </c>
      <c r="T141" s="2" t="s">
        <v>733</v>
      </c>
      <c r="U141" t="e">
        <f>(AE141/#REF!)*100</f>
        <v>#REF!</v>
      </c>
      <c r="V141" s="2" t="s">
        <v>873</v>
      </c>
      <c r="W141" s="7">
        <v>65.930000000000007</v>
      </c>
      <c r="X141" s="7">
        <v>84.9</v>
      </c>
      <c r="Y141" s="7">
        <f t="shared" si="30"/>
        <v>84.9</v>
      </c>
      <c r="Z141" s="7" t="str">
        <f t="shared" si="31"/>
        <v>Low</v>
      </c>
      <c r="AA141" s="13">
        <v>0.25900000000000001</v>
      </c>
      <c r="AB141" s="13">
        <f t="shared" si="32"/>
        <v>0.25900000000000001</v>
      </c>
      <c r="AC141" s="13" t="str">
        <f t="shared" si="33"/>
        <v>OK</v>
      </c>
      <c r="AD141" s="7">
        <v>23</v>
      </c>
      <c r="AE141" s="7">
        <f>Y141*AD141*(1-AB141)</f>
        <v>1446.9507000000001</v>
      </c>
      <c r="AF141" s="7">
        <f>W141*AD141</f>
        <v>1516.39</v>
      </c>
      <c r="AG141" s="7">
        <f t="shared" si="34"/>
        <v>-69.439300000000003</v>
      </c>
      <c r="AH141" s="13">
        <f t="shared" si="35"/>
        <v>-4.7990093926489688E-2</v>
      </c>
    </row>
    <row r="142" spans="1:34" x14ac:dyDescent="0.35">
      <c r="A142" s="2" t="s">
        <v>155</v>
      </c>
      <c r="B142" s="5">
        <v>45048</v>
      </c>
      <c r="C142" s="5">
        <f>IF(H142&lt;B142,H142,B142)</f>
        <v>45048</v>
      </c>
      <c r="D142" s="5" t="str">
        <f t="shared" si="24"/>
        <v>May-2023</v>
      </c>
      <c r="E142" s="5" t="str">
        <f t="shared" si="25"/>
        <v>May</v>
      </c>
      <c r="F142" s="5" t="str">
        <f t="shared" si="26"/>
        <v>2023</v>
      </c>
      <c r="G142" s="5" t="str">
        <f t="shared" si="27"/>
        <v>Q2-2023</v>
      </c>
      <c r="H142" s="5">
        <v>45064</v>
      </c>
      <c r="I142" s="5">
        <f>IF(H142&lt;B142, B142+7, H142)</f>
        <v>45064</v>
      </c>
      <c r="J142" s="5" t="str">
        <f>IF(H142&lt;B142, "Invalid","Okay")</f>
        <v>Okay</v>
      </c>
      <c r="K142" s="16">
        <f>I142-C142</f>
        <v>16</v>
      </c>
      <c r="L142" s="16" t="str">
        <f t="shared" si="28"/>
        <v>Target Not Met</v>
      </c>
      <c r="M142" s="2" t="s">
        <v>647</v>
      </c>
      <c r="N142" s="2" t="s">
        <v>654</v>
      </c>
      <c r="O142" s="2" t="s">
        <v>680</v>
      </c>
      <c r="P142" s="29" t="str">
        <f t="shared" si="29"/>
        <v>Asia→India→Delhi</v>
      </c>
      <c r="Q142" s="2" t="s">
        <v>705</v>
      </c>
      <c r="R142" s="2" t="s">
        <v>709</v>
      </c>
      <c r="S142" s="2" t="s">
        <v>723</v>
      </c>
      <c r="T142" s="2" t="s">
        <v>732</v>
      </c>
      <c r="U142" t="e">
        <f>(AE142/#REF!)*100</f>
        <v>#REF!</v>
      </c>
      <c r="V142" s="2" t="s">
        <v>874</v>
      </c>
      <c r="W142" s="7">
        <v>1463.92</v>
      </c>
      <c r="X142" s="7">
        <v>2252.2399999999998</v>
      </c>
      <c r="Y142" s="7">
        <f t="shared" si="30"/>
        <v>2252.2399999999998</v>
      </c>
      <c r="Z142" s="7" t="str">
        <f t="shared" si="31"/>
        <v>High</v>
      </c>
      <c r="AA142" s="13">
        <v>0.11799999999999999</v>
      </c>
      <c r="AB142" s="13">
        <f t="shared" si="32"/>
        <v>0.11799999999999999</v>
      </c>
      <c r="AC142" s="13" t="str">
        <f t="shared" si="33"/>
        <v>OK</v>
      </c>
      <c r="AD142" s="7">
        <v>44</v>
      </c>
      <c r="AE142" s="7">
        <f>Y142*AD142*(1-AB142)</f>
        <v>87404.929919999995</v>
      </c>
      <c r="AF142" s="7">
        <f>W142*AD142</f>
        <v>64412.480000000003</v>
      </c>
      <c r="AG142" s="7">
        <f t="shared" si="34"/>
        <v>22992.449919999992</v>
      </c>
      <c r="AH142" s="13">
        <f t="shared" si="35"/>
        <v>0.26305667130040061</v>
      </c>
    </row>
    <row r="143" spans="1:34" x14ac:dyDescent="0.35">
      <c r="A143" s="2" t="s">
        <v>156</v>
      </c>
      <c r="B143" s="5">
        <v>45649</v>
      </c>
      <c r="C143" s="5">
        <f>IF(H143&lt;B143,H143,B143)</f>
        <v>45649</v>
      </c>
      <c r="D143" s="5" t="str">
        <f t="shared" si="24"/>
        <v>Dec-2024</v>
      </c>
      <c r="E143" s="5" t="str">
        <f t="shared" si="25"/>
        <v>Dec</v>
      </c>
      <c r="F143" s="5" t="str">
        <f t="shared" si="26"/>
        <v>2024</v>
      </c>
      <c r="G143" s="5" t="str">
        <f t="shared" si="27"/>
        <v>Q4-2024</v>
      </c>
      <c r="H143" s="5">
        <v>45668</v>
      </c>
      <c r="I143" s="5">
        <f>IF(H143&lt;B143, B143+7, H143)</f>
        <v>45668</v>
      </c>
      <c r="J143" s="5" t="str">
        <f>IF(H143&lt;B143, "Invalid","Okay")</f>
        <v>Okay</v>
      </c>
      <c r="K143" s="16">
        <f>I143-C143</f>
        <v>19</v>
      </c>
      <c r="L143" s="16" t="str">
        <f t="shared" si="28"/>
        <v>Target Not Met</v>
      </c>
      <c r="M143" s="2" t="s">
        <v>649</v>
      </c>
      <c r="N143" s="2" t="s">
        <v>656</v>
      </c>
      <c r="O143" s="2" t="s">
        <v>671</v>
      </c>
      <c r="P143" s="29" t="str">
        <f t="shared" si="29"/>
        <v>Europe→Germany→Berlin</v>
      </c>
      <c r="Q143" s="2" t="s">
        <v>702</v>
      </c>
      <c r="R143" s="2" t="s">
        <v>707</v>
      </c>
      <c r="S143" s="2" t="s">
        <v>723</v>
      </c>
      <c r="T143" s="2" t="s">
        <v>730</v>
      </c>
      <c r="U143" t="e">
        <f>(AE143/#REF!)*100</f>
        <v>#REF!</v>
      </c>
      <c r="V143" s="2" t="s">
        <v>875</v>
      </c>
      <c r="W143" s="7">
        <v>501.81</v>
      </c>
      <c r="X143" s="7">
        <v>921.62</v>
      </c>
      <c r="Y143" s="7">
        <f t="shared" si="30"/>
        <v>921.62</v>
      </c>
      <c r="Z143" s="7" t="str">
        <f t="shared" si="31"/>
        <v>Low</v>
      </c>
      <c r="AA143" s="13">
        <v>0.01</v>
      </c>
      <c r="AB143" s="13">
        <f t="shared" si="32"/>
        <v>0.01</v>
      </c>
      <c r="AC143" s="13" t="str">
        <f t="shared" si="33"/>
        <v>OK</v>
      </c>
      <c r="AD143" s="7">
        <v>9</v>
      </c>
      <c r="AE143" s="7">
        <f>Y143*AD143*(1-AB143)</f>
        <v>8211.6342000000004</v>
      </c>
      <c r="AF143" s="7">
        <f>W143*AD143</f>
        <v>4516.29</v>
      </c>
      <c r="AG143" s="7">
        <f t="shared" si="34"/>
        <v>3695.3442000000005</v>
      </c>
      <c r="AH143" s="13">
        <f t="shared" si="35"/>
        <v>0.45001325071202031</v>
      </c>
    </row>
    <row r="144" spans="1:34" x14ac:dyDescent="0.35">
      <c r="A144" s="2" t="s">
        <v>157</v>
      </c>
      <c r="B144" s="5">
        <v>45133</v>
      </c>
      <c r="C144" s="5">
        <f>IF(H144&lt;B144,H144,B144)</f>
        <v>45133</v>
      </c>
      <c r="D144" s="5" t="str">
        <f t="shared" si="24"/>
        <v>Jul-2023</v>
      </c>
      <c r="E144" s="5" t="str">
        <f t="shared" si="25"/>
        <v>Jul</v>
      </c>
      <c r="F144" s="5" t="str">
        <f t="shared" si="26"/>
        <v>2023</v>
      </c>
      <c r="G144" s="5" t="str">
        <f t="shared" si="27"/>
        <v>Q3-2023</v>
      </c>
      <c r="H144" s="5">
        <v>45163</v>
      </c>
      <c r="I144" s="5">
        <f>IF(H144&lt;B144, B144+7, H144)</f>
        <v>45163</v>
      </c>
      <c r="J144" s="5" t="str">
        <f>IF(H144&lt;B144, "Invalid","Okay")</f>
        <v>Okay</v>
      </c>
      <c r="K144" s="16">
        <f>I144-C144</f>
        <v>30</v>
      </c>
      <c r="L144" s="16" t="str">
        <f t="shared" si="28"/>
        <v>Target Not Met</v>
      </c>
      <c r="M144" s="2" t="s">
        <v>648</v>
      </c>
      <c r="N144" s="2" t="s">
        <v>660</v>
      </c>
      <c r="O144" s="2" t="s">
        <v>700</v>
      </c>
      <c r="P144" s="29" t="str">
        <f t="shared" si="29"/>
        <v>Americas→USA→New York</v>
      </c>
      <c r="Q144" s="2" t="s">
        <v>704</v>
      </c>
      <c r="R144" s="2" t="s">
        <v>707</v>
      </c>
      <c r="S144" s="2" t="s">
        <v>724</v>
      </c>
      <c r="T144" s="2" t="s">
        <v>733</v>
      </c>
      <c r="U144" t="e">
        <f>(AE144/#REF!)*100</f>
        <v>#REF!</v>
      </c>
      <c r="V144" s="2" t="s">
        <v>876</v>
      </c>
      <c r="W144" s="7">
        <v>1261.48</v>
      </c>
      <c r="X144" s="7">
        <v>1643.18</v>
      </c>
      <c r="Y144" s="7">
        <f t="shared" si="30"/>
        <v>1643.18</v>
      </c>
      <c r="Z144" s="7" t="str">
        <f t="shared" si="31"/>
        <v>Medium</v>
      </c>
      <c r="AA144" s="13">
        <v>0.151</v>
      </c>
      <c r="AB144" s="13">
        <f t="shared" si="32"/>
        <v>0.151</v>
      </c>
      <c r="AC144" s="13" t="str">
        <f t="shared" si="33"/>
        <v>OK</v>
      </c>
      <c r="AD144" s="7">
        <v>23</v>
      </c>
      <c r="AE144" s="7">
        <f>Y144*AD144*(1-AB144)</f>
        <v>32086.37586</v>
      </c>
      <c r="AF144" s="7">
        <f>W144*AD144</f>
        <v>29014.04</v>
      </c>
      <c r="AG144" s="7">
        <f t="shared" si="34"/>
        <v>3072.3358599999992</v>
      </c>
      <c r="AH144" s="13">
        <f t="shared" si="35"/>
        <v>9.5752037357079045E-2</v>
      </c>
    </row>
    <row r="145" spans="1:34" x14ac:dyDescent="0.35">
      <c r="A145" s="2" t="s">
        <v>158</v>
      </c>
      <c r="B145" s="5">
        <v>45458</v>
      </c>
      <c r="C145" s="5">
        <f>IF(H145&lt;B145,H145,B145)</f>
        <v>45458</v>
      </c>
      <c r="D145" s="5" t="str">
        <f t="shared" si="24"/>
        <v>Jun-2024</v>
      </c>
      <c r="E145" s="5" t="str">
        <f t="shared" si="25"/>
        <v>Jun</v>
      </c>
      <c r="F145" s="5" t="str">
        <f t="shared" si="26"/>
        <v>2024</v>
      </c>
      <c r="G145" s="5" t="str">
        <f t="shared" si="27"/>
        <v>Q2-2024</v>
      </c>
      <c r="H145" s="5">
        <v>45479</v>
      </c>
      <c r="I145" s="5">
        <f>IF(H145&lt;B145, B145+7, H145)</f>
        <v>45479</v>
      </c>
      <c r="J145" s="5" t="str">
        <f>IF(H145&lt;B145, "Invalid","Okay")</f>
        <v>Okay</v>
      </c>
      <c r="K145" s="16">
        <f>I145-C145</f>
        <v>21</v>
      </c>
      <c r="L145" s="16" t="str">
        <f t="shared" si="28"/>
        <v>Target Not Met</v>
      </c>
      <c r="M145" s="2" t="s">
        <v>648</v>
      </c>
      <c r="N145" s="2" t="s">
        <v>653</v>
      </c>
      <c r="O145" s="2" t="s">
        <v>667</v>
      </c>
      <c r="P145" s="29" t="str">
        <f t="shared" si="29"/>
        <v>Americas→Canada→Toronto</v>
      </c>
      <c r="Q145" s="2" t="s">
        <v>706</v>
      </c>
      <c r="R145" s="2" t="s">
        <v>710</v>
      </c>
      <c r="S145" s="2" t="s">
        <v>716</v>
      </c>
      <c r="T145" s="2" t="s">
        <v>728</v>
      </c>
      <c r="U145" t="e">
        <f>(AE145/#REF!)*100</f>
        <v>#REF!</v>
      </c>
      <c r="V145" s="2" t="s">
        <v>877</v>
      </c>
      <c r="W145" s="7">
        <v>817.23</v>
      </c>
      <c r="X145" s="7">
        <v>1467.17</v>
      </c>
      <c r="Y145" s="7">
        <f t="shared" si="30"/>
        <v>1467.17</v>
      </c>
      <c r="Z145" s="7" t="str">
        <f t="shared" si="31"/>
        <v>Medium</v>
      </c>
      <c r="AA145" s="13">
        <v>0.245</v>
      </c>
      <c r="AB145" s="13">
        <f t="shared" si="32"/>
        <v>0.245</v>
      </c>
      <c r="AC145" s="13" t="str">
        <f t="shared" si="33"/>
        <v>OK</v>
      </c>
      <c r="AD145" s="7">
        <v>9</v>
      </c>
      <c r="AE145" s="7">
        <f>Y145*AD145*(1-AB145)</f>
        <v>9969.4201499999999</v>
      </c>
      <c r="AF145" s="7">
        <f>W145*AD145</f>
        <v>7355.07</v>
      </c>
      <c r="AG145" s="7">
        <f t="shared" si="34"/>
        <v>2614.3501500000002</v>
      </c>
      <c r="AH145" s="13">
        <f t="shared" si="35"/>
        <v>0.26223693160328893</v>
      </c>
    </row>
    <row r="146" spans="1:34" x14ac:dyDescent="0.35">
      <c r="A146" s="2" t="s">
        <v>159</v>
      </c>
      <c r="B146" s="5">
        <v>45112</v>
      </c>
      <c r="C146" s="5">
        <f>IF(H146&lt;B146,H146,B146)</f>
        <v>45112</v>
      </c>
      <c r="D146" s="5" t="str">
        <f t="shared" si="24"/>
        <v>Jul-2023</v>
      </c>
      <c r="E146" s="5" t="str">
        <f t="shared" si="25"/>
        <v>Jul</v>
      </c>
      <c r="F146" s="5" t="str">
        <f t="shared" si="26"/>
        <v>2023</v>
      </c>
      <c r="G146" s="5" t="str">
        <f t="shared" si="27"/>
        <v>Q3-2023</v>
      </c>
      <c r="H146" s="5">
        <v>45121</v>
      </c>
      <c r="I146" s="5">
        <f>IF(H146&lt;B146, B146+7, H146)</f>
        <v>45121</v>
      </c>
      <c r="J146" s="5" t="str">
        <f>IF(H146&lt;B146, "Invalid","Okay")</f>
        <v>Okay</v>
      </c>
      <c r="K146" s="16">
        <f>I146-C146</f>
        <v>9</v>
      </c>
      <c r="L146" s="16" t="str">
        <f t="shared" si="28"/>
        <v>Target Not Met</v>
      </c>
      <c r="M146" s="2" t="s">
        <v>648</v>
      </c>
      <c r="N146" s="2" t="s">
        <v>655</v>
      </c>
      <c r="O146" s="2" t="s">
        <v>672</v>
      </c>
      <c r="P146" s="29" t="str">
        <f t="shared" si="29"/>
        <v>Americas→Brazil→Brasília</v>
      </c>
      <c r="Q146" s="2" t="s">
        <v>706</v>
      </c>
      <c r="R146" s="2" t="s">
        <v>711</v>
      </c>
      <c r="S146" s="2" t="s">
        <v>717</v>
      </c>
      <c r="T146" s="2" t="s">
        <v>729</v>
      </c>
      <c r="U146" t="e">
        <f>(AE146/#REF!)*100</f>
        <v>#REF!</v>
      </c>
      <c r="V146" s="2" t="s">
        <v>878</v>
      </c>
      <c r="W146" s="7">
        <v>578.85</v>
      </c>
      <c r="X146" s="7">
        <v>998.76</v>
      </c>
      <c r="Y146" s="7">
        <f t="shared" si="30"/>
        <v>998.76</v>
      </c>
      <c r="Z146" s="7" t="str">
        <f t="shared" si="31"/>
        <v>Low</v>
      </c>
      <c r="AA146" s="13">
        <v>8.2000000000000003E-2</v>
      </c>
      <c r="AB146" s="13">
        <f t="shared" si="32"/>
        <v>8.2000000000000003E-2</v>
      </c>
      <c r="AC146" s="13" t="str">
        <f t="shared" si="33"/>
        <v>OK</v>
      </c>
      <c r="AD146" s="7">
        <v>28</v>
      </c>
      <c r="AE146" s="7">
        <f>Y146*AD146*(1-AB146)</f>
        <v>25672.127039999999</v>
      </c>
      <c r="AF146" s="7">
        <f>W146*AD146</f>
        <v>16207.800000000001</v>
      </c>
      <c r="AG146" s="7">
        <f t="shared" si="34"/>
        <v>9464.3270399999983</v>
      </c>
      <c r="AH146" s="13">
        <f t="shared" si="35"/>
        <v>0.36866158480960831</v>
      </c>
    </row>
    <row r="147" spans="1:34" x14ac:dyDescent="0.35">
      <c r="A147" s="2" t="s">
        <v>160</v>
      </c>
      <c r="B147" s="5">
        <v>45260</v>
      </c>
      <c r="C147" s="5">
        <f>IF(H147&lt;B147,H147,B147)</f>
        <v>45259</v>
      </c>
      <c r="D147" s="5" t="str">
        <f t="shared" si="24"/>
        <v>Nov-2023</v>
      </c>
      <c r="E147" s="5" t="str">
        <f t="shared" si="25"/>
        <v>Nov</v>
      </c>
      <c r="F147" s="5" t="str">
        <f t="shared" si="26"/>
        <v>2023</v>
      </c>
      <c r="G147" s="5" t="str">
        <f t="shared" si="27"/>
        <v>Q4-2023</v>
      </c>
      <c r="H147" s="5">
        <v>45259</v>
      </c>
      <c r="I147" s="5">
        <f>IF(H147&lt;B147, B147+7, H147)</f>
        <v>45267</v>
      </c>
      <c r="J147" s="5" t="str">
        <f>IF(H147&lt;B147, "Invalid","Okay")</f>
        <v>Invalid</v>
      </c>
      <c r="K147" s="16">
        <f>I147-C147</f>
        <v>8</v>
      </c>
      <c r="L147" s="16" t="str">
        <f t="shared" si="28"/>
        <v>Target Not Met</v>
      </c>
      <c r="M147" s="2" t="s">
        <v>646</v>
      </c>
      <c r="N147" s="2" t="s">
        <v>661</v>
      </c>
      <c r="O147" s="2" t="s">
        <v>687</v>
      </c>
      <c r="P147" s="29" t="str">
        <f t="shared" si="29"/>
        <v>Africa→South Africa→Durban</v>
      </c>
      <c r="Q147" s="2" t="s">
        <v>705</v>
      </c>
      <c r="R147" s="2" t="s">
        <v>709</v>
      </c>
      <c r="S147" s="2" t="s">
        <v>718</v>
      </c>
      <c r="T147" s="2" t="s">
        <v>731</v>
      </c>
      <c r="U147" t="e">
        <f>(AE147/#REF!)*100</f>
        <v>#REF!</v>
      </c>
      <c r="V147" s="2" t="s">
        <v>879</v>
      </c>
      <c r="W147" s="7">
        <v>275.56</v>
      </c>
      <c r="X147" s="7">
        <v>630.72</v>
      </c>
      <c r="Y147" s="7">
        <f t="shared" si="30"/>
        <v>630.72</v>
      </c>
      <c r="Z147" s="7" t="str">
        <f t="shared" si="31"/>
        <v>Low</v>
      </c>
      <c r="AA147" s="13">
        <v>0.107</v>
      </c>
      <c r="AB147" s="13">
        <f t="shared" si="32"/>
        <v>0.107</v>
      </c>
      <c r="AC147" s="13" t="str">
        <f t="shared" si="33"/>
        <v>OK</v>
      </c>
      <c r="AD147" s="7">
        <v>23</v>
      </c>
      <c r="AE147" s="7">
        <f>Y147*AD147*(1-AB147)</f>
        <v>12954.358080000002</v>
      </c>
      <c r="AF147" s="7">
        <f>W147*AD147</f>
        <v>6337.88</v>
      </c>
      <c r="AG147" s="7">
        <f t="shared" si="34"/>
        <v>6616.4780800000017</v>
      </c>
      <c r="AH147" s="13">
        <f t="shared" si="35"/>
        <v>0.5107530638831933</v>
      </c>
    </row>
    <row r="148" spans="1:34" x14ac:dyDescent="0.35">
      <c r="A148" s="2" t="s">
        <v>161</v>
      </c>
      <c r="B148" s="5">
        <v>45911</v>
      </c>
      <c r="C148" s="5">
        <f>IF(H148&lt;B148,H148,B148)</f>
        <v>45911</v>
      </c>
      <c r="D148" s="5" t="str">
        <f t="shared" si="24"/>
        <v>Sep-2025</v>
      </c>
      <c r="E148" s="5" t="str">
        <f t="shared" si="25"/>
        <v>Sep</v>
      </c>
      <c r="F148" s="5" t="str">
        <f t="shared" si="26"/>
        <v>2025</v>
      </c>
      <c r="G148" s="5" t="str">
        <f t="shared" si="27"/>
        <v>Q3-2025</v>
      </c>
      <c r="H148" s="5">
        <v>45928</v>
      </c>
      <c r="I148" s="5">
        <f>IF(H148&lt;B148, B148+7, H148)</f>
        <v>45928</v>
      </c>
      <c r="J148" s="5" t="str">
        <f>IF(H148&lt;B148, "Invalid","Okay")</f>
        <v>Okay</v>
      </c>
      <c r="K148" s="16">
        <f>I148-C148</f>
        <v>17</v>
      </c>
      <c r="L148" s="16" t="str">
        <f t="shared" si="28"/>
        <v>Target Not Met</v>
      </c>
      <c r="M148" s="2" t="s">
        <v>646</v>
      </c>
      <c r="N148" s="2" t="s">
        <v>650</v>
      </c>
      <c r="O148" s="2" t="s">
        <v>664</v>
      </c>
      <c r="P148" s="29" t="str">
        <f t="shared" si="29"/>
        <v>Africa→Kenya→Nairobi</v>
      </c>
      <c r="Q148" s="2" t="s">
        <v>703</v>
      </c>
      <c r="R148" s="2" t="s">
        <v>710</v>
      </c>
      <c r="S148" s="2" t="s">
        <v>713</v>
      </c>
      <c r="T148" s="2" t="s">
        <v>731</v>
      </c>
      <c r="U148" t="e">
        <f>(AE148/#REF!)*100</f>
        <v>#REF!</v>
      </c>
      <c r="V148" s="2" t="s">
        <v>880</v>
      </c>
      <c r="W148" s="7">
        <v>891.46</v>
      </c>
      <c r="X148" s="7">
        <v>728.61</v>
      </c>
      <c r="Y148" s="7">
        <f t="shared" si="30"/>
        <v>728.61</v>
      </c>
      <c r="Z148" s="7" t="str">
        <f t="shared" si="31"/>
        <v>Low</v>
      </c>
      <c r="AA148" s="13">
        <v>0.185</v>
      </c>
      <c r="AB148" s="13">
        <f t="shared" si="32"/>
        <v>0.185</v>
      </c>
      <c r="AC148" s="13" t="str">
        <f t="shared" si="33"/>
        <v>OK</v>
      </c>
      <c r="AD148" s="7">
        <v>6</v>
      </c>
      <c r="AE148" s="7">
        <f>Y148*AD148*(1-AB148)</f>
        <v>3562.9028999999996</v>
      </c>
      <c r="AF148" s="7">
        <f>W148*AD148</f>
        <v>5348.76</v>
      </c>
      <c r="AG148" s="7">
        <f t="shared" si="34"/>
        <v>-1785.8571000000006</v>
      </c>
      <c r="AH148" s="13">
        <f t="shared" si="35"/>
        <v>-0.50123653383874167</v>
      </c>
    </row>
    <row r="149" spans="1:34" x14ac:dyDescent="0.35">
      <c r="A149" s="2" t="s">
        <v>162</v>
      </c>
      <c r="B149" s="5">
        <v>45386</v>
      </c>
      <c r="C149" s="5">
        <f>IF(H149&lt;B149,H149,B149)</f>
        <v>45386</v>
      </c>
      <c r="D149" s="5" t="str">
        <f t="shared" si="24"/>
        <v>Apr-2024</v>
      </c>
      <c r="E149" s="5" t="str">
        <f t="shared" si="25"/>
        <v>Apr</v>
      </c>
      <c r="F149" s="5" t="str">
        <f t="shared" si="26"/>
        <v>2024</v>
      </c>
      <c r="G149" s="5" t="str">
        <f t="shared" si="27"/>
        <v>Q2-2024</v>
      </c>
      <c r="H149" s="5">
        <v>45406</v>
      </c>
      <c r="I149" s="5">
        <f>IF(H149&lt;B149, B149+7, H149)</f>
        <v>45406</v>
      </c>
      <c r="J149" s="5" t="str">
        <f>IF(H149&lt;B149, "Invalid","Okay")</f>
        <v>Okay</v>
      </c>
      <c r="K149" s="16">
        <f>I149-C149</f>
        <v>20</v>
      </c>
      <c r="L149" s="16" t="str">
        <f t="shared" si="28"/>
        <v>Target Not Met</v>
      </c>
      <c r="M149" s="2" t="s">
        <v>649</v>
      </c>
      <c r="N149" s="2" t="s">
        <v>656</v>
      </c>
      <c r="O149" s="2" t="s">
        <v>698</v>
      </c>
      <c r="P149" s="29" t="str">
        <f t="shared" si="29"/>
        <v>Europe→Germany→Frankfurt</v>
      </c>
      <c r="Q149" s="2" t="s">
        <v>703</v>
      </c>
      <c r="R149" s="2" t="s">
        <v>711</v>
      </c>
      <c r="S149" s="2" t="s">
        <v>719</v>
      </c>
      <c r="T149" s="2" t="s">
        <v>733</v>
      </c>
      <c r="U149" t="e">
        <f>(AE149/#REF!)*100</f>
        <v>#REF!</v>
      </c>
      <c r="V149" s="2" t="s">
        <v>881</v>
      </c>
      <c r="W149" s="7">
        <v>683.42</v>
      </c>
      <c r="X149" s="7">
        <v>951.51</v>
      </c>
      <c r="Y149" s="7">
        <f t="shared" si="30"/>
        <v>951.51</v>
      </c>
      <c r="Z149" s="7" t="str">
        <f t="shared" si="31"/>
        <v>Low</v>
      </c>
      <c r="AA149" s="13">
        <v>0</v>
      </c>
      <c r="AB149" s="13">
        <f t="shared" si="32"/>
        <v>0</v>
      </c>
      <c r="AC149" s="13" t="str">
        <f t="shared" si="33"/>
        <v>OK</v>
      </c>
      <c r="AD149" s="7">
        <v>14</v>
      </c>
      <c r="AE149" s="7">
        <f>Y149*AD149*(1-AB149)</f>
        <v>13321.14</v>
      </c>
      <c r="AF149" s="7">
        <f>W149*AD149</f>
        <v>9567.8799999999992</v>
      </c>
      <c r="AG149" s="7">
        <f t="shared" si="34"/>
        <v>3753.26</v>
      </c>
      <c r="AH149" s="13">
        <f t="shared" si="35"/>
        <v>0.28175216235247136</v>
      </c>
    </row>
    <row r="150" spans="1:34" x14ac:dyDescent="0.35">
      <c r="A150" s="2" t="s">
        <v>163</v>
      </c>
      <c r="B150" s="5">
        <v>45183</v>
      </c>
      <c r="C150" s="5">
        <f>IF(H150&lt;B150,H150,B150)</f>
        <v>45183</v>
      </c>
      <c r="D150" s="5" t="str">
        <f t="shared" si="24"/>
        <v>Sep-2023</v>
      </c>
      <c r="E150" s="5" t="str">
        <f t="shared" si="25"/>
        <v>Sep</v>
      </c>
      <c r="F150" s="5" t="str">
        <f t="shared" si="26"/>
        <v>2023</v>
      </c>
      <c r="G150" s="5" t="str">
        <f t="shared" si="27"/>
        <v>Q3-2023</v>
      </c>
      <c r="H150" s="5">
        <v>45185</v>
      </c>
      <c r="I150" s="5">
        <f>IF(H150&lt;B150, B150+7, H150)</f>
        <v>45185</v>
      </c>
      <c r="J150" s="5" t="str">
        <f>IF(H150&lt;B150, "Invalid","Okay")</f>
        <v>Okay</v>
      </c>
      <c r="K150" s="16">
        <f>I150-C150</f>
        <v>2</v>
      </c>
      <c r="L150" s="16" t="str">
        <f t="shared" si="28"/>
        <v>Target Met</v>
      </c>
      <c r="M150" s="2" t="s">
        <v>649</v>
      </c>
      <c r="N150" s="2" t="s">
        <v>657</v>
      </c>
      <c r="O150" s="2" t="s">
        <v>679</v>
      </c>
      <c r="P150" s="29" t="str">
        <f t="shared" si="29"/>
        <v>Europe→France→Lyon</v>
      </c>
      <c r="Q150" s="2" t="s">
        <v>703</v>
      </c>
      <c r="R150" s="2" t="s">
        <v>711</v>
      </c>
      <c r="S150" s="2" t="s">
        <v>717</v>
      </c>
      <c r="T150" s="2" t="s">
        <v>728</v>
      </c>
      <c r="U150" t="e">
        <f>(AE150/#REF!)*100</f>
        <v>#REF!</v>
      </c>
      <c r="V150" s="2" t="s">
        <v>882</v>
      </c>
      <c r="W150" s="7">
        <v>376.83</v>
      </c>
      <c r="X150" s="7">
        <v>732.88</v>
      </c>
      <c r="Y150" s="7">
        <f t="shared" si="30"/>
        <v>732.88</v>
      </c>
      <c r="Z150" s="7" t="str">
        <f t="shared" si="31"/>
        <v>Low</v>
      </c>
      <c r="AA150" s="13">
        <v>0.188</v>
      </c>
      <c r="AB150" s="13">
        <f t="shared" si="32"/>
        <v>0.188</v>
      </c>
      <c r="AC150" s="13" t="str">
        <f t="shared" si="33"/>
        <v>OK</v>
      </c>
      <c r="AD150" s="7">
        <v>25</v>
      </c>
      <c r="AE150" s="7">
        <f>Y150*AD150*(1-AB150)</f>
        <v>14877.464000000002</v>
      </c>
      <c r="AF150" s="7">
        <f>W150*AD150</f>
        <v>9420.75</v>
      </c>
      <c r="AG150" s="7">
        <f t="shared" si="34"/>
        <v>5456.7140000000018</v>
      </c>
      <c r="AH150" s="13">
        <f t="shared" si="35"/>
        <v>0.36677716040852132</v>
      </c>
    </row>
    <row r="151" spans="1:34" x14ac:dyDescent="0.35">
      <c r="A151" s="2" t="s">
        <v>164</v>
      </c>
      <c r="B151" s="5">
        <v>45558</v>
      </c>
      <c r="C151" s="5">
        <f>IF(H151&lt;B151,H151,B151)</f>
        <v>45558</v>
      </c>
      <c r="D151" s="5" t="str">
        <f t="shared" si="24"/>
        <v>Sep-2024</v>
      </c>
      <c r="E151" s="5" t="str">
        <f t="shared" si="25"/>
        <v>Sep</v>
      </c>
      <c r="F151" s="5" t="str">
        <f t="shared" si="26"/>
        <v>2024</v>
      </c>
      <c r="G151" s="5" t="str">
        <f t="shared" si="27"/>
        <v>Q3-2024</v>
      </c>
      <c r="H151" s="5">
        <v>45583</v>
      </c>
      <c r="I151" s="5">
        <f>IF(H151&lt;B151, B151+7, H151)</f>
        <v>45583</v>
      </c>
      <c r="J151" s="5" t="str">
        <f>IF(H151&lt;B151, "Invalid","Okay")</f>
        <v>Okay</v>
      </c>
      <c r="K151" s="16">
        <f>I151-C151</f>
        <v>25</v>
      </c>
      <c r="L151" s="16" t="str">
        <f t="shared" si="28"/>
        <v>Target Not Met</v>
      </c>
      <c r="M151" s="2" t="s">
        <v>648</v>
      </c>
      <c r="N151" s="2" t="s">
        <v>653</v>
      </c>
      <c r="O151" s="2" t="s">
        <v>688</v>
      </c>
      <c r="P151" s="29" t="str">
        <f t="shared" si="29"/>
        <v>Americas→Canada→Vancouver</v>
      </c>
      <c r="Q151" s="2" t="s">
        <v>705</v>
      </c>
      <c r="R151" s="2" t="s">
        <v>708</v>
      </c>
      <c r="S151" s="2" t="s">
        <v>725</v>
      </c>
      <c r="T151" s="2" t="s">
        <v>730</v>
      </c>
      <c r="U151" t="e">
        <f>(AE151/#REF!)*100</f>
        <v>#REF!</v>
      </c>
      <c r="V151" s="2" t="s">
        <v>883</v>
      </c>
      <c r="W151" s="7">
        <v>1297</v>
      </c>
      <c r="X151" s="7">
        <v>2411.52</v>
      </c>
      <c r="Y151" s="7">
        <f t="shared" si="30"/>
        <v>2411.52</v>
      </c>
      <c r="Z151" s="7" t="str">
        <f t="shared" si="31"/>
        <v>High</v>
      </c>
      <c r="AA151" s="13">
        <v>2.1000000000000001E-2</v>
      </c>
      <c r="AB151" s="13">
        <f t="shared" si="32"/>
        <v>2.1000000000000001E-2</v>
      </c>
      <c r="AC151" s="13" t="str">
        <f t="shared" si="33"/>
        <v>OK</v>
      </c>
      <c r="AD151" s="7">
        <v>18</v>
      </c>
      <c r="AE151" s="7">
        <f>Y151*AD151*(1-AB151)</f>
        <v>42495.805439999996</v>
      </c>
      <c r="AF151" s="7">
        <f>W151*AD151</f>
        <v>23346</v>
      </c>
      <c r="AG151" s="7">
        <f t="shared" si="34"/>
        <v>19149.805439999996</v>
      </c>
      <c r="AH151" s="13">
        <f t="shared" si="35"/>
        <v>0.45062813239385913</v>
      </c>
    </row>
    <row r="152" spans="1:34" x14ac:dyDescent="0.35">
      <c r="A152" s="2" t="s">
        <v>165</v>
      </c>
      <c r="B152" s="5">
        <v>45763</v>
      </c>
      <c r="C152" s="5">
        <f>IF(H152&lt;B152,H152,B152)</f>
        <v>45763</v>
      </c>
      <c r="D152" s="5" t="str">
        <f t="shared" si="24"/>
        <v>Apr-2025</v>
      </c>
      <c r="E152" s="5" t="str">
        <f t="shared" si="25"/>
        <v>Apr</v>
      </c>
      <c r="F152" s="5" t="str">
        <f t="shared" si="26"/>
        <v>2025</v>
      </c>
      <c r="G152" s="5" t="str">
        <f t="shared" si="27"/>
        <v>Q2-2025</v>
      </c>
      <c r="H152" s="5">
        <v>45793</v>
      </c>
      <c r="I152" s="5">
        <f>IF(H152&lt;B152, B152+7, H152)</f>
        <v>45793</v>
      </c>
      <c r="J152" s="5" t="str">
        <f>IF(H152&lt;B152, "Invalid","Okay")</f>
        <v>Okay</v>
      </c>
      <c r="K152" s="16">
        <f>I152-C152</f>
        <v>30</v>
      </c>
      <c r="L152" s="16" t="str">
        <f t="shared" si="28"/>
        <v>Target Not Met</v>
      </c>
      <c r="M152" s="2" t="s">
        <v>648</v>
      </c>
      <c r="N152" s="2" t="s">
        <v>653</v>
      </c>
      <c r="O152" s="2" t="s">
        <v>681</v>
      </c>
      <c r="P152" s="29" t="str">
        <f t="shared" si="29"/>
        <v>Americas→Canada→Montreal</v>
      </c>
      <c r="Q152" s="2" t="s">
        <v>706</v>
      </c>
      <c r="R152" s="2" t="s">
        <v>710</v>
      </c>
      <c r="S152" s="2" t="s">
        <v>723</v>
      </c>
      <c r="T152" s="2" t="s">
        <v>728</v>
      </c>
      <c r="U152" t="e">
        <f>(AE152/#REF!)*100</f>
        <v>#REF!</v>
      </c>
      <c r="V152" s="2" t="s">
        <v>884</v>
      </c>
      <c r="W152" s="7">
        <v>763.32</v>
      </c>
      <c r="X152" s="7">
        <v>568.29</v>
      </c>
      <c r="Y152" s="7">
        <f t="shared" si="30"/>
        <v>568.29</v>
      </c>
      <c r="Z152" s="7" t="str">
        <f t="shared" si="31"/>
        <v>Low</v>
      </c>
      <c r="AA152" s="13">
        <v>0.13100000000000001</v>
      </c>
      <c r="AB152" s="13">
        <f t="shared" si="32"/>
        <v>0.13100000000000001</v>
      </c>
      <c r="AC152" s="13" t="str">
        <f t="shared" si="33"/>
        <v>OK</v>
      </c>
      <c r="AD152" s="7">
        <v>16</v>
      </c>
      <c r="AE152" s="7">
        <f>Y152*AD152*(1-AB152)</f>
        <v>7901.5041599999995</v>
      </c>
      <c r="AF152" s="7">
        <f>W152*AD152</f>
        <v>12213.12</v>
      </c>
      <c r="AG152" s="7">
        <f t="shared" si="34"/>
        <v>-4311.6158400000013</v>
      </c>
      <c r="AH152" s="13">
        <f t="shared" si="35"/>
        <v>-0.54567026134426555</v>
      </c>
    </row>
    <row r="153" spans="1:34" x14ac:dyDescent="0.35">
      <c r="A153" s="2" t="s">
        <v>166</v>
      </c>
      <c r="B153" s="5">
        <v>45110</v>
      </c>
      <c r="C153" s="5">
        <f>IF(H153&lt;B153,H153,B153)</f>
        <v>45110</v>
      </c>
      <c r="D153" s="5" t="str">
        <f t="shared" si="24"/>
        <v>Jul-2023</v>
      </c>
      <c r="E153" s="5" t="str">
        <f t="shared" si="25"/>
        <v>Jul</v>
      </c>
      <c r="F153" s="5" t="str">
        <f t="shared" si="26"/>
        <v>2023</v>
      </c>
      <c r="G153" s="5" t="str">
        <f t="shared" si="27"/>
        <v>Q3-2023</v>
      </c>
      <c r="H153" s="5">
        <v>45130</v>
      </c>
      <c r="I153" s="5">
        <f>IF(H153&lt;B153, B153+7, H153)</f>
        <v>45130</v>
      </c>
      <c r="J153" s="5" t="str">
        <f>IF(H153&lt;B153, "Invalid","Okay")</f>
        <v>Okay</v>
      </c>
      <c r="K153" s="16">
        <f>I153-C153</f>
        <v>20</v>
      </c>
      <c r="L153" s="16" t="str">
        <f t="shared" si="28"/>
        <v>Target Not Met</v>
      </c>
      <c r="M153" s="2" t="s">
        <v>646</v>
      </c>
      <c r="N153" s="2" t="s">
        <v>661</v>
      </c>
      <c r="O153" s="2" t="s">
        <v>682</v>
      </c>
      <c r="P153" s="29" t="str">
        <f t="shared" si="29"/>
        <v>Africa→South Africa→Johannesburg</v>
      </c>
      <c r="Q153" s="2" t="s">
        <v>705</v>
      </c>
      <c r="R153" s="2" t="s">
        <v>710</v>
      </c>
      <c r="S153" s="2" t="s">
        <v>721</v>
      </c>
      <c r="T153" s="2" t="s">
        <v>731</v>
      </c>
      <c r="U153" t="e">
        <f>(AE153/#REF!)*100</f>
        <v>#REF!</v>
      </c>
      <c r="V153" s="2" t="s">
        <v>885</v>
      </c>
      <c r="W153" s="7">
        <v>1001.96</v>
      </c>
      <c r="X153" s="7">
        <v>1254.95</v>
      </c>
      <c r="Y153" s="7">
        <f t="shared" si="30"/>
        <v>1254.95</v>
      </c>
      <c r="Z153" s="7" t="str">
        <f t="shared" si="31"/>
        <v>Medium</v>
      </c>
      <c r="AA153" s="13">
        <v>4.4999999999999998E-2</v>
      </c>
      <c r="AB153" s="13">
        <f t="shared" si="32"/>
        <v>4.4999999999999998E-2</v>
      </c>
      <c r="AC153" s="13" t="str">
        <f t="shared" si="33"/>
        <v>OK</v>
      </c>
      <c r="AD153" s="7">
        <v>18</v>
      </c>
      <c r="AE153" s="7">
        <f>Y153*AD153*(1-AB153)</f>
        <v>21572.590500000002</v>
      </c>
      <c r="AF153" s="7">
        <f>W153*AD153</f>
        <v>18035.28</v>
      </c>
      <c r="AG153" s="7">
        <f t="shared" si="34"/>
        <v>3537.3105000000032</v>
      </c>
      <c r="AH153" s="13">
        <f t="shared" si="35"/>
        <v>0.16397244920585699</v>
      </c>
    </row>
    <row r="154" spans="1:34" x14ac:dyDescent="0.35">
      <c r="A154" s="2" t="s">
        <v>167</v>
      </c>
      <c r="B154" s="5">
        <v>45267</v>
      </c>
      <c r="C154" s="5">
        <f>IF(H154&lt;B154,H154,B154)</f>
        <v>45265</v>
      </c>
      <c r="D154" s="5" t="str">
        <f t="shared" si="24"/>
        <v>Dec-2023</v>
      </c>
      <c r="E154" s="5" t="str">
        <f t="shared" si="25"/>
        <v>Dec</v>
      </c>
      <c r="F154" s="5" t="str">
        <f t="shared" si="26"/>
        <v>2023</v>
      </c>
      <c r="G154" s="5" t="str">
        <f t="shared" si="27"/>
        <v>Q4-2023</v>
      </c>
      <c r="H154" s="5">
        <v>45265</v>
      </c>
      <c r="I154" s="5">
        <f>IF(H154&lt;B154, B154+7, H154)</f>
        <v>45274</v>
      </c>
      <c r="J154" s="5" t="str">
        <f>IF(H154&lt;B154, "Invalid","Okay")</f>
        <v>Invalid</v>
      </c>
      <c r="K154" s="16">
        <f>I154-C154</f>
        <v>9</v>
      </c>
      <c r="L154" s="16" t="str">
        <f t="shared" si="28"/>
        <v>Target Not Met</v>
      </c>
      <c r="M154" s="2" t="s">
        <v>647</v>
      </c>
      <c r="N154" s="2" t="s">
        <v>652</v>
      </c>
      <c r="O154" s="2" t="s">
        <v>689</v>
      </c>
      <c r="P154" s="29" t="str">
        <f t="shared" si="29"/>
        <v>Asia→Japan→Tokyo</v>
      </c>
      <c r="Q154" s="2" t="s">
        <v>703</v>
      </c>
      <c r="R154" s="2" t="s">
        <v>709</v>
      </c>
      <c r="S154" s="2" t="s">
        <v>722</v>
      </c>
      <c r="T154" s="2" t="s">
        <v>728</v>
      </c>
      <c r="U154" t="e">
        <f>(AE154/#REF!)*100</f>
        <v>#REF!</v>
      </c>
      <c r="V154" s="2" t="s">
        <v>886</v>
      </c>
      <c r="W154" s="7">
        <v>1097.5899999999999</v>
      </c>
      <c r="X154" s="7">
        <v>845.55</v>
      </c>
      <c r="Y154" s="7">
        <f t="shared" si="30"/>
        <v>845.55</v>
      </c>
      <c r="Z154" s="7" t="str">
        <f t="shared" si="31"/>
        <v>Low</v>
      </c>
      <c r="AA154" s="13">
        <v>0.184</v>
      </c>
      <c r="AB154" s="13">
        <f t="shared" si="32"/>
        <v>0.184</v>
      </c>
      <c r="AC154" s="13" t="str">
        <f t="shared" si="33"/>
        <v>OK</v>
      </c>
      <c r="AD154" s="7">
        <v>6</v>
      </c>
      <c r="AE154" s="7">
        <f>Y154*AD154*(1-AB154)</f>
        <v>4139.8127999999997</v>
      </c>
      <c r="AF154" s="7">
        <f>W154*AD154</f>
        <v>6585.5399999999991</v>
      </c>
      <c r="AG154" s="7">
        <f t="shared" si="34"/>
        <v>-2445.7271999999994</v>
      </c>
      <c r="AH154" s="13">
        <f t="shared" si="35"/>
        <v>-0.59078207594314402</v>
      </c>
    </row>
    <row r="155" spans="1:34" x14ac:dyDescent="0.35">
      <c r="A155" s="2" t="s">
        <v>168</v>
      </c>
      <c r="B155" s="5">
        <v>45340</v>
      </c>
      <c r="C155" s="5">
        <f>IF(H155&lt;B155,H155,B155)</f>
        <v>45340</v>
      </c>
      <c r="D155" s="5" t="str">
        <f t="shared" si="24"/>
        <v>Feb-2024</v>
      </c>
      <c r="E155" s="5" t="str">
        <f t="shared" si="25"/>
        <v>Feb</v>
      </c>
      <c r="F155" s="5" t="str">
        <f t="shared" si="26"/>
        <v>2024</v>
      </c>
      <c r="G155" s="5" t="str">
        <f t="shared" si="27"/>
        <v>Q1-2024</v>
      </c>
      <c r="H155" s="5">
        <v>45355</v>
      </c>
      <c r="I155" s="5">
        <f>IF(H155&lt;B155, B155+7, H155)</f>
        <v>45355</v>
      </c>
      <c r="J155" s="5" t="str">
        <f>IF(H155&lt;B155, "Invalid","Okay")</f>
        <v>Okay</v>
      </c>
      <c r="K155" s="16">
        <f>I155-C155</f>
        <v>15</v>
      </c>
      <c r="L155" s="16" t="str">
        <f t="shared" si="28"/>
        <v>Target Not Met</v>
      </c>
      <c r="M155" s="2" t="s">
        <v>646</v>
      </c>
      <c r="N155" s="2" t="s">
        <v>650</v>
      </c>
      <c r="O155" s="2" t="s">
        <v>662</v>
      </c>
      <c r="P155" s="29" t="str">
        <f t="shared" si="29"/>
        <v>Africa→Kenya→Kisumu</v>
      </c>
      <c r="Q155" s="2" t="s">
        <v>702</v>
      </c>
      <c r="R155" s="2" t="s">
        <v>711</v>
      </c>
      <c r="S155" s="2" t="s">
        <v>723</v>
      </c>
      <c r="T155" s="2" t="s">
        <v>728</v>
      </c>
      <c r="U155" t="e">
        <f>(AE155/#REF!)*100</f>
        <v>#REF!</v>
      </c>
      <c r="V155" s="2" t="s">
        <v>887</v>
      </c>
      <c r="W155" s="7">
        <v>928.68</v>
      </c>
      <c r="X155" s="7">
        <v>2145.17</v>
      </c>
      <c r="Y155" s="7">
        <f t="shared" si="30"/>
        <v>2145.17</v>
      </c>
      <c r="Z155" s="7" t="str">
        <f t="shared" si="31"/>
        <v>High</v>
      </c>
      <c r="AA155" s="13">
        <v>0.13600000000000001</v>
      </c>
      <c r="AB155" s="13">
        <f t="shared" si="32"/>
        <v>0.13600000000000001</v>
      </c>
      <c r="AC155" s="13" t="str">
        <f t="shared" si="33"/>
        <v>OK</v>
      </c>
      <c r="AD155" s="7">
        <v>16</v>
      </c>
      <c r="AE155" s="7">
        <f>Y155*AD155*(1-AB155)</f>
        <v>29654.83008</v>
      </c>
      <c r="AF155" s="7">
        <f>W155*AD155</f>
        <v>14858.88</v>
      </c>
      <c r="AG155" s="7">
        <f t="shared" si="34"/>
        <v>14795.950080000001</v>
      </c>
      <c r="AH155" s="13">
        <f t="shared" si="35"/>
        <v>0.49893896003062177</v>
      </c>
    </row>
    <row r="156" spans="1:34" x14ac:dyDescent="0.35">
      <c r="A156" s="2" t="s">
        <v>169</v>
      </c>
      <c r="B156" s="5">
        <v>45230</v>
      </c>
      <c r="C156" s="5">
        <f>IF(H156&lt;B156,H156,B156)</f>
        <v>45230</v>
      </c>
      <c r="D156" s="5" t="str">
        <f t="shared" si="24"/>
        <v>Oct-2023</v>
      </c>
      <c r="E156" s="5" t="str">
        <f t="shared" si="25"/>
        <v>Oct</v>
      </c>
      <c r="F156" s="5" t="str">
        <f t="shared" si="26"/>
        <v>2023</v>
      </c>
      <c r="G156" s="5" t="str">
        <f t="shared" si="27"/>
        <v>Q4-2023</v>
      </c>
      <c r="H156" s="5">
        <v>45232</v>
      </c>
      <c r="I156" s="5">
        <f>IF(H156&lt;B156, B156+7, H156)</f>
        <v>45232</v>
      </c>
      <c r="J156" s="5" t="str">
        <f>IF(H156&lt;B156, "Invalid","Okay")</f>
        <v>Okay</v>
      </c>
      <c r="K156" s="16">
        <f>I156-C156</f>
        <v>2</v>
      </c>
      <c r="L156" s="16" t="str">
        <f t="shared" si="28"/>
        <v>Target Met</v>
      </c>
      <c r="M156" s="2" t="s">
        <v>646</v>
      </c>
      <c r="N156" s="2" t="s">
        <v>650</v>
      </c>
      <c r="O156" s="2" t="s">
        <v>662</v>
      </c>
      <c r="P156" s="29" t="str">
        <f t="shared" si="29"/>
        <v>Africa→Kenya→Kisumu</v>
      </c>
      <c r="Q156" s="2" t="s">
        <v>702</v>
      </c>
      <c r="R156" s="2" t="s">
        <v>707</v>
      </c>
      <c r="S156" s="2" t="s">
        <v>719</v>
      </c>
      <c r="T156" s="2" t="s">
        <v>733</v>
      </c>
      <c r="U156" t="e">
        <f>(AE156/#REF!)*100</f>
        <v>#REF!</v>
      </c>
      <c r="V156" s="2" t="s">
        <v>888</v>
      </c>
      <c r="W156" s="7">
        <v>867.89</v>
      </c>
      <c r="X156" s="7">
        <v>1349.94</v>
      </c>
      <c r="Y156" s="7">
        <f t="shared" si="30"/>
        <v>1349.94</v>
      </c>
      <c r="Z156" s="7" t="str">
        <f t="shared" si="31"/>
        <v>Medium</v>
      </c>
      <c r="AA156" s="13">
        <v>0.184</v>
      </c>
      <c r="AB156" s="13">
        <f t="shared" si="32"/>
        <v>0.184</v>
      </c>
      <c r="AC156" s="13" t="str">
        <f t="shared" si="33"/>
        <v>OK</v>
      </c>
      <c r="AD156" s="7">
        <v>10</v>
      </c>
      <c r="AE156" s="7">
        <f>Y156*AD156*(1-AB156)</f>
        <v>11015.510400000003</v>
      </c>
      <c r="AF156" s="7">
        <f>W156*AD156</f>
        <v>8678.9</v>
      </c>
      <c r="AG156" s="7">
        <f t="shared" si="34"/>
        <v>2336.6104000000032</v>
      </c>
      <c r="AH156" s="13">
        <f t="shared" si="35"/>
        <v>0.21212003031652557</v>
      </c>
    </row>
    <row r="157" spans="1:34" x14ac:dyDescent="0.35">
      <c r="A157" s="2" t="s">
        <v>170</v>
      </c>
      <c r="B157" s="5">
        <v>45511</v>
      </c>
      <c r="C157" s="5">
        <f>IF(H157&lt;B157,H157,B157)</f>
        <v>45511</v>
      </c>
      <c r="D157" s="5" t="str">
        <f t="shared" si="24"/>
        <v>Aug-2024</v>
      </c>
      <c r="E157" s="5" t="str">
        <f t="shared" si="25"/>
        <v>Aug</v>
      </c>
      <c r="F157" s="5" t="str">
        <f t="shared" si="26"/>
        <v>2024</v>
      </c>
      <c r="G157" s="5" t="str">
        <f t="shared" si="27"/>
        <v>Q3-2024</v>
      </c>
      <c r="H157" s="5">
        <v>45521</v>
      </c>
      <c r="I157" s="5">
        <f>IF(H157&lt;B157, B157+7, H157)</f>
        <v>45521</v>
      </c>
      <c r="J157" s="5" t="str">
        <f>IF(H157&lt;B157, "Invalid","Okay")</f>
        <v>Okay</v>
      </c>
      <c r="K157" s="16">
        <f>I157-C157</f>
        <v>10</v>
      </c>
      <c r="L157" s="16" t="str">
        <f t="shared" si="28"/>
        <v>Target Not Met</v>
      </c>
      <c r="M157" s="2" t="s">
        <v>647</v>
      </c>
      <c r="N157" s="2" t="s">
        <v>652</v>
      </c>
      <c r="O157" s="2" t="s">
        <v>666</v>
      </c>
      <c r="P157" s="29" t="str">
        <f t="shared" si="29"/>
        <v>Asia→Japan→Osaka</v>
      </c>
      <c r="Q157" s="2" t="s">
        <v>704</v>
      </c>
      <c r="R157" s="2" t="s">
        <v>708</v>
      </c>
      <c r="S157" s="2" t="s">
        <v>723</v>
      </c>
      <c r="T157" s="2" t="s">
        <v>729</v>
      </c>
      <c r="U157" t="e">
        <f>(AE157/#REF!)*100</f>
        <v>#REF!</v>
      </c>
      <c r="V157" s="2" t="s">
        <v>889</v>
      </c>
      <c r="W157" s="7">
        <v>436.58</v>
      </c>
      <c r="X157" s="7">
        <v>527.48</v>
      </c>
      <c r="Y157" s="7">
        <f t="shared" si="30"/>
        <v>527.48</v>
      </c>
      <c r="Z157" s="7" t="str">
        <f t="shared" si="31"/>
        <v>Low</v>
      </c>
      <c r="AA157" s="13">
        <v>0.111</v>
      </c>
      <c r="AB157" s="13">
        <f t="shared" si="32"/>
        <v>0.111</v>
      </c>
      <c r="AC157" s="13" t="str">
        <f t="shared" si="33"/>
        <v>OK</v>
      </c>
      <c r="AD157" s="7">
        <v>19</v>
      </c>
      <c r="AE157" s="7">
        <f>Y157*AD157*(1-AB157)</f>
        <v>8909.6646800000017</v>
      </c>
      <c r="AF157" s="7">
        <f>W157*AD157</f>
        <v>8295.02</v>
      </c>
      <c r="AG157" s="7">
        <f t="shared" si="34"/>
        <v>614.64468000000124</v>
      </c>
      <c r="AH157" s="13">
        <f t="shared" si="35"/>
        <v>6.8986286473802644E-2</v>
      </c>
    </row>
    <row r="158" spans="1:34" x14ac:dyDescent="0.35">
      <c r="A158" s="2" t="s">
        <v>171</v>
      </c>
      <c r="B158" s="5">
        <v>45323</v>
      </c>
      <c r="C158" s="5">
        <f>IF(H158&lt;B158,H158,B158)</f>
        <v>45323</v>
      </c>
      <c r="D158" s="5" t="str">
        <f t="shared" si="24"/>
        <v>Feb-2024</v>
      </c>
      <c r="E158" s="5" t="str">
        <f t="shared" si="25"/>
        <v>Feb</v>
      </c>
      <c r="F158" s="5" t="str">
        <f t="shared" si="26"/>
        <v>2024</v>
      </c>
      <c r="G158" s="5" t="str">
        <f t="shared" si="27"/>
        <v>Q1-2024</v>
      </c>
      <c r="H158" s="5">
        <v>45343</v>
      </c>
      <c r="I158" s="5">
        <f>IF(H158&lt;B158, B158+7, H158)</f>
        <v>45343</v>
      </c>
      <c r="J158" s="5" t="str">
        <f>IF(H158&lt;B158, "Invalid","Okay")</f>
        <v>Okay</v>
      </c>
      <c r="K158" s="16">
        <f>I158-C158</f>
        <v>20</v>
      </c>
      <c r="L158" s="16" t="str">
        <f t="shared" si="28"/>
        <v>Target Not Met</v>
      </c>
      <c r="M158" s="2" t="s">
        <v>649</v>
      </c>
      <c r="N158" s="2" t="s">
        <v>657</v>
      </c>
      <c r="O158" s="2" t="s">
        <v>690</v>
      </c>
      <c r="P158" s="29" t="str">
        <f t="shared" si="29"/>
        <v>Europe→France→Paris</v>
      </c>
      <c r="Q158" s="2" t="s">
        <v>705</v>
      </c>
      <c r="R158" s="2" t="s">
        <v>709</v>
      </c>
      <c r="S158" s="2" t="s">
        <v>720</v>
      </c>
      <c r="T158" s="2" t="s">
        <v>729</v>
      </c>
      <c r="U158" t="e">
        <f>(AE158/#REF!)*100</f>
        <v>#REF!</v>
      </c>
      <c r="V158" s="2" t="s">
        <v>890</v>
      </c>
      <c r="W158" s="7">
        <v>656.2</v>
      </c>
      <c r="X158" s="7">
        <v>1467.17</v>
      </c>
      <c r="Y158" s="7">
        <f t="shared" si="30"/>
        <v>1467.17</v>
      </c>
      <c r="Z158" s="7" t="str">
        <f t="shared" si="31"/>
        <v>Medium</v>
      </c>
      <c r="AA158" s="13">
        <v>1.7999999999999999E-2</v>
      </c>
      <c r="AB158" s="13">
        <f t="shared" si="32"/>
        <v>1.7999999999999999E-2</v>
      </c>
      <c r="AC158" s="13" t="str">
        <f t="shared" si="33"/>
        <v>OK</v>
      </c>
      <c r="AD158" s="7">
        <v>5</v>
      </c>
      <c r="AE158" s="7">
        <f>Y158*AD158*(1-AB158)</f>
        <v>7203.8047000000006</v>
      </c>
      <c r="AF158" s="7">
        <f>W158*AD158</f>
        <v>3281</v>
      </c>
      <c r="AG158" s="7">
        <f t="shared" si="34"/>
        <v>3922.8047000000006</v>
      </c>
      <c r="AH158" s="13">
        <f t="shared" si="35"/>
        <v>0.54454623124360946</v>
      </c>
    </row>
    <row r="159" spans="1:34" x14ac:dyDescent="0.35">
      <c r="A159" s="2" t="s">
        <v>172</v>
      </c>
      <c r="B159" s="5">
        <v>45531</v>
      </c>
      <c r="C159" s="5">
        <f>IF(H159&lt;B159,H159,B159)</f>
        <v>45531</v>
      </c>
      <c r="D159" s="5" t="str">
        <f t="shared" si="24"/>
        <v>Aug-2024</v>
      </c>
      <c r="E159" s="5" t="str">
        <f t="shared" si="25"/>
        <v>Aug</v>
      </c>
      <c r="F159" s="5" t="str">
        <f t="shared" si="26"/>
        <v>2024</v>
      </c>
      <c r="G159" s="5" t="str">
        <f t="shared" si="27"/>
        <v>Q3-2024</v>
      </c>
      <c r="H159" s="5">
        <v>45553</v>
      </c>
      <c r="I159" s="5">
        <f>IF(H159&lt;B159, B159+7, H159)</f>
        <v>45553</v>
      </c>
      <c r="J159" s="5" t="str">
        <f>IF(H159&lt;B159, "Invalid","Okay")</f>
        <v>Okay</v>
      </c>
      <c r="K159" s="16">
        <f>I159-C159</f>
        <v>22</v>
      </c>
      <c r="L159" s="16" t="str">
        <f t="shared" si="28"/>
        <v>Target Not Met</v>
      </c>
      <c r="M159" s="2" t="s">
        <v>647</v>
      </c>
      <c r="N159" s="2" t="s">
        <v>654</v>
      </c>
      <c r="O159" s="2" t="s">
        <v>680</v>
      </c>
      <c r="P159" s="29" t="str">
        <f t="shared" si="29"/>
        <v>Asia→India→Delhi</v>
      </c>
      <c r="Q159" s="2" t="s">
        <v>704</v>
      </c>
      <c r="R159" s="2" t="s">
        <v>711</v>
      </c>
      <c r="S159" s="2" t="s">
        <v>717</v>
      </c>
      <c r="T159" s="2" t="s">
        <v>727</v>
      </c>
      <c r="U159" t="e">
        <f>(AE159/#REF!)*100</f>
        <v>#REF!</v>
      </c>
      <c r="V159" s="2" t="s">
        <v>891</v>
      </c>
      <c r="W159" s="7">
        <v>896.75</v>
      </c>
      <c r="X159" s="7">
        <v>1651.14</v>
      </c>
      <c r="Y159" s="7">
        <f t="shared" si="30"/>
        <v>1651.14</v>
      </c>
      <c r="Z159" s="7" t="str">
        <f t="shared" si="31"/>
        <v>Medium</v>
      </c>
      <c r="AA159" s="13">
        <v>2.5000000000000001E-2</v>
      </c>
      <c r="AB159" s="13">
        <f t="shared" si="32"/>
        <v>2.5000000000000001E-2</v>
      </c>
      <c r="AC159" s="13" t="str">
        <f t="shared" si="33"/>
        <v>OK</v>
      </c>
      <c r="AD159" s="7">
        <v>15</v>
      </c>
      <c r="AE159" s="7">
        <f>Y159*AD159*(1-AB159)</f>
        <v>24147.922500000001</v>
      </c>
      <c r="AF159" s="7">
        <f>W159*AD159</f>
        <v>13451.25</v>
      </c>
      <c r="AG159" s="7">
        <f t="shared" si="34"/>
        <v>10696.672500000001</v>
      </c>
      <c r="AH159" s="13">
        <f t="shared" si="35"/>
        <v>0.44296450346815552</v>
      </c>
    </row>
    <row r="160" spans="1:34" x14ac:dyDescent="0.35">
      <c r="A160" s="2" t="s">
        <v>173</v>
      </c>
      <c r="B160" s="5">
        <v>45703</v>
      </c>
      <c r="C160" s="5">
        <f>IF(H160&lt;B160,H160,B160)</f>
        <v>45703</v>
      </c>
      <c r="D160" s="5" t="str">
        <f t="shared" si="24"/>
        <v>Feb-2025</v>
      </c>
      <c r="E160" s="5" t="str">
        <f t="shared" si="25"/>
        <v>Feb</v>
      </c>
      <c r="F160" s="5" t="str">
        <f t="shared" si="26"/>
        <v>2025</v>
      </c>
      <c r="G160" s="5" t="str">
        <f t="shared" si="27"/>
        <v>Q1-2025</v>
      </c>
      <c r="H160" s="5">
        <v>45703</v>
      </c>
      <c r="I160" s="5">
        <f>IF(H160&lt;B160, B160+7, H160)</f>
        <v>45703</v>
      </c>
      <c r="J160" s="5" t="str">
        <f>IF(H160&lt;B160, "Invalid","Okay")</f>
        <v>Okay</v>
      </c>
      <c r="K160" s="16">
        <f>I160-C160</f>
        <v>0</v>
      </c>
      <c r="L160" s="16" t="str">
        <f t="shared" si="28"/>
        <v>Target Met</v>
      </c>
      <c r="M160" s="2" t="s">
        <v>649</v>
      </c>
      <c r="N160" s="2" t="s">
        <v>656</v>
      </c>
      <c r="O160" s="2" t="s">
        <v>698</v>
      </c>
      <c r="P160" s="29" t="str">
        <f t="shared" si="29"/>
        <v>Europe→Germany→Frankfurt</v>
      </c>
      <c r="Q160" s="2" t="s">
        <v>705</v>
      </c>
      <c r="R160" s="2" t="s">
        <v>709</v>
      </c>
      <c r="S160" s="2" t="s">
        <v>716</v>
      </c>
      <c r="T160" s="2" t="s">
        <v>733</v>
      </c>
      <c r="U160" t="e">
        <f>(AE160/#REF!)*100</f>
        <v>#REF!</v>
      </c>
      <c r="V160" s="2" t="s">
        <v>892</v>
      </c>
      <c r="W160" s="7">
        <v>815.83</v>
      </c>
      <c r="X160" s="7">
        <v>1982.18</v>
      </c>
      <c r="Y160" s="7">
        <f t="shared" si="30"/>
        <v>1982.18</v>
      </c>
      <c r="Z160" s="7" t="str">
        <f t="shared" si="31"/>
        <v>High</v>
      </c>
      <c r="AA160" s="13">
        <v>0.127</v>
      </c>
      <c r="AB160" s="13">
        <f t="shared" si="32"/>
        <v>0.127</v>
      </c>
      <c r="AC160" s="13" t="str">
        <f t="shared" si="33"/>
        <v>OK</v>
      </c>
      <c r="AD160" s="7">
        <v>6</v>
      </c>
      <c r="AE160" s="7">
        <f>Y160*AD160*(1-AB160)</f>
        <v>10382.65884</v>
      </c>
      <c r="AF160" s="7">
        <f>W160*AD160</f>
        <v>4894.9800000000005</v>
      </c>
      <c r="AG160" s="7">
        <f t="shared" si="34"/>
        <v>5487.6788399999996</v>
      </c>
      <c r="AH160" s="13">
        <f t="shared" si="35"/>
        <v>0.52854272923408507</v>
      </c>
    </row>
    <row r="161" spans="1:34" x14ac:dyDescent="0.35">
      <c r="A161" s="2" t="s">
        <v>174</v>
      </c>
      <c r="B161" s="5">
        <v>45870</v>
      </c>
      <c r="C161" s="5">
        <f>IF(H161&lt;B161,H161,B161)</f>
        <v>45870</v>
      </c>
      <c r="D161" s="5" t="str">
        <f t="shared" si="24"/>
        <v>Aug-2025</v>
      </c>
      <c r="E161" s="5" t="str">
        <f t="shared" si="25"/>
        <v>Aug</v>
      </c>
      <c r="F161" s="5" t="str">
        <f t="shared" si="26"/>
        <v>2025</v>
      </c>
      <c r="G161" s="5" t="str">
        <f t="shared" si="27"/>
        <v>Q3-2025</v>
      </c>
      <c r="H161" s="5">
        <v>45890</v>
      </c>
      <c r="I161" s="5">
        <f>IF(H161&lt;B161, B161+7, H161)</f>
        <v>45890</v>
      </c>
      <c r="J161" s="5" t="str">
        <f>IF(H161&lt;B161, "Invalid","Okay")</f>
        <v>Okay</v>
      </c>
      <c r="K161" s="16">
        <f>I161-C161</f>
        <v>20</v>
      </c>
      <c r="L161" s="16" t="str">
        <f t="shared" si="28"/>
        <v>Target Not Met</v>
      </c>
      <c r="M161" s="2" t="s">
        <v>647</v>
      </c>
      <c r="N161" s="2" t="s">
        <v>659</v>
      </c>
      <c r="O161" s="2" t="s">
        <v>685</v>
      </c>
      <c r="P161" s="29" t="str">
        <f t="shared" si="29"/>
        <v>Asia→China→Shanghai</v>
      </c>
      <c r="Q161" s="2" t="s">
        <v>701</v>
      </c>
      <c r="R161" s="2" t="s">
        <v>711</v>
      </c>
      <c r="S161" s="2" t="s">
        <v>714</v>
      </c>
      <c r="T161" s="2" t="s">
        <v>730</v>
      </c>
      <c r="U161" t="e">
        <f>(AE161/#REF!)*100</f>
        <v>#REF!</v>
      </c>
      <c r="V161" s="2" t="s">
        <v>893</v>
      </c>
      <c r="W161" s="7">
        <v>1220.4100000000001</v>
      </c>
      <c r="X161" s="7">
        <v>2552.2199999999998</v>
      </c>
      <c r="Y161" s="7">
        <f t="shared" si="30"/>
        <v>2552.2199999999998</v>
      </c>
      <c r="Z161" s="7" t="str">
        <f t="shared" si="31"/>
        <v>High</v>
      </c>
      <c r="AA161" s="13">
        <v>0.18099999999999999</v>
      </c>
      <c r="AB161" s="13">
        <f t="shared" si="32"/>
        <v>0.18099999999999999</v>
      </c>
      <c r="AC161" s="13" t="str">
        <f t="shared" si="33"/>
        <v>OK</v>
      </c>
      <c r="AD161" s="7">
        <v>14</v>
      </c>
      <c r="AE161" s="7">
        <f>Y161*AD161*(1-AB161)</f>
        <v>29263.754519999995</v>
      </c>
      <c r="AF161" s="7">
        <f>W161*AD161</f>
        <v>17085.740000000002</v>
      </c>
      <c r="AG161" s="7">
        <f t="shared" si="34"/>
        <v>12178.014519999993</v>
      </c>
      <c r="AH161" s="13">
        <f t="shared" si="35"/>
        <v>0.41614668793360271</v>
      </c>
    </row>
    <row r="162" spans="1:34" x14ac:dyDescent="0.35">
      <c r="A162" s="2" t="s">
        <v>175</v>
      </c>
      <c r="B162" s="5">
        <v>44977</v>
      </c>
      <c r="C162" s="5">
        <f>IF(H162&lt;B162,H162,B162)</f>
        <v>44977</v>
      </c>
      <c r="D162" s="5" t="str">
        <f t="shared" si="24"/>
        <v>Feb-2023</v>
      </c>
      <c r="E162" s="5" t="str">
        <f t="shared" si="25"/>
        <v>Feb</v>
      </c>
      <c r="F162" s="5" t="str">
        <f t="shared" si="26"/>
        <v>2023</v>
      </c>
      <c r="G162" s="5" t="str">
        <f t="shared" si="27"/>
        <v>Q1-2023</v>
      </c>
      <c r="H162" s="5">
        <v>44989</v>
      </c>
      <c r="I162" s="5">
        <f>IF(H162&lt;B162, B162+7, H162)</f>
        <v>44989</v>
      </c>
      <c r="J162" s="5" t="str">
        <f>IF(H162&lt;B162, "Invalid","Okay")</f>
        <v>Okay</v>
      </c>
      <c r="K162" s="16">
        <f>I162-C162</f>
        <v>12</v>
      </c>
      <c r="L162" s="16" t="str">
        <f t="shared" si="28"/>
        <v>Target Not Met</v>
      </c>
      <c r="M162" s="2" t="s">
        <v>647</v>
      </c>
      <c r="N162" s="2" t="s">
        <v>654</v>
      </c>
      <c r="O162" s="2" t="s">
        <v>680</v>
      </c>
      <c r="P162" s="29" t="str">
        <f t="shared" si="29"/>
        <v>Asia→India→Delhi</v>
      </c>
      <c r="Q162" s="2" t="s">
        <v>704</v>
      </c>
      <c r="R162" s="2" t="s">
        <v>710</v>
      </c>
      <c r="S162" s="2" t="s">
        <v>724</v>
      </c>
      <c r="T162" s="2" t="s">
        <v>732</v>
      </c>
      <c r="U162" t="e">
        <f>(AE162/#REF!)*100</f>
        <v>#REF!</v>
      </c>
      <c r="V162" s="2" t="s">
        <v>894</v>
      </c>
      <c r="W162" s="7">
        <v>299.75</v>
      </c>
      <c r="X162" s="7">
        <v>523.01</v>
      </c>
      <c r="Y162" s="7">
        <f t="shared" si="30"/>
        <v>523.01</v>
      </c>
      <c r="Z162" s="7" t="str">
        <f t="shared" si="31"/>
        <v>Low</v>
      </c>
      <c r="AA162" s="13">
        <v>0.157</v>
      </c>
      <c r="AB162" s="13">
        <f t="shared" si="32"/>
        <v>0.157</v>
      </c>
      <c r="AC162" s="13" t="str">
        <f t="shared" si="33"/>
        <v>OK</v>
      </c>
      <c r="AD162" s="7">
        <v>50</v>
      </c>
      <c r="AE162" s="7">
        <f>Y162*AD162*(1-AB162)</f>
        <v>22044.871499999997</v>
      </c>
      <c r="AF162" s="7">
        <f>W162*AD162</f>
        <v>14987.5</v>
      </c>
      <c r="AG162" s="7">
        <f t="shared" si="34"/>
        <v>7057.3714999999975</v>
      </c>
      <c r="AH162" s="13">
        <f t="shared" si="35"/>
        <v>0.32013665854210122</v>
      </c>
    </row>
    <row r="163" spans="1:34" x14ac:dyDescent="0.35">
      <c r="A163" s="2" t="s">
        <v>176</v>
      </c>
      <c r="B163" s="5">
        <v>45595</v>
      </c>
      <c r="C163" s="5">
        <f>IF(H163&lt;B163,H163,B163)</f>
        <v>45595</v>
      </c>
      <c r="D163" s="5" t="str">
        <f t="shared" si="24"/>
        <v>Oct-2024</v>
      </c>
      <c r="E163" s="5" t="str">
        <f t="shared" si="25"/>
        <v>Oct</v>
      </c>
      <c r="F163" s="5" t="str">
        <f t="shared" si="26"/>
        <v>2024</v>
      </c>
      <c r="G163" s="5" t="str">
        <f t="shared" si="27"/>
        <v>Q4-2024</v>
      </c>
      <c r="H163" s="5">
        <v>45620</v>
      </c>
      <c r="I163" s="5">
        <f>IF(H163&lt;B163, B163+7, H163)</f>
        <v>45620</v>
      </c>
      <c r="J163" s="5" t="str">
        <f>IF(H163&lt;B163, "Invalid","Okay")</f>
        <v>Okay</v>
      </c>
      <c r="K163" s="16">
        <f>I163-C163</f>
        <v>25</v>
      </c>
      <c r="L163" s="16" t="str">
        <f t="shared" si="28"/>
        <v>Target Not Met</v>
      </c>
      <c r="M163" s="2" t="s">
        <v>647</v>
      </c>
      <c r="N163" s="2" t="s">
        <v>659</v>
      </c>
      <c r="O163" s="2" t="s">
        <v>676</v>
      </c>
      <c r="P163" s="29" t="str">
        <f t="shared" si="29"/>
        <v>Asia→China→Shenzhen</v>
      </c>
      <c r="Q163" s="2" t="s">
        <v>705</v>
      </c>
      <c r="R163" s="2" t="s">
        <v>708</v>
      </c>
      <c r="S163" s="2" t="s">
        <v>718</v>
      </c>
      <c r="T163" s="2" t="s">
        <v>727</v>
      </c>
      <c r="U163" t="e">
        <f>(AE163/#REF!)*100</f>
        <v>#REF!</v>
      </c>
      <c r="V163" s="2" t="s">
        <v>895</v>
      </c>
      <c r="W163" s="7">
        <v>811.05</v>
      </c>
      <c r="X163" s="7">
        <v>1217.71</v>
      </c>
      <c r="Y163" s="7">
        <f t="shared" si="30"/>
        <v>1217.71</v>
      </c>
      <c r="Z163" s="7" t="str">
        <f t="shared" si="31"/>
        <v>Medium</v>
      </c>
      <c r="AA163" s="13">
        <v>7.1999999999999995E-2</v>
      </c>
      <c r="AB163" s="13">
        <f t="shared" si="32"/>
        <v>7.1999999999999995E-2</v>
      </c>
      <c r="AC163" s="13" t="str">
        <f t="shared" si="33"/>
        <v>OK</v>
      </c>
      <c r="AD163" s="7">
        <v>5</v>
      </c>
      <c r="AE163" s="7">
        <f>Y163*AD163*(1-AB163)</f>
        <v>5650.1744000000008</v>
      </c>
      <c r="AF163" s="7">
        <f>W163*AD163</f>
        <v>4055.25</v>
      </c>
      <c r="AG163" s="7">
        <f t="shared" si="34"/>
        <v>1594.9244000000008</v>
      </c>
      <c r="AH163" s="13">
        <f t="shared" si="35"/>
        <v>0.28227879125288602</v>
      </c>
    </row>
    <row r="164" spans="1:34" x14ac:dyDescent="0.35">
      <c r="A164" s="2" t="s">
        <v>177</v>
      </c>
      <c r="B164" s="5">
        <v>45385</v>
      </c>
      <c r="C164" s="5">
        <f>IF(H164&lt;B164,H164,B164)</f>
        <v>45385</v>
      </c>
      <c r="D164" s="5" t="str">
        <f t="shared" si="24"/>
        <v>Apr-2024</v>
      </c>
      <c r="E164" s="5" t="str">
        <f t="shared" si="25"/>
        <v>Apr</v>
      </c>
      <c r="F164" s="5" t="str">
        <f t="shared" si="26"/>
        <v>2024</v>
      </c>
      <c r="G164" s="5" t="str">
        <f t="shared" si="27"/>
        <v>Q2-2024</v>
      </c>
      <c r="H164" s="5">
        <v>45389</v>
      </c>
      <c r="I164" s="5">
        <f>IF(H164&lt;B164, B164+7, H164)</f>
        <v>45389</v>
      </c>
      <c r="J164" s="5" t="str">
        <f>IF(H164&lt;B164, "Invalid","Okay")</f>
        <v>Okay</v>
      </c>
      <c r="K164" s="16">
        <f>I164-C164</f>
        <v>4</v>
      </c>
      <c r="L164" s="16" t="str">
        <f t="shared" si="28"/>
        <v>Target Met</v>
      </c>
      <c r="M164" s="2" t="s">
        <v>648</v>
      </c>
      <c r="N164" s="2" t="s">
        <v>655</v>
      </c>
      <c r="O164" s="2" t="s">
        <v>672</v>
      </c>
      <c r="P164" s="29" t="str">
        <f t="shared" si="29"/>
        <v>Americas→Brazil→Brasília</v>
      </c>
      <c r="Q164" s="2" t="s">
        <v>703</v>
      </c>
      <c r="R164" s="2" t="s">
        <v>711</v>
      </c>
      <c r="S164" s="2" t="s">
        <v>725</v>
      </c>
      <c r="T164" s="2" t="s">
        <v>730</v>
      </c>
      <c r="U164" t="e">
        <f>(AE164/#REF!)*100</f>
        <v>#REF!</v>
      </c>
      <c r="V164" s="2" t="s">
        <v>896</v>
      </c>
      <c r="W164" s="7">
        <v>1023.27</v>
      </c>
      <c r="X164" s="7">
        <v>1343.64</v>
      </c>
      <c r="Y164" s="7">
        <f t="shared" si="30"/>
        <v>1343.64</v>
      </c>
      <c r="Z164" s="7" t="str">
        <f t="shared" si="31"/>
        <v>Medium</v>
      </c>
      <c r="AA164" s="13">
        <v>0.13300000000000001</v>
      </c>
      <c r="AB164" s="13">
        <f t="shared" si="32"/>
        <v>0.13300000000000001</v>
      </c>
      <c r="AC164" s="13" t="str">
        <f t="shared" si="33"/>
        <v>OK</v>
      </c>
      <c r="AD164" s="7">
        <v>7</v>
      </c>
      <c r="AE164" s="7">
        <f>Y164*AD164*(1-AB164)</f>
        <v>8154.5511600000009</v>
      </c>
      <c r="AF164" s="7">
        <f>W164*AD164</f>
        <v>7162.8899999999994</v>
      </c>
      <c r="AG164" s="7">
        <f t="shared" si="34"/>
        <v>991.66116000000147</v>
      </c>
      <c r="AH164" s="13">
        <f t="shared" si="35"/>
        <v>0.12160830688810116</v>
      </c>
    </row>
    <row r="165" spans="1:34" x14ac:dyDescent="0.35">
      <c r="A165" s="2" t="s">
        <v>178</v>
      </c>
      <c r="B165" s="5">
        <v>45010</v>
      </c>
      <c r="C165" s="5">
        <f>IF(H165&lt;B165,H165,B165)</f>
        <v>45010</v>
      </c>
      <c r="D165" s="5" t="str">
        <f t="shared" si="24"/>
        <v>Mar-2023</v>
      </c>
      <c r="E165" s="5" t="str">
        <f t="shared" si="25"/>
        <v>Mar</v>
      </c>
      <c r="F165" s="5" t="str">
        <f t="shared" si="26"/>
        <v>2023</v>
      </c>
      <c r="G165" s="5" t="str">
        <f t="shared" si="27"/>
        <v>Q1-2023</v>
      </c>
      <c r="H165" s="5">
        <v>45011</v>
      </c>
      <c r="I165" s="5">
        <f>IF(H165&lt;B165, B165+7, H165)</f>
        <v>45011</v>
      </c>
      <c r="J165" s="5" t="str">
        <f>IF(H165&lt;B165, "Invalid","Okay")</f>
        <v>Okay</v>
      </c>
      <c r="K165" s="16">
        <f>I165-C165</f>
        <v>1</v>
      </c>
      <c r="L165" s="16" t="str">
        <f t="shared" si="28"/>
        <v>Target Met</v>
      </c>
      <c r="M165" s="2" t="s">
        <v>647</v>
      </c>
      <c r="N165" s="2" t="s">
        <v>652</v>
      </c>
      <c r="O165" s="2" t="s">
        <v>666</v>
      </c>
      <c r="P165" s="29" t="str">
        <f t="shared" si="29"/>
        <v>Asia→Japan→Osaka</v>
      </c>
      <c r="Q165" s="2" t="s">
        <v>705</v>
      </c>
      <c r="R165" s="2" t="s">
        <v>710</v>
      </c>
      <c r="S165" s="2" t="s">
        <v>714</v>
      </c>
      <c r="T165" s="2" t="s">
        <v>732</v>
      </c>
      <c r="U165" t="e">
        <f>(AE165/#REF!)*100</f>
        <v>#REF!</v>
      </c>
      <c r="V165" s="2" t="s">
        <v>897</v>
      </c>
      <c r="W165" s="7">
        <v>135.12</v>
      </c>
      <c r="X165" s="7">
        <v>301.7</v>
      </c>
      <c r="Y165" s="7">
        <f t="shared" si="30"/>
        <v>301.7</v>
      </c>
      <c r="Z165" s="7" t="str">
        <f t="shared" si="31"/>
        <v>Low</v>
      </c>
      <c r="AA165" s="13">
        <v>0.14000000000000001</v>
      </c>
      <c r="AB165" s="13">
        <f t="shared" si="32"/>
        <v>0.14000000000000001</v>
      </c>
      <c r="AC165" s="13" t="str">
        <f t="shared" si="33"/>
        <v>OK</v>
      </c>
      <c r="AD165" s="7">
        <v>47</v>
      </c>
      <c r="AE165" s="7">
        <f>Y165*AD165*(1-AB165)</f>
        <v>12194.714</v>
      </c>
      <c r="AF165" s="7">
        <f>W165*AD165</f>
        <v>6350.64</v>
      </c>
      <c r="AG165" s="7">
        <f t="shared" si="34"/>
        <v>5844.0739999999996</v>
      </c>
      <c r="AH165" s="13">
        <f t="shared" si="35"/>
        <v>0.47923009920527859</v>
      </c>
    </row>
    <row r="166" spans="1:34" x14ac:dyDescent="0.35">
      <c r="A166" s="2" t="s">
        <v>179</v>
      </c>
      <c r="B166" s="5">
        <v>45447</v>
      </c>
      <c r="C166" s="5">
        <f>IF(H166&lt;B166,H166,B166)</f>
        <v>45447</v>
      </c>
      <c r="D166" s="5" t="str">
        <f t="shared" si="24"/>
        <v>Jun-2024</v>
      </c>
      <c r="E166" s="5" t="str">
        <f t="shared" si="25"/>
        <v>Jun</v>
      </c>
      <c r="F166" s="5" t="str">
        <f t="shared" si="26"/>
        <v>2024</v>
      </c>
      <c r="G166" s="5" t="str">
        <f t="shared" si="27"/>
        <v>Q2-2024</v>
      </c>
      <c r="H166" s="5">
        <v>45459</v>
      </c>
      <c r="I166" s="5">
        <f>IF(H166&lt;B166, B166+7, H166)</f>
        <v>45459</v>
      </c>
      <c r="J166" s="5" t="str">
        <f>IF(H166&lt;B166, "Invalid","Okay")</f>
        <v>Okay</v>
      </c>
      <c r="K166" s="16">
        <f>I166-C166</f>
        <v>12</v>
      </c>
      <c r="L166" s="16" t="str">
        <f t="shared" si="28"/>
        <v>Target Not Met</v>
      </c>
      <c r="M166" s="2" t="s">
        <v>647</v>
      </c>
      <c r="N166" s="2" t="s">
        <v>659</v>
      </c>
      <c r="O166" s="2" t="s">
        <v>685</v>
      </c>
      <c r="P166" s="29" t="str">
        <f t="shared" si="29"/>
        <v>Asia→China→Shanghai</v>
      </c>
      <c r="Q166" s="2" t="s">
        <v>701</v>
      </c>
      <c r="R166" s="2" t="s">
        <v>707</v>
      </c>
      <c r="S166" s="2" t="s">
        <v>713</v>
      </c>
      <c r="T166" s="2" t="s">
        <v>728</v>
      </c>
      <c r="U166" t="e">
        <f>(AE166/#REF!)*100</f>
        <v>#REF!</v>
      </c>
      <c r="V166" s="2" t="s">
        <v>898</v>
      </c>
      <c r="W166" s="7">
        <v>918.42</v>
      </c>
      <c r="X166" s="7">
        <v>1511.71</v>
      </c>
      <c r="Y166" s="7">
        <f t="shared" si="30"/>
        <v>1511.71</v>
      </c>
      <c r="Z166" s="7" t="str">
        <f t="shared" si="31"/>
        <v>Medium</v>
      </c>
      <c r="AA166" s="13">
        <v>0.02</v>
      </c>
      <c r="AB166" s="13">
        <f t="shared" si="32"/>
        <v>0.02</v>
      </c>
      <c r="AC166" s="13" t="str">
        <f t="shared" si="33"/>
        <v>OK</v>
      </c>
      <c r="AD166" s="7">
        <v>8</v>
      </c>
      <c r="AE166" s="7">
        <f>Y166*AD166*(1-AB166)</f>
        <v>11851.806399999999</v>
      </c>
      <c r="AF166" s="7">
        <f>W166*AD166</f>
        <v>7347.36</v>
      </c>
      <c r="AG166" s="7">
        <f t="shared" si="34"/>
        <v>4504.4463999999998</v>
      </c>
      <c r="AH166" s="13">
        <f t="shared" si="35"/>
        <v>0.38006412254590999</v>
      </c>
    </row>
    <row r="167" spans="1:34" x14ac:dyDescent="0.35">
      <c r="A167" s="2" t="s">
        <v>180</v>
      </c>
      <c r="B167" s="5">
        <v>44976</v>
      </c>
      <c r="C167" s="5">
        <f>IF(H167&lt;B167,H167,B167)</f>
        <v>44976</v>
      </c>
      <c r="D167" s="5" t="str">
        <f t="shared" si="24"/>
        <v>Feb-2023</v>
      </c>
      <c r="E167" s="5" t="str">
        <f t="shared" si="25"/>
        <v>Feb</v>
      </c>
      <c r="F167" s="5" t="str">
        <f t="shared" si="26"/>
        <v>2023</v>
      </c>
      <c r="G167" s="5" t="str">
        <f t="shared" si="27"/>
        <v>Q1-2023</v>
      </c>
      <c r="H167" s="5">
        <v>44997</v>
      </c>
      <c r="I167" s="5">
        <f>IF(H167&lt;B167, B167+7, H167)</f>
        <v>44997</v>
      </c>
      <c r="J167" s="5" t="str">
        <f>IF(H167&lt;B167, "Invalid","Okay")</f>
        <v>Okay</v>
      </c>
      <c r="K167" s="16">
        <f>I167-C167</f>
        <v>21</v>
      </c>
      <c r="L167" s="16" t="str">
        <f t="shared" si="28"/>
        <v>Target Not Met</v>
      </c>
      <c r="M167" s="2" t="s">
        <v>649</v>
      </c>
      <c r="N167" s="2" t="s">
        <v>656</v>
      </c>
      <c r="O167" s="2" t="s">
        <v>671</v>
      </c>
      <c r="P167" s="29" t="str">
        <f t="shared" si="29"/>
        <v>Europe→Germany→Berlin</v>
      </c>
      <c r="Q167" s="2" t="s">
        <v>705</v>
      </c>
      <c r="R167" s="2" t="s">
        <v>711</v>
      </c>
      <c r="S167" s="2" t="s">
        <v>716</v>
      </c>
      <c r="T167" s="2" t="s">
        <v>732</v>
      </c>
      <c r="U167" t="e">
        <f>(AE167/#REF!)*100</f>
        <v>#REF!</v>
      </c>
      <c r="V167" s="2" t="s">
        <v>899</v>
      </c>
      <c r="W167" s="7">
        <v>1234.81</v>
      </c>
      <c r="X167" s="7">
        <v>2055.2399999999998</v>
      </c>
      <c r="Y167" s="7">
        <f t="shared" si="30"/>
        <v>2055.2399999999998</v>
      </c>
      <c r="Z167" s="7" t="str">
        <f t="shared" si="31"/>
        <v>High</v>
      </c>
      <c r="AA167" s="13">
        <v>5.2999999999999999E-2</v>
      </c>
      <c r="AB167" s="13">
        <f t="shared" si="32"/>
        <v>5.2999999999999999E-2</v>
      </c>
      <c r="AC167" s="13" t="str">
        <f t="shared" si="33"/>
        <v>OK</v>
      </c>
      <c r="AD167" s="7">
        <v>44</v>
      </c>
      <c r="AE167" s="7">
        <f>Y167*AD167*(1-AB167)</f>
        <v>85637.740319999997</v>
      </c>
      <c r="AF167" s="7">
        <f>W167*AD167</f>
        <v>54331.64</v>
      </c>
      <c r="AG167" s="7">
        <f t="shared" si="34"/>
        <v>31306.100319999998</v>
      </c>
      <c r="AH167" s="13">
        <f t="shared" si="35"/>
        <v>0.36556429680441616</v>
      </c>
    </row>
    <row r="168" spans="1:34" x14ac:dyDescent="0.35">
      <c r="A168" s="2" t="s">
        <v>181</v>
      </c>
      <c r="B168" s="5">
        <v>45034</v>
      </c>
      <c r="C168" s="5">
        <f>IF(H168&lt;B168,H168,B168)</f>
        <v>45034</v>
      </c>
      <c r="D168" s="5" t="str">
        <f t="shared" si="24"/>
        <v>Apr-2023</v>
      </c>
      <c r="E168" s="5" t="str">
        <f t="shared" si="25"/>
        <v>Apr</v>
      </c>
      <c r="F168" s="5" t="str">
        <f t="shared" si="26"/>
        <v>2023</v>
      </c>
      <c r="G168" s="5" t="str">
        <f t="shared" si="27"/>
        <v>Q2-2023</v>
      </c>
      <c r="H168" s="5">
        <v>45064</v>
      </c>
      <c r="I168" s="5">
        <f>IF(H168&lt;B168, B168+7, H168)</f>
        <v>45064</v>
      </c>
      <c r="J168" s="5" t="str">
        <f>IF(H168&lt;B168, "Invalid","Okay")</f>
        <v>Okay</v>
      </c>
      <c r="K168" s="16">
        <f>I168-C168</f>
        <v>30</v>
      </c>
      <c r="L168" s="16" t="str">
        <f t="shared" si="28"/>
        <v>Target Not Met</v>
      </c>
      <c r="M168" s="2" t="s">
        <v>647</v>
      </c>
      <c r="N168" s="2" t="s">
        <v>659</v>
      </c>
      <c r="O168" s="2" t="s">
        <v>676</v>
      </c>
      <c r="P168" s="29" t="str">
        <f t="shared" si="29"/>
        <v>Asia→China→Shenzhen</v>
      </c>
      <c r="Q168" s="2" t="s">
        <v>703</v>
      </c>
      <c r="R168" s="2" t="s">
        <v>707</v>
      </c>
      <c r="S168" s="2" t="s">
        <v>722</v>
      </c>
      <c r="T168" s="2" t="s">
        <v>731</v>
      </c>
      <c r="U168" t="e">
        <f>(AE168/#REF!)*100</f>
        <v>#REF!</v>
      </c>
      <c r="V168" s="2" t="s">
        <v>900</v>
      </c>
      <c r="W168" s="7">
        <v>329.03</v>
      </c>
      <c r="X168" s="7">
        <v>391.15</v>
      </c>
      <c r="Y168" s="7">
        <f t="shared" si="30"/>
        <v>391.15</v>
      </c>
      <c r="Z168" s="7" t="str">
        <f t="shared" si="31"/>
        <v>Low</v>
      </c>
      <c r="AA168" s="13">
        <v>0.19700000000000001</v>
      </c>
      <c r="AB168" s="13">
        <f t="shared" si="32"/>
        <v>0.19700000000000001</v>
      </c>
      <c r="AC168" s="13" t="str">
        <f t="shared" si="33"/>
        <v>OK</v>
      </c>
      <c r="AD168" s="7">
        <v>46</v>
      </c>
      <c r="AE168" s="7">
        <f>Y168*AD168*(1-AB168)</f>
        <v>14448.298699999998</v>
      </c>
      <c r="AF168" s="7">
        <f>W168*AD168</f>
        <v>15135.38</v>
      </c>
      <c r="AG168" s="7">
        <f t="shared" si="34"/>
        <v>-687.08130000000165</v>
      </c>
      <c r="AH168" s="13">
        <f t="shared" si="35"/>
        <v>-4.7554477815440081E-2</v>
      </c>
    </row>
    <row r="169" spans="1:34" x14ac:dyDescent="0.35">
      <c r="A169" s="2" t="s">
        <v>182</v>
      </c>
      <c r="B169" s="5">
        <v>45435</v>
      </c>
      <c r="C169" s="5">
        <f>IF(H169&lt;B169,H169,B169)</f>
        <v>45435</v>
      </c>
      <c r="D169" s="5" t="str">
        <f t="shared" si="24"/>
        <v>May-2024</v>
      </c>
      <c r="E169" s="5" t="str">
        <f t="shared" si="25"/>
        <v>May</v>
      </c>
      <c r="F169" s="5" t="str">
        <f t="shared" si="26"/>
        <v>2024</v>
      </c>
      <c r="G169" s="5" t="str">
        <f t="shared" si="27"/>
        <v>Q2-2024</v>
      </c>
      <c r="H169" s="5">
        <v>45457</v>
      </c>
      <c r="I169" s="5">
        <f>IF(H169&lt;B169, B169+7, H169)</f>
        <v>45457</v>
      </c>
      <c r="J169" s="5" t="str">
        <f>IF(H169&lt;B169, "Invalid","Okay")</f>
        <v>Okay</v>
      </c>
      <c r="K169" s="16">
        <f>I169-C169</f>
        <v>22</v>
      </c>
      <c r="L169" s="16" t="str">
        <f t="shared" si="28"/>
        <v>Target Not Met</v>
      </c>
      <c r="M169" s="2" t="s">
        <v>649</v>
      </c>
      <c r="N169" s="2" t="s">
        <v>657</v>
      </c>
      <c r="O169" s="2" t="s">
        <v>673</v>
      </c>
      <c r="P169" s="29" t="str">
        <f t="shared" si="29"/>
        <v>Europe→France→Marseille</v>
      </c>
      <c r="Q169" s="2" t="s">
        <v>705</v>
      </c>
      <c r="R169" s="2" t="s">
        <v>708</v>
      </c>
      <c r="S169" s="2" t="s">
        <v>725</v>
      </c>
      <c r="T169" s="2" t="s">
        <v>732</v>
      </c>
      <c r="U169" t="e">
        <f>(AE169/#REF!)*100</f>
        <v>#REF!</v>
      </c>
      <c r="V169" s="2" t="s">
        <v>901</v>
      </c>
      <c r="W169" s="7">
        <v>1481.74</v>
      </c>
      <c r="X169" s="7">
        <v>1848.97</v>
      </c>
      <c r="Y169" s="7">
        <f t="shared" si="30"/>
        <v>1848.97</v>
      </c>
      <c r="Z169" s="7" t="str">
        <f t="shared" si="31"/>
        <v>Medium</v>
      </c>
      <c r="AA169" s="13">
        <v>0.254</v>
      </c>
      <c r="AB169" s="13">
        <f t="shared" si="32"/>
        <v>0.254</v>
      </c>
      <c r="AC169" s="13" t="str">
        <f t="shared" si="33"/>
        <v>OK</v>
      </c>
      <c r="AD169" s="7">
        <v>9</v>
      </c>
      <c r="AE169" s="7">
        <f>Y169*AD169*(1-AB169)</f>
        <v>12413.98458</v>
      </c>
      <c r="AF169" s="7">
        <f>W169*AD169</f>
        <v>13335.66</v>
      </c>
      <c r="AG169" s="7">
        <f t="shared" si="34"/>
        <v>-921.67541999999958</v>
      </c>
      <c r="AH169" s="13">
        <f t="shared" si="35"/>
        <v>-7.4244930309072407E-2</v>
      </c>
    </row>
    <row r="170" spans="1:34" x14ac:dyDescent="0.35">
      <c r="A170" s="2" t="s">
        <v>183</v>
      </c>
      <c r="B170" s="5">
        <v>45206</v>
      </c>
      <c r="C170" s="5">
        <f>IF(H170&lt;B170,H170,B170)</f>
        <v>45206</v>
      </c>
      <c r="D170" s="5" t="str">
        <f t="shared" si="24"/>
        <v>Oct-2023</v>
      </c>
      <c r="E170" s="5" t="str">
        <f t="shared" si="25"/>
        <v>Oct</v>
      </c>
      <c r="F170" s="5" t="str">
        <f t="shared" si="26"/>
        <v>2023</v>
      </c>
      <c r="G170" s="5" t="str">
        <f t="shared" si="27"/>
        <v>Q4-2023</v>
      </c>
      <c r="H170" s="5">
        <v>45222</v>
      </c>
      <c r="I170" s="5">
        <f>IF(H170&lt;B170, B170+7, H170)</f>
        <v>45222</v>
      </c>
      <c r="J170" s="5" t="str">
        <f>IF(H170&lt;B170, "Invalid","Okay")</f>
        <v>Okay</v>
      </c>
      <c r="K170" s="16">
        <f>I170-C170</f>
        <v>16</v>
      </c>
      <c r="L170" s="16" t="str">
        <f t="shared" si="28"/>
        <v>Target Not Met</v>
      </c>
      <c r="M170" s="2" t="s">
        <v>647</v>
      </c>
      <c r="N170" s="2" t="s">
        <v>654</v>
      </c>
      <c r="O170" s="2" t="s">
        <v>696</v>
      </c>
      <c r="P170" s="29" t="str">
        <f t="shared" si="29"/>
        <v>Asia→India→Hyderabad</v>
      </c>
      <c r="Q170" s="2" t="s">
        <v>704</v>
      </c>
      <c r="R170" s="2" t="s">
        <v>707</v>
      </c>
      <c r="S170" s="2" t="s">
        <v>715</v>
      </c>
      <c r="T170" s="2" t="s">
        <v>732</v>
      </c>
      <c r="U170" t="e">
        <f>(AE170/#REF!)*100</f>
        <v>#REF!</v>
      </c>
      <c r="V170" s="2" t="s">
        <v>902</v>
      </c>
      <c r="W170" s="7">
        <v>906.81</v>
      </c>
      <c r="X170" s="7">
        <v>1395.56</v>
      </c>
      <c r="Y170" s="7">
        <f t="shared" si="30"/>
        <v>1395.56</v>
      </c>
      <c r="Z170" s="7" t="str">
        <f t="shared" si="31"/>
        <v>Medium</v>
      </c>
      <c r="AA170" s="13">
        <v>0.185</v>
      </c>
      <c r="AB170" s="13">
        <f t="shared" si="32"/>
        <v>0.185</v>
      </c>
      <c r="AC170" s="13" t="str">
        <f t="shared" si="33"/>
        <v>OK</v>
      </c>
      <c r="AD170" s="7">
        <v>6</v>
      </c>
      <c r="AE170" s="7">
        <f>Y170*AD170*(1-AB170)</f>
        <v>6824.2884000000004</v>
      </c>
      <c r="AF170" s="7">
        <f>W170*AD170</f>
        <v>5440.86</v>
      </c>
      <c r="AG170" s="7">
        <f t="shared" si="34"/>
        <v>1383.4284000000007</v>
      </c>
      <c r="AH170" s="13">
        <f t="shared" si="35"/>
        <v>0.20272126834498974</v>
      </c>
    </row>
    <row r="171" spans="1:34" x14ac:dyDescent="0.35">
      <c r="A171" s="2" t="s">
        <v>184</v>
      </c>
      <c r="B171" s="5">
        <v>45574</v>
      </c>
      <c r="C171" s="5">
        <f>IF(H171&lt;B171,H171,B171)</f>
        <v>45574</v>
      </c>
      <c r="D171" s="5" t="str">
        <f t="shared" si="24"/>
        <v>Oct-2024</v>
      </c>
      <c r="E171" s="5" t="str">
        <f t="shared" si="25"/>
        <v>Oct</v>
      </c>
      <c r="F171" s="5" t="str">
        <f t="shared" si="26"/>
        <v>2024</v>
      </c>
      <c r="G171" s="5" t="str">
        <f t="shared" si="27"/>
        <v>Q4-2024</v>
      </c>
      <c r="H171" s="5">
        <v>45604</v>
      </c>
      <c r="I171" s="5">
        <f>IF(H171&lt;B171, B171+7, H171)</f>
        <v>45604</v>
      </c>
      <c r="J171" s="5" t="str">
        <f>IF(H171&lt;B171, "Invalid","Okay")</f>
        <v>Okay</v>
      </c>
      <c r="K171" s="16">
        <f>I171-C171</f>
        <v>30</v>
      </c>
      <c r="L171" s="16" t="str">
        <f t="shared" si="28"/>
        <v>Target Not Met</v>
      </c>
      <c r="M171" s="2" t="s">
        <v>649</v>
      </c>
      <c r="N171" s="2" t="s">
        <v>658</v>
      </c>
      <c r="O171" s="2" t="s">
        <v>693</v>
      </c>
      <c r="P171" s="29" t="str">
        <f t="shared" si="29"/>
        <v>Europe→United Kingdom→Manchester</v>
      </c>
      <c r="Q171" s="2" t="s">
        <v>705</v>
      </c>
      <c r="R171" s="2" t="s">
        <v>710</v>
      </c>
      <c r="S171" s="2" t="s">
        <v>713</v>
      </c>
      <c r="T171" s="2" t="s">
        <v>727</v>
      </c>
      <c r="U171" t="e">
        <f>(AE171/#REF!)*100</f>
        <v>#REF!</v>
      </c>
      <c r="V171" s="2" t="s">
        <v>903</v>
      </c>
      <c r="W171" s="7">
        <v>343.85</v>
      </c>
      <c r="X171" s="7">
        <v>538.04</v>
      </c>
      <c r="Y171" s="7">
        <f t="shared" si="30"/>
        <v>538.04</v>
      </c>
      <c r="Z171" s="7" t="str">
        <f t="shared" si="31"/>
        <v>Low</v>
      </c>
      <c r="AA171" s="13">
        <v>0.13900000000000001</v>
      </c>
      <c r="AB171" s="13">
        <f t="shared" si="32"/>
        <v>0.13900000000000001</v>
      </c>
      <c r="AC171" s="13" t="str">
        <f t="shared" si="33"/>
        <v>OK</v>
      </c>
      <c r="AD171" s="7">
        <v>5</v>
      </c>
      <c r="AE171" s="7">
        <f>Y171*AD171*(1-AB171)</f>
        <v>2316.2621999999997</v>
      </c>
      <c r="AF171" s="7">
        <f>W171*AD171</f>
        <v>1719.25</v>
      </c>
      <c r="AG171" s="7">
        <f t="shared" si="34"/>
        <v>597.01219999999967</v>
      </c>
      <c r="AH171" s="13">
        <f t="shared" si="35"/>
        <v>0.25774810813732563</v>
      </c>
    </row>
    <row r="172" spans="1:34" x14ac:dyDescent="0.35">
      <c r="A172" s="2" t="s">
        <v>185</v>
      </c>
      <c r="B172" s="5">
        <v>45488</v>
      </c>
      <c r="C172" s="5">
        <f>IF(H172&lt;B172,H172,B172)</f>
        <v>45488</v>
      </c>
      <c r="D172" s="5" t="str">
        <f t="shared" si="24"/>
        <v>Jul-2024</v>
      </c>
      <c r="E172" s="5" t="str">
        <f t="shared" si="25"/>
        <v>Jul</v>
      </c>
      <c r="F172" s="5" t="str">
        <f t="shared" si="26"/>
        <v>2024</v>
      </c>
      <c r="G172" s="5" t="str">
        <f t="shared" si="27"/>
        <v>Q3-2024</v>
      </c>
      <c r="H172" s="5">
        <v>45488</v>
      </c>
      <c r="I172" s="5">
        <f>IF(H172&lt;B172, B172+7, H172)</f>
        <v>45488</v>
      </c>
      <c r="J172" s="5" t="str">
        <f>IF(H172&lt;B172, "Invalid","Okay")</f>
        <v>Okay</v>
      </c>
      <c r="K172" s="16">
        <f>I172-C172</f>
        <v>0</v>
      </c>
      <c r="L172" s="16" t="str">
        <f t="shared" si="28"/>
        <v>Target Met</v>
      </c>
      <c r="M172" s="2" t="s">
        <v>647</v>
      </c>
      <c r="N172" s="2" t="s">
        <v>652</v>
      </c>
      <c r="O172" s="2" t="s">
        <v>689</v>
      </c>
      <c r="P172" s="29" t="str">
        <f t="shared" si="29"/>
        <v>Asia→Japan→Tokyo</v>
      </c>
      <c r="Q172" s="2" t="s">
        <v>705</v>
      </c>
      <c r="R172" s="2" t="s">
        <v>709</v>
      </c>
      <c r="S172" s="2" t="s">
        <v>715</v>
      </c>
      <c r="T172" s="2" t="s">
        <v>733</v>
      </c>
      <c r="U172" t="e">
        <f>(AE172/#REF!)*100</f>
        <v>#REF!</v>
      </c>
      <c r="V172" s="2" t="s">
        <v>904</v>
      </c>
      <c r="W172" s="7">
        <v>801.77</v>
      </c>
      <c r="X172" s="7">
        <v>1218.92</v>
      </c>
      <c r="Y172" s="7">
        <f t="shared" si="30"/>
        <v>1218.92</v>
      </c>
      <c r="Z172" s="7" t="str">
        <f t="shared" si="31"/>
        <v>Medium</v>
      </c>
      <c r="AA172" s="13">
        <v>0.254</v>
      </c>
      <c r="AB172" s="13">
        <f t="shared" si="32"/>
        <v>0.254</v>
      </c>
      <c r="AC172" s="13" t="str">
        <f t="shared" si="33"/>
        <v>OK</v>
      </c>
      <c r="AD172" s="7">
        <v>16</v>
      </c>
      <c r="AE172" s="7">
        <f>Y172*AD172*(1-AB172)</f>
        <v>14549.029120000001</v>
      </c>
      <c r="AF172" s="7">
        <f>W172*AD172</f>
        <v>12828.32</v>
      </c>
      <c r="AG172" s="7">
        <f t="shared" si="34"/>
        <v>1720.7091200000013</v>
      </c>
      <c r="AH172" s="13">
        <f t="shared" si="35"/>
        <v>0.11826968698788344</v>
      </c>
    </row>
    <row r="173" spans="1:34" x14ac:dyDescent="0.35">
      <c r="A173" s="2" t="s">
        <v>186</v>
      </c>
      <c r="B173" s="5">
        <v>45190</v>
      </c>
      <c r="C173" s="5">
        <f>IF(H173&lt;B173,H173,B173)</f>
        <v>45190</v>
      </c>
      <c r="D173" s="5" t="str">
        <f t="shared" si="24"/>
        <v>Sep-2023</v>
      </c>
      <c r="E173" s="5" t="str">
        <f t="shared" si="25"/>
        <v>Sep</v>
      </c>
      <c r="F173" s="5" t="str">
        <f t="shared" si="26"/>
        <v>2023</v>
      </c>
      <c r="G173" s="5" t="str">
        <f t="shared" si="27"/>
        <v>Q3-2023</v>
      </c>
      <c r="H173" s="5">
        <v>45209</v>
      </c>
      <c r="I173" s="5">
        <f>IF(H173&lt;B173, B173+7, H173)</f>
        <v>45209</v>
      </c>
      <c r="J173" s="5" t="str">
        <f>IF(H173&lt;B173, "Invalid","Okay")</f>
        <v>Okay</v>
      </c>
      <c r="K173" s="16">
        <f>I173-C173</f>
        <v>19</v>
      </c>
      <c r="L173" s="16" t="str">
        <f t="shared" si="28"/>
        <v>Target Not Met</v>
      </c>
      <c r="M173" s="2" t="s">
        <v>647</v>
      </c>
      <c r="N173" s="2" t="s">
        <v>652</v>
      </c>
      <c r="O173" s="2" t="s">
        <v>689</v>
      </c>
      <c r="P173" s="29" t="str">
        <f t="shared" si="29"/>
        <v>Asia→Japan→Tokyo</v>
      </c>
      <c r="Q173" s="2" t="s">
        <v>702</v>
      </c>
      <c r="R173" s="2" t="s">
        <v>708</v>
      </c>
      <c r="S173" s="2" t="s">
        <v>726</v>
      </c>
      <c r="T173" s="2" t="s">
        <v>727</v>
      </c>
      <c r="U173" t="e">
        <f>(AE173/#REF!)*100</f>
        <v>#REF!</v>
      </c>
      <c r="V173" s="2" t="s">
        <v>905</v>
      </c>
      <c r="W173" s="7">
        <v>845.63</v>
      </c>
      <c r="X173" s="7">
        <v>2062.12</v>
      </c>
      <c r="Y173" s="7">
        <f t="shared" si="30"/>
        <v>2062.12</v>
      </c>
      <c r="Z173" s="7" t="str">
        <f t="shared" si="31"/>
        <v>High</v>
      </c>
      <c r="AA173" s="13">
        <v>0.13400000000000001</v>
      </c>
      <c r="AB173" s="13">
        <f t="shared" si="32"/>
        <v>0.13400000000000001</v>
      </c>
      <c r="AC173" s="13" t="str">
        <f t="shared" si="33"/>
        <v>OK</v>
      </c>
      <c r="AD173" s="7">
        <v>5</v>
      </c>
      <c r="AE173" s="7">
        <f>Y173*AD173*(1-AB173)</f>
        <v>8928.9795999999988</v>
      </c>
      <c r="AF173" s="7">
        <f>W173*AD173</f>
        <v>4228.1499999999996</v>
      </c>
      <c r="AG173" s="7">
        <f t="shared" si="34"/>
        <v>4700.8295999999991</v>
      </c>
      <c r="AH173" s="13">
        <f t="shared" si="35"/>
        <v>0.52646884757133949</v>
      </c>
    </row>
    <row r="174" spans="1:34" x14ac:dyDescent="0.35">
      <c r="A174" s="2" t="s">
        <v>187</v>
      </c>
      <c r="B174" s="5">
        <v>44981</v>
      </c>
      <c r="C174" s="5">
        <f>IF(H174&lt;B174,H174,B174)</f>
        <v>44981</v>
      </c>
      <c r="D174" s="5" t="str">
        <f t="shared" si="24"/>
        <v>Feb-2023</v>
      </c>
      <c r="E174" s="5" t="str">
        <f t="shared" si="25"/>
        <v>Feb</v>
      </c>
      <c r="F174" s="5" t="str">
        <f t="shared" si="26"/>
        <v>2023</v>
      </c>
      <c r="G174" s="5" t="str">
        <f t="shared" si="27"/>
        <v>Q1-2023</v>
      </c>
      <c r="H174" s="5">
        <v>44994</v>
      </c>
      <c r="I174" s="5">
        <f>IF(H174&lt;B174, B174+7, H174)</f>
        <v>44994</v>
      </c>
      <c r="J174" s="5" t="str">
        <f>IF(H174&lt;B174, "Invalid","Okay")</f>
        <v>Okay</v>
      </c>
      <c r="K174" s="16">
        <f>I174-C174</f>
        <v>13</v>
      </c>
      <c r="L174" s="16" t="str">
        <f t="shared" si="28"/>
        <v>Target Not Met</v>
      </c>
      <c r="M174" s="2" t="s">
        <v>648</v>
      </c>
      <c r="N174" s="2" t="s">
        <v>660</v>
      </c>
      <c r="O174" s="2" t="s">
        <v>700</v>
      </c>
      <c r="P174" s="29" t="str">
        <f t="shared" si="29"/>
        <v>Americas→USA→New York</v>
      </c>
      <c r="Q174" s="2" t="s">
        <v>706</v>
      </c>
      <c r="R174" s="2" t="s">
        <v>708</v>
      </c>
      <c r="S174" s="2" t="s">
        <v>724</v>
      </c>
      <c r="T174" s="2" t="s">
        <v>727</v>
      </c>
      <c r="U174" t="e">
        <f>(AE174/#REF!)*100</f>
        <v>#REF!</v>
      </c>
      <c r="V174" s="2" t="s">
        <v>906</v>
      </c>
      <c r="W174" s="7">
        <v>6.85</v>
      </c>
      <c r="X174" s="7">
        <v>10.18</v>
      </c>
      <c r="Y174" s="7">
        <f t="shared" si="30"/>
        <v>10.18</v>
      </c>
      <c r="Z174" s="7" t="str">
        <f t="shared" si="31"/>
        <v>Low</v>
      </c>
      <c r="AA174" s="13">
        <v>4.7E-2</v>
      </c>
      <c r="AB174" s="13">
        <f t="shared" si="32"/>
        <v>4.7E-2</v>
      </c>
      <c r="AC174" s="13" t="str">
        <f t="shared" si="33"/>
        <v>OK</v>
      </c>
      <c r="AD174" s="7">
        <v>10</v>
      </c>
      <c r="AE174" s="7">
        <f>Y174*AD174*(1-AB174)</f>
        <v>97.0154</v>
      </c>
      <c r="AF174" s="7">
        <f>W174*AD174</f>
        <v>68.5</v>
      </c>
      <c r="AG174" s="7">
        <f t="shared" si="34"/>
        <v>28.5154</v>
      </c>
      <c r="AH174" s="13">
        <f t="shared" si="35"/>
        <v>0.2939265312517394</v>
      </c>
    </row>
    <row r="175" spans="1:34" x14ac:dyDescent="0.35">
      <c r="A175" s="2" t="s">
        <v>188</v>
      </c>
      <c r="B175" s="5">
        <v>45798</v>
      </c>
      <c r="C175" s="5">
        <f>IF(H175&lt;B175,H175,B175)</f>
        <v>45796</v>
      </c>
      <c r="D175" s="5" t="str">
        <f t="shared" si="24"/>
        <v>May-2025</v>
      </c>
      <c r="E175" s="5" t="str">
        <f t="shared" si="25"/>
        <v>May</v>
      </c>
      <c r="F175" s="5" t="str">
        <f t="shared" si="26"/>
        <v>2025</v>
      </c>
      <c r="G175" s="5" t="str">
        <f t="shared" si="27"/>
        <v>Q2-2025</v>
      </c>
      <c r="H175" s="5">
        <v>45796</v>
      </c>
      <c r="I175" s="5">
        <f>IF(H175&lt;B175, B175+7, H175)</f>
        <v>45805</v>
      </c>
      <c r="J175" s="5" t="str">
        <f>IF(H175&lt;B175, "Invalid","Okay")</f>
        <v>Invalid</v>
      </c>
      <c r="K175" s="16">
        <f>I175-C175</f>
        <v>9</v>
      </c>
      <c r="L175" s="16" t="str">
        <f t="shared" si="28"/>
        <v>Target Not Met</v>
      </c>
      <c r="M175" s="2" t="s">
        <v>646</v>
      </c>
      <c r="N175" s="2" t="s">
        <v>661</v>
      </c>
      <c r="O175" s="2" t="s">
        <v>682</v>
      </c>
      <c r="P175" s="29" t="str">
        <f t="shared" si="29"/>
        <v>Africa→South Africa→Johannesburg</v>
      </c>
      <c r="Q175" s="2" t="s">
        <v>703</v>
      </c>
      <c r="R175" s="2" t="s">
        <v>710</v>
      </c>
      <c r="S175" s="2" t="s">
        <v>719</v>
      </c>
      <c r="T175" s="2" t="s">
        <v>731</v>
      </c>
      <c r="U175" t="e">
        <f>(AE175/#REF!)*100</f>
        <v>#REF!</v>
      </c>
      <c r="V175" s="2" t="s">
        <v>907</v>
      </c>
      <c r="W175" s="7">
        <v>1263.8399999999999</v>
      </c>
      <c r="X175" s="7">
        <v>2281.7199999999998</v>
      </c>
      <c r="Y175" s="7">
        <f t="shared" si="30"/>
        <v>2281.7199999999998</v>
      </c>
      <c r="Z175" s="7" t="str">
        <f t="shared" si="31"/>
        <v>High</v>
      </c>
      <c r="AA175" s="13">
        <v>7.8E-2</v>
      </c>
      <c r="AB175" s="13">
        <f t="shared" si="32"/>
        <v>7.8E-2</v>
      </c>
      <c r="AC175" s="13" t="str">
        <f t="shared" si="33"/>
        <v>OK</v>
      </c>
      <c r="AD175" s="7">
        <v>15</v>
      </c>
      <c r="AE175" s="7">
        <f>Y175*AD175*(1-AB175)</f>
        <v>31556.187599999997</v>
      </c>
      <c r="AF175" s="7">
        <f>W175*AD175</f>
        <v>18957.599999999999</v>
      </c>
      <c r="AG175" s="7">
        <f t="shared" si="34"/>
        <v>12598.587599999999</v>
      </c>
      <c r="AH175" s="13">
        <f t="shared" si="35"/>
        <v>0.39924301882398494</v>
      </c>
    </row>
    <row r="176" spans="1:34" x14ac:dyDescent="0.35">
      <c r="A176" s="2" t="s">
        <v>189</v>
      </c>
      <c r="B176" s="5">
        <v>45435</v>
      </c>
      <c r="C176" s="5">
        <f>IF(H176&lt;B176,H176,B176)</f>
        <v>45435</v>
      </c>
      <c r="D176" s="5" t="str">
        <f t="shared" si="24"/>
        <v>May-2024</v>
      </c>
      <c r="E176" s="5" t="str">
        <f t="shared" si="25"/>
        <v>May</v>
      </c>
      <c r="F176" s="5" t="str">
        <f t="shared" si="26"/>
        <v>2024</v>
      </c>
      <c r="G176" s="5" t="str">
        <f t="shared" si="27"/>
        <v>Q2-2024</v>
      </c>
      <c r="H176" s="5">
        <v>45446</v>
      </c>
      <c r="I176" s="5">
        <f>IF(H176&lt;B176, B176+7, H176)</f>
        <v>45446</v>
      </c>
      <c r="J176" s="5" t="str">
        <f>IF(H176&lt;B176, "Invalid","Okay")</f>
        <v>Okay</v>
      </c>
      <c r="K176" s="16">
        <f>I176-C176</f>
        <v>11</v>
      </c>
      <c r="L176" s="16" t="str">
        <f t="shared" si="28"/>
        <v>Target Not Met</v>
      </c>
      <c r="M176" s="2" t="s">
        <v>646</v>
      </c>
      <c r="N176" s="2" t="s">
        <v>661</v>
      </c>
      <c r="O176" s="2" t="s">
        <v>682</v>
      </c>
      <c r="P176" s="29" t="str">
        <f t="shared" si="29"/>
        <v>Africa→South Africa→Johannesburg</v>
      </c>
      <c r="Q176" s="2" t="s">
        <v>705</v>
      </c>
      <c r="R176" s="2" t="s">
        <v>710</v>
      </c>
      <c r="S176" s="2" t="s">
        <v>721</v>
      </c>
      <c r="T176" s="2" t="s">
        <v>728</v>
      </c>
      <c r="U176" t="e">
        <f>(AE176/#REF!)*100</f>
        <v>#REF!</v>
      </c>
      <c r="V176" s="2" t="s">
        <v>908</v>
      </c>
      <c r="W176" s="7">
        <v>180.89</v>
      </c>
      <c r="X176" s="7">
        <v>249.57</v>
      </c>
      <c r="Y176" s="7">
        <f t="shared" si="30"/>
        <v>249.57</v>
      </c>
      <c r="Z176" s="7" t="str">
        <f t="shared" si="31"/>
        <v>Low</v>
      </c>
      <c r="AA176" s="13">
        <v>2.1999999999999999E-2</v>
      </c>
      <c r="AB176" s="13">
        <f t="shared" si="32"/>
        <v>2.1999999999999999E-2</v>
      </c>
      <c r="AC176" s="13" t="str">
        <f t="shared" si="33"/>
        <v>OK</v>
      </c>
      <c r="AD176" s="7">
        <v>8</v>
      </c>
      <c r="AE176" s="7">
        <f>Y176*AD176*(1-AB176)</f>
        <v>1952.6356799999999</v>
      </c>
      <c r="AF176" s="7">
        <f>W176*AD176</f>
        <v>1447.12</v>
      </c>
      <c r="AG176" s="7">
        <f t="shared" si="34"/>
        <v>505.51567999999997</v>
      </c>
      <c r="AH176" s="13">
        <f t="shared" si="35"/>
        <v>0.25888888806948362</v>
      </c>
    </row>
    <row r="177" spans="1:34" x14ac:dyDescent="0.35">
      <c r="A177" s="2" t="s">
        <v>190</v>
      </c>
      <c r="B177" s="5">
        <v>45761</v>
      </c>
      <c r="C177" s="5">
        <f>IF(H177&lt;B177,H177,B177)</f>
        <v>45761</v>
      </c>
      <c r="D177" s="5" t="str">
        <f t="shared" si="24"/>
        <v>Apr-2025</v>
      </c>
      <c r="E177" s="5" t="str">
        <f t="shared" si="25"/>
        <v>Apr</v>
      </c>
      <c r="F177" s="5" t="str">
        <f t="shared" si="26"/>
        <v>2025</v>
      </c>
      <c r="G177" s="5" t="str">
        <f t="shared" si="27"/>
        <v>Q2-2025</v>
      </c>
      <c r="H177" s="5">
        <v>45781</v>
      </c>
      <c r="I177" s="5">
        <f>IF(H177&lt;B177, B177+7, H177)</f>
        <v>45781</v>
      </c>
      <c r="J177" s="5" t="str">
        <f>IF(H177&lt;B177, "Invalid","Okay")</f>
        <v>Okay</v>
      </c>
      <c r="K177" s="16">
        <f>I177-C177</f>
        <v>20</v>
      </c>
      <c r="L177" s="16" t="str">
        <f t="shared" si="28"/>
        <v>Target Not Met</v>
      </c>
      <c r="M177" s="2" t="s">
        <v>649</v>
      </c>
      <c r="N177" s="2" t="s">
        <v>658</v>
      </c>
      <c r="O177" s="2" t="s">
        <v>674</v>
      </c>
      <c r="P177" s="29" t="str">
        <f t="shared" si="29"/>
        <v>Europe→United Kingdom→Birmingham</v>
      </c>
      <c r="Q177" s="2" t="s">
        <v>706</v>
      </c>
      <c r="R177" s="2" t="s">
        <v>709</v>
      </c>
      <c r="S177" s="2" t="s">
        <v>723</v>
      </c>
      <c r="T177" s="2" t="s">
        <v>732</v>
      </c>
      <c r="U177" t="e">
        <f>(AE177/#REF!)*100</f>
        <v>#REF!</v>
      </c>
      <c r="V177" s="2" t="s">
        <v>909</v>
      </c>
      <c r="W177" s="7">
        <v>1413.87</v>
      </c>
      <c r="X177" s="7">
        <v>3275</v>
      </c>
      <c r="Y177" s="7">
        <f t="shared" si="30"/>
        <v>3275</v>
      </c>
      <c r="Z177" s="7" t="str">
        <f t="shared" si="31"/>
        <v>High</v>
      </c>
      <c r="AA177" s="13">
        <v>0.255</v>
      </c>
      <c r="AB177" s="13">
        <f t="shared" si="32"/>
        <v>0.255</v>
      </c>
      <c r="AC177" s="13" t="str">
        <f t="shared" si="33"/>
        <v>OK</v>
      </c>
      <c r="AD177" s="7">
        <v>38</v>
      </c>
      <c r="AE177" s="7">
        <f>Y177*AD177*(1-AB177)</f>
        <v>92715.25</v>
      </c>
      <c r="AF177" s="7">
        <f>W177*AD177</f>
        <v>53727.06</v>
      </c>
      <c r="AG177" s="7">
        <f t="shared" si="34"/>
        <v>38988.19</v>
      </c>
      <c r="AH177" s="13">
        <f t="shared" si="35"/>
        <v>0.42051539525590453</v>
      </c>
    </row>
    <row r="178" spans="1:34" x14ac:dyDescent="0.35">
      <c r="A178" s="2" t="s">
        <v>191</v>
      </c>
      <c r="B178" s="5">
        <v>45165</v>
      </c>
      <c r="C178" s="5">
        <f>IF(H178&lt;B178,H178,B178)</f>
        <v>45165</v>
      </c>
      <c r="D178" s="5" t="str">
        <f t="shared" si="24"/>
        <v>Aug-2023</v>
      </c>
      <c r="E178" s="5" t="str">
        <f t="shared" si="25"/>
        <v>Aug</v>
      </c>
      <c r="F178" s="5" t="str">
        <f t="shared" si="26"/>
        <v>2023</v>
      </c>
      <c r="G178" s="5" t="str">
        <f t="shared" si="27"/>
        <v>Q3-2023</v>
      </c>
      <c r="H178" s="5">
        <v>45180</v>
      </c>
      <c r="I178" s="5">
        <f>IF(H178&lt;B178, B178+7, H178)</f>
        <v>45180</v>
      </c>
      <c r="J178" s="5" t="str">
        <f>IF(H178&lt;B178, "Invalid","Okay")</f>
        <v>Okay</v>
      </c>
      <c r="K178" s="16">
        <f>I178-C178</f>
        <v>15</v>
      </c>
      <c r="L178" s="16" t="str">
        <f t="shared" si="28"/>
        <v>Target Not Met</v>
      </c>
      <c r="M178" s="2" t="s">
        <v>649</v>
      </c>
      <c r="N178" s="2" t="s">
        <v>658</v>
      </c>
      <c r="O178" s="2" t="s">
        <v>683</v>
      </c>
      <c r="P178" s="29" t="str">
        <f t="shared" si="29"/>
        <v>Europe→United Kingdom→London</v>
      </c>
      <c r="Q178" s="2" t="s">
        <v>704</v>
      </c>
      <c r="R178" s="2" t="s">
        <v>709</v>
      </c>
      <c r="S178" s="2" t="s">
        <v>725</v>
      </c>
      <c r="T178" s="2" t="s">
        <v>728</v>
      </c>
      <c r="U178" t="e">
        <f>(AE178/#REF!)*100</f>
        <v>#REF!</v>
      </c>
      <c r="V178" s="2" t="s">
        <v>910</v>
      </c>
      <c r="W178" s="7">
        <v>943.79</v>
      </c>
      <c r="X178" s="7">
        <v>1913.76</v>
      </c>
      <c r="Y178" s="7">
        <f t="shared" si="30"/>
        <v>1913.76</v>
      </c>
      <c r="Z178" s="7" t="str">
        <f t="shared" si="31"/>
        <v>High</v>
      </c>
      <c r="AA178" s="13">
        <v>9.0999999999999998E-2</v>
      </c>
      <c r="AB178" s="13">
        <f t="shared" si="32"/>
        <v>9.0999999999999998E-2</v>
      </c>
      <c r="AC178" s="13" t="str">
        <f t="shared" si="33"/>
        <v>OK</v>
      </c>
      <c r="AD178" s="7">
        <v>9</v>
      </c>
      <c r="AE178" s="7">
        <f>Y178*AD178*(1-AB178)</f>
        <v>15656.47056</v>
      </c>
      <c r="AF178" s="7">
        <f>W178*AD178</f>
        <v>8494.11</v>
      </c>
      <c r="AG178" s="7">
        <f t="shared" si="34"/>
        <v>7162.3605599999992</v>
      </c>
      <c r="AH178" s="13">
        <f t="shared" si="35"/>
        <v>0.45746967891338081</v>
      </c>
    </row>
    <row r="179" spans="1:34" x14ac:dyDescent="0.35">
      <c r="A179" s="2" t="s">
        <v>192</v>
      </c>
      <c r="B179" s="5">
        <v>45325</v>
      </c>
      <c r="C179" s="5">
        <f>IF(H179&lt;B179,H179,B179)</f>
        <v>45325</v>
      </c>
      <c r="D179" s="5" t="str">
        <f t="shared" si="24"/>
        <v>Feb-2024</v>
      </c>
      <c r="E179" s="5" t="str">
        <f t="shared" si="25"/>
        <v>Feb</v>
      </c>
      <c r="F179" s="5" t="str">
        <f t="shared" si="26"/>
        <v>2024</v>
      </c>
      <c r="G179" s="5" t="str">
        <f t="shared" si="27"/>
        <v>Q1-2024</v>
      </c>
      <c r="H179" s="5">
        <v>45343</v>
      </c>
      <c r="I179" s="5">
        <f>IF(H179&lt;B179, B179+7, H179)</f>
        <v>45343</v>
      </c>
      <c r="J179" s="5" t="str">
        <f>IF(H179&lt;B179, "Invalid","Okay")</f>
        <v>Okay</v>
      </c>
      <c r="K179" s="16">
        <f>I179-C179</f>
        <v>18</v>
      </c>
      <c r="L179" s="16" t="str">
        <f t="shared" si="28"/>
        <v>Target Not Met</v>
      </c>
      <c r="M179" s="2" t="s">
        <v>649</v>
      </c>
      <c r="N179" s="2" t="s">
        <v>656</v>
      </c>
      <c r="O179" s="2" t="s">
        <v>698</v>
      </c>
      <c r="P179" s="29" t="str">
        <f t="shared" si="29"/>
        <v>Europe→Germany→Frankfurt</v>
      </c>
      <c r="Q179" s="2" t="s">
        <v>701</v>
      </c>
      <c r="R179" s="2" t="s">
        <v>707</v>
      </c>
      <c r="S179" s="2" t="s">
        <v>722</v>
      </c>
      <c r="T179" s="2" t="s">
        <v>727</v>
      </c>
      <c r="U179" t="e">
        <f>(AE179/#REF!)*100</f>
        <v>#REF!</v>
      </c>
      <c r="V179" s="2" t="s">
        <v>911</v>
      </c>
      <c r="W179" s="7">
        <v>39.229999999999997</v>
      </c>
      <c r="X179" s="7">
        <v>30.09</v>
      </c>
      <c r="Y179" s="7">
        <f t="shared" si="30"/>
        <v>30.09</v>
      </c>
      <c r="Z179" s="7" t="str">
        <f t="shared" si="31"/>
        <v>Low</v>
      </c>
      <c r="AA179" s="13">
        <v>0.17699999999999999</v>
      </c>
      <c r="AB179" s="13">
        <f t="shared" si="32"/>
        <v>0.17699999999999999</v>
      </c>
      <c r="AC179" s="13" t="str">
        <f t="shared" si="33"/>
        <v>OK</v>
      </c>
      <c r="AD179" s="7">
        <v>13</v>
      </c>
      <c r="AE179" s="7">
        <f>Y179*AD179*(1-AB179)</f>
        <v>321.93290999999999</v>
      </c>
      <c r="AF179" s="7">
        <f>W179*AD179</f>
        <v>509.98999999999995</v>
      </c>
      <c r="AG179" s="7">
        <f t="shared" si="34"/>
        <v>-188.05708999999996</v>
      </c>
      <c r="AH179" s="13">
        <f t="shared" si="35"/>
        <v>-0.58414993981199359</v>
      </c>
    </row>
    <row r="180" spans="1:34" x14ac:dyDescent="0.35">
      <c r="A180" s="2" t="s">
        <v>193</v>
      </c>
      <c r="B180" s="5">
        <v>45021</v>
      </c>
      <c r="C180" s="5">
        <f>IF(H180&lt;B180,H180,B180)</f>
        <v>45021</v>
      </c>
      <c r="D180" s="5" t="str">
        <f t="shared" si="24"/>
        <v>Apr-2023</v>
      </c>
      <c r="E180" s="5" t="str">
        <f t="shared" si="25"/>
        <v>Apr</v>
      </c>
      <c r="F180" s="5" t="str">
        <f t="shared" si="26"/>
        <v>2023</v>
      </c>
      <c r="G180" s="5" t="str">
        <f t="shared" si="27"/>
        <v>Q2-2023</v>
      </c>
      <c r="H180" s="5">
        <v>45032</v>
      </c>
      <c r="I180" s="5">
        <f>IF(H180&lt;B180, B180+7, H180)</f>
        <v>45032</v>
      </c>
      <c r="J180" s="5" t="str">
        <f>IF(H180&lt;B180, "Invalid","Okay")</f>
        <v>Okay</v>
      </c>
      <c r="K180" s="16">
        <f>I180-C180</f>
        <v>11</v>
      </c>
      <c r="L180" s="16" t="str">
        <f t="shared" si="28"/>
        <v>Target Not Met</v>
      </c>
      <c r="M180" s="2" t="s">
        <v>648</v>
      </c>
      <c r="N180" s="2" t="s">
        <v>653</v>
      </c>
      <c r="O180" s="2" t="s">
        <v>688</v>
      </c>
      <c r="P180" s="29" t="str">
        <f t="shared" si="29"/>
        <v>Americas→Canada→Vancouver</v>
      </c>
      <c r="Q180" s="2" t="s">
        <v>703</v>
      </c>
      <c r="R180" s="2" t="s">
        <v>708</v>
      </c>
      <c r="S180" s="2" t="s">
        <v>719</v>
      </c>
      <c r="T180" s="2" t="s">
        <v>732</v>
      </c>
      <c r="U180" t="e">
        <f>(AE180/#REF!)*100</f>
        <v>#REF!</v>
      </c>
      <c r="V180" s="2" t="s">
        <v>912</v>
      </c>
      <c r="W180" s="7">
        <v>213.1</v>
      </c>
      <c r="X180" s="7">
        <v>501.31</v>
      </c>
      <c r="Y180" s="7">
        <f t="shared" si="30"/>
        <v>501.31</v>
      </c>
      <c r="Z180" s="7" t="str">
        <f t="shared" si="31"/>
        <v>Low</v>
      </c>
      <c r="AA180" s="13">
        <v>5.6000000000000001E-2</v>
      </c>
      <c r="AB180" s="13">
        <f t="shared" si="32"/>
        <v>5.6000000000000001E-2</v>
      </c>
      <c r="AC180" s="13" t="str">
        <f t="shared" si="33"/>
        <v>OK</v>
      </c>
      <c r="AD180" s="7">
        <v>15</v>
      </c>
      <c r="AE180" s="7">
        <f>Y180*AD180*(1-AB180)</f>
        <v>7098.5495999999994</v>
      </c>
      <c r="AF180" s="7">
        <f>W180*AD180</f>
        <v>3196.5</v>
      </c>
      <c r="AG180" s="7">
        <f t="shared" si="34"/>
        <v>3902.0495999999994</v>
      </c>
      <c r="AH180" s="13">
        <f t="shared" si="35"/>
        <v>0.54969674368409005</v>
      </c>
    </row>
    <row r="181" spans="1:34" x14ac:dyDescent="0.35">
      <c r="A181" s="2" t="s">
        <v>194</v>
      </c>
      <c r="B181" s="5">
        <v>45890</v>
      </c>
      <c r="C181" s="5">
        <f>IF(H181&lt;B181,H181,B181)</f>
        <v>45890</v>
      </c>
      <c r="D181" s="5" t="str">
        <f t="shared" si="24"/>
        <v>Aug-2025</v>
      </c>
      <c r="E181" s="5" t="str">
        <f t="shared" si="25"/>
        <v>Aug</v>
      </c>
      <c r="F181" s="5" t="str">
        <f t="shared" si="26"/>
        <v>2025</v>
      </c>
      <c r="G181" s="5" t="str">
        <f t="shared" si="27"/>
        <v>Q3-2025</v>
      </c>
      <c r="H181" s="5">
        <v>45912</v>
      </c>
      <c r="I181" s="5">
        <f>IF(H181&lt;B181, B181+7, H181)</f>
        <v>45912</v>
      </c>
      <c r="J181" s="5" t="str">
        <f>IF(H181&lt;B181, "Invalid","Okay")</f>
        <v>Okay</v>
      </c>
      <c r="K181" s="16">
        <f>I181-C181</f>
        <v>22</v>
      </c>
      <c r="L181" s="16" t="str">
        <f t="shared" si="28"/>
        <v>Target Not Met</v>
      </c>
      <c r="M181" s="2" t="s">
        <v>647</v>
      </c>
      <c r="N181" s="2" t="s">
        <v>659</v>
      </c>
      <c r="O181" s="2" t="s">
        <v>676</v>
      </c>
      <c r="P181" s="29" t="str">
        <f t="shared" si="29"/>
        <v>Asia→China→Shenzhen</v>
      </c>
      <c r="Q181" s="2" t="s">
        <v>702</v>
      </c>
      <c r="R181" s="2" t="s">
        <v>707</v>
      </c>
      <c r="S181" s="2" t="s">
        <v>717</v>
      </c>
      <c r="T181" s="2" t="s">
        <v>728</v>
      </c>
      <c r="U181" t="e">
        <f>(AE181/#REF!)*100</f>
        <v>#REF!</v>
      </c>
      <c r="V181" s="2" t="s">
        <v>913</v>
      </c>
      <c r="W181" s="7">
        <v>352.66</v>
      </c>
      <c r="X181" s="7">
        <v>411.18</v>
      </c>
      <c r="Y181" s="7">
        <f t="shared" si="30"/>
        <v>411.18</v>
      </c>
      <c r="Z181" s="7" t="str">
        <f t="shared" si="31"/>
        <v>Low</v>
      </c>
      <c r="AA181" s="13">
        <v>0.17299999999999999</v>
      </c>
      <c r="AB181" s="13">
        <f t="shared" si="32"/>
        <v>0.17299999999999999</v>
      </c>
      <c r="AC181" s="13" t="str">
        <f t="shared" si="33"/>
        <v>OK</v>
      </c>
      <c r="AD181" s="7">
        <v>13</v>
      </c>
      <c r="AE181" s="7">
        <f>Y181*AD181*(1-AB181)</f>
        <v>4420.5961799999995</v>
      </c>
      <c r="AF181" s="7">
        <f>W181*AD181</f>
        <v>4584.58</v>
      </c>
      <c r="AG181" s="7">
        <f t="shared" si="34"/>
        <v>-163.98382000000038</v>
      </c>
      <c r="AH181" s="13">
        <f t="shared" si="35"/>
        <v>-3.7095408248758066E-2</v>
      </c>
    </row>
    <row r="182" spans="1:34" x14ac:dyDescent="0.35">
      <c r="A182" s="2" t="s">
        <v>195</v>
      </c>
      <c r="B182" s="5">
        <v>45915</v>
      </c>
      <c r="C182" s="5">
        <f>IF(H182&lt;B182,H182,B182)</f>
        <v>45915</v>
      </c>
      <c r="D182" s="5" t="str">
        <f t="shared" si="24"/>
        <v>Sep-2025</v>
      </c>
      <c r="E182" s="5" t="str">
        <f t="shared" si="25"/>
        <v>Sep</v>
      </c>
      <c r="F182" s="5" t="str">
        <f t="shared" si="26"/>
        <v>2025</v>
      </c>
      <c r="G182" s="5" t="str">
        <f t="shared" si="27"/>
        <v>Q3-2025</v>
      </c>
      <c r="H182" s="5">
        <v>45918</v>
      </c>
      <c r="I182" s="5">
        <f>IF(H182&lt;B182, B182+7, H182)</f>
        <v>45918</v>
      </c>
      <c r="J182" s="5" t="str">
        <f>IF(H182&lt;B182, "Invalid","Okay")</f>
        <v>Okay</v>
      </c>
      <c r="K182" s="16">
        <f>I182-C182</f>
        <v>3</v>
      </c>
      <c r="L182" s="16" t="str">
        <f t="shared" si="28"/>
        <v>Target Met</v>
      </c>
      <c r="M182" s="2" t="s">
        <v>648</v>
      </c>
      <c r="N182" s="2" t="s">
        <v>655</v>
      </c>
      <c r="O182" s="2" t="s">
        <v>692</v>
      </c>
      <c r="P182" s="29" t="str">
        <f t="shared" si="29"/>
        <v>Americas→Brazil→Rio de Janeiro</v>
      </c>
      <c r="Q182" s="2" t="s">
        <v>703</v>
      </c>
      <c r="R182" s="2" t="s">
        <v>711</v>
      </c>
      <c r="S182" s="2" t="s">
        <v>716</v>
      </c>
      <c r="T182" s="2" t="s">
        <v>733</v>
      </c>
      <c r="U182" t="e">
        <f>(AE182/#REF!)*100</f>
        <v>#REF!</v>
      </c>
      <c r="V182" s="2" t="s">
        <v>914</v>
      </c>
      <c r="W182" s="7">
        <v>5.5</v>
      </c>
      <c r="X182" s="7">
        <v>5.92</v>
      </c>
      <c r="Y182" s="7">
        <f t="shared" si="30"/>
        <v>5.92</v>
      </c>
      <c r="Z182" s="7" t="str">
        <f t="shared" si="31"/>
        <v>Low</v>
      </c>
      <c r="AA182" s="13">
        <v>0.21199999999999999</v>
      </c>
      <c r="AB182" s="13">
        <f t="shared" si="32"/>
        <v>0.21199999999999999</v>
      </c>
      <c r="AC182" s="13" t="str">
        <f t="shared" si="33"/>
        <v>OK</v>
      </c>
      <c r="AD182" s="7">
        <v>4</v>
      </c>
      <c r="AE182" s="7">
        <f>Y182*AD182*(1-AB182)</f>
        <v>18.659839999999999</v>
      </c>
      <c r="AF182" s="7">
        <f>W182*AD182</f>
        <v>22</v>
      </c>
      <c r="AG182" s="7">
        <f t="shared" si="34"/>
        <v>-3.3401600000000009</v>
      </c>
      <c r="AH182" s="13">
        <f t="shared" si="35"/>
        <v>-0.17900260666758133</v>
      </c>
    </row>
    <row r="183" spans="1:34" x14ac:dyDescent="0.35">
      <c r="A183" s="2" t="s">
        <v>196</v>
      </c>
      <c r="B183" s="5">
        <v>45568</v>
      </c>
      <c r="C183" s="5">
        <f>IF(H183&lt;B183,H183,B183)</f>
        <v>45568</v>
      </c>
      <c r="D183" s="5" t="str">
        <f t="shared" si="24"/>
        <v>Oct-2024</v>
      </c>
      <c r="E183" s="5" t="str">
        <f t="shared" si="25"/>
        <v>Oct</v>
      </c>
      <c r="F183" s="5" t="str">
        <f t="shared" si="26"/>
        <v>2024</v>
      </c>
      <c r="G183" s="5" t="str">
        <f t="shared" si="27"/>
        <v>Q4-2024</v>
      </c>
      <c r="H183" s="5">
        <v>45576</v>
      </c>
      <c r="I183" s="5">
        <f>IF(H183&lt;B183, B183+7, H183)</f>
        <v>45576</v>
      </c>
      <c r="J183" s="5" t="str">
        <f>IF(H183&lt;B183, "Invalid","Okay")</f>
        <v>Okay</v>
      </c>
      <c r="K183" s="16">
        <f>I183-C183</f>
        <v>8</v>
      </c>
      <c r="L183" s="16" t="str">
        <f t="shared" si="28"/>
        <v>Target Not Met</v>
      </c>
      <c r="M183" s="2" t="s">
        <v>647</v>
      </c>
      <c r="N183" s="2" t="s">
        <v>659</v>
      </c>
      <c r="O183" s="2" t="s">
        <v>699</v>
      </c>
      <c r="P183" s="29" t="str">
        <f t="shared" si="29"/>
        <v>Asia→China→Beijing</v>
      </c>
      <c r="Q183" s="2" t="s">
        <v>706</v>
      </c>
      <c r="R183" s="2" t="s">
        <v>711</v>
      </c>
      <c r="S183" s="2" t="s">
        <v>717</v>
      </c>
      <c r="T183" s="2" t="s">
        <v>730</v>
      </c>
      <c r="U183" t="e">
        <f>(AE183/#REF!)*100</f>
        <v>#REF!</v>
      </c>
      <c r="V183" s="2" t="s">
        <v>915</v>
      </c>
      <c r="W183" s="7">
        <v>1132.6099999999999</v>
      </c>
      <c r="X183" s="7">
        <v>2206.63</v>
      </c>
      <c r="Y183" s="7">
        <f t="shared" si="30"/>
        <v>2206.63</v>
      </c>
      <c r="Z183" s="7" t="str">
        <f t="shared" si="31"/>
        <v>High</v>
      </c>
      <c r="AA183" s="13">
        <v>6.3E-2</v>
      </c>
      <c r="AB183" s="13">
        <f t="shared" si="32"/>
        <v>6.3E-2</v>
      </c>
      <c r="AC183" s="13" t="str">
        <f t="shared" si="33"/>
        <v>OK</v>
      </c>
      <c r="AD183" s="7">
        <v>20</v>
      </c>
      <c r="AE183" s="7">
        <f>Y183*AD183*(1-AB183)</f>
        <v>41352.246200000009</v>
      </c>
      <c r="AF183" s="7">
        <f>W183*AD183</f>
        <v>22652.199999999997</v>
      </c>
      <c r="AG183" s="7">
        <f t="shared" si="34"/>
        <v>18700.046200000012</v>
      </c>
      <c r="AH183" s="13">
        <f t="shared" si="35"/>
        <v>0.45221355351671338</v>
      </c>
    </row>
    <row r="184" spans="1:34" x14ac:dyDescent="0.35">
      <c r="A184" s="2" t="s">
        <v>197</v>
      </c>
      <c r="B184" s="5">
        <v>45690</v>
      </c>
      <c r="C184" s="5">
        <f>IF(H184&lt;B184,H184,B184)</f>
        <v>45690</v>
      </c>
      <c r="D184" s="5" t="str">
        <f t="shared" si="24"/>
        <v>Feb-2025</v>
      </c>
      <c r="E184" s="5" t="str">
        <f t="shared" si="25"/>
        <v>Feb</v>
      </c>
      <c r="F184" s="5" t="str">
        <f t="shared" si="26"/>
        <v>2025</v>
      </c>
      <c r="G184" s="5" t="str">
        <f t="shared" si="27"/>
        <v>Q1-2025</v>
      </c>
      <c r="H184" s="5">
        <v>45720</v>
      </c>
      <c r="I184" s="5">
        <f>IF(H184&lt;B184, B184+7, H184)</f>
        <v>45720</v>
      </c>
      <c r="J184" s="5" t="str">
        <f>IF(H184&lt;B184, "Invalid","Okay")</f>
        <v>Okay</v>
      </c>
      <c r="K184" s="16">
        <f>I184-C184</f>
        <v>30</v>
      </c>
      <c r="L184" s="16" t="str">
        <f t="shared" si="28"/>
        <v>Target Not Met</v>
      </c>
      <c r="M184" s="2" t="s">
        <v>647</v>
      </c>
      <c r="N184" s="2" t="s">
        <v>652</v>
      </c>
      <c r="O184" s="2" t="s">
        <v>666</v>
      </c>
      <c r="P184" s="29" t="str">
        <f t="shared" si="29"/>
        <v>Asia→Japan→Osaka</v>
      </c>
      <c r="Q184" s="2" t="s">
        <v>702</v>
      </c>
      <c r="R184" s="2" t="s">
        <v>710</v>
      </c>
      <c r="S184" s="2" t="s">
        <v>716</v>
      </c>
      <c r="T184" s="2" t="s">
        <v>733</v>
      </c>
      <c r="U184" t="e">
        <f>(AE184/#REF!)*100</f>
        <v>#REF!</v>
      </c>
      <c r="V184" s="2" t="s">
        <v>916</v>
      </c>
      <c r="W184" s="7">
        <v>766.59</v>
      </c>
      <c r="X184" s="7">
        <v>1912.8</v>
      </c>
      <c r="Y184" s="7">
        <f t="shared" si="30"/>
        <v>1912.8</v>
      </c>
      <c r="Z184" s="7" t="str">
        <f t="shared" si="31"/>
        <v>High</v>
      </c>
      <c r="AA184" s="13">
        <v>0.19600000000000001</v>
      </c>
      <c r="AB184" s="13">
        <f t="shared" si="32"/>
        <v>0.19600000000000001</v>
      </c>
      <c r="AC184" s="13" t="str">
        <f t="shared" si="33"/>
        <v>OK</v>
      </c>
      <c r="AD184" s="7">
        <v>5</v>
      </c>
      <c r="AE184" s="7">
        <f>Y184*AD184*(1-AB184)</f>
        <v>7689.4560000000001</v>
      </c>
      <c r="AF184" s="7">
        <f>W184*AD184</f>
        <v>3832.9500000000003</v>
      </c>
      <c r="AG184" s="7">
        <f t="shared" si="34"/>
        <v>3856.5059999999999</v>
      </c>
      <c r="AH184" s="13">
        <f t="shared" si="35"/>
        <v>0.50153170783472845</v>
      </c>
    </row>
    <row r="185" spans="1:34" x14ac:dyDescent="0.35">
      <c r="A185" s="2" t="s">
        <v>198</v>
      </c>
      <c r="B185" s="5">
        <v>45157</v>
      </c>
      <c r="C185" s="5">
        <f>IF(H185&lt;B185,H185,B185)</f>
        <v>45157</v>
      </c>
      <c r="D185" s="5" t="str">
        <f t="shared" si="24"/>
        <v>Aug-2023</v>
      </c>
      <c r="E185" s="5" t="str">
        <f t="shared" si="25"/>
        <v>Aug</v>
      </c>
      <c r="F185" s="5" t="str">
        <f t="shared" si="26"/>
        <v>2023</v>
      </c>
      <c r="G185" s="5" t="str">
        <f t="shared" si="27"/>
        <v>Q3-2023</v>
      </c>
      <c r="H185" s="5">
        <v>45161</v>
      </c>
      <c r="I185" s="5">
        <f>IF(H185&lt;B185, B185+7, H185)</f>
        <v>45161</v>
      </c>
      <c r="J185" s="5" t="str">
        <f>IF(H185&lt;B185, "Invalid","Okay")</f>
        <v>Okay</v>
      </c>
      <c r="K185" s="16">
        <f>I185-C185</f>
        <v>4</v>
      </c>
      <c r="L185" s="16" t="str">
        <f t="shared" si="28"/>
        <v>Target Met</v>
      </c>
      <c r="M185" s="2" t="s">
        <v>646</v>
      </c>
      <c r="N185" s="2" t="s">
        <v>651</v>
      </c>
      <c r="O185" s="2" t="s">
        <v>669</v>
      </c>
      <c r="P185" s="29" t="str">
        <f t="shared" si="29"/>
        <v>Africa→Nigeria→Abuja</v>
      </c>
      <c r="Q185" s="2" t="s">
        <v>705</v>
      </c>
      <c r="R185" s="2" t="s">
        <v>708</v>
      </c>
      <c r="S185" s="2" t="s">
        <v>713</v>
      </c>
      <c r="T185" s="2" t="s">
        <v>732</v>
      </c>
      <c r="U185" t="e">
        <f>(AE185/#REF!)*100</f>
        <v>#REF!</v>
      </c>
      <c r="V185" s="2" t="s">
        <v>917</v>
      </c>
      <c r="W185" s="7">
        <v>790.63</v>
      </c>
      <c r="X185" s="7">
        <v>1382.31</v>
      </c>
      <c r="Y185" s="7">
        <f t="shared" si="30"/>
        <v>1382.31</v>
      </c>
      <c r="Z185" s="7" t="str">
        <f t="shared" si="31"/>
        <v>Medium</v>
      </c>
      <c r="AA185" s="13">
        <v>0.10100000000000001</v>
      </c>
      <c r="AB185" s="13">
        <f t="shared" si="32"/>
        <v>0.10100000000000001</v>
      </c>
      <c r="AC185" s="13" t="str">
        <f t="shared" si="33"/>
        <v>OK</v>
      </c>
      <c r="AD185" s="7">
        <v>7</v>
      </c>
      <c r="AE185" s="7">
        <f>Y185*AD185*(1-AB185)</f>
        <v>8698.8768300000011</v>
      </c>
      <c r="AF185" s="7">
        <f>W185*AD185</f>
        <v>5534.41</v>
      </c>
      <c r="AG185" s="7">
        <f t="shared" si="34"/>
        <v>3164.4668300000012</v>
      </c>
      <c r="AH185" s="13">
        <f t="shared" si="35"/>
        <v>0.36377878338116448</v>
      </c>
    </row>
    <row r="186" spans="1:34" x14ac:dyDescent="0.35">
      <c r="A186" s="2" t="s">
        <v>199</v>
      </c>
      <c r="B186" s="5">
        <v>45587</v>
      </c>
      <c r="C186" s="5">
        <f>IF(H186&lt;B186,H186,B186)</f>
        <v>45587</v>
      </c>
      <c r="D186" s="5" t="str">
        <f t="shared" si="24"/>
        <v>Oct-2024</v>
      </c>
      <c r="E186" s="5" t="str">
        <f t="shared" si="25"/>
        <v>Oct</v>
      </c>
      <c r="F186" s="5" t="str">
        <f t="shared" si="26"/>
        <v>2024</v>
      </c>
      <c r="G186" s="5" t="str">
        <f t="shared" si="27"/>
        <v>Q4-2024</v>
      </c>
      <c r="H186" s="5">
        <v>45594</v>
      </c>
      <c r="I186" s="5">
        <f>IF(H186&lt;B186, B186+7, H186)</f>
        <v>45594</v>
      </c>
      <c r="J186" s="5" t="str">
        <f>IF(H186&lt;B186, "Invalid","Okay")</f>
        <v>Okay</v>
      </c>
      <c r="K186" s="16">
        <f>I186-C186</f>
        <v>7</v>
      </c>
      <c r="L186" s="16" t="str">
        <f t="shared" si="28"/>
        <v>Target Met</v>
      </c>
      <c r="M186" s="2" t="s">
        <v>646</v>
      </c>
      <c r="N186" s="2" t="s">
        <v>651</v>
      </c>
      <c r="O186" s="2" t="s">
        <v>663</v>
      </c>
      <c r="P186" s="29" t="str">
        <f t="shared" si="29"/>
        <v>Africa→Nigeria→Port Harcourt</v>
      </c>
      <c r="Q186" s="2" t="s">
        <v>706</v>
      </c>
      <c r="R186" s="2" t="s">
        <v>710</v>
      </c>
      <c r="S186" s="2" t="s">
        <v>724</v>
      </c>
      <c r="T186" s="2" t="s">
        <v>732</v>
      </c>
      <c r="U186" t="e">
        <f>(AE186/#REF!)*100</f>
        <v>#REF!</v>
      </c>
      <c r="V186" s="2" t="s">
        <v>918</v>
      </c>
      <c r="W186" s="7">
        <v>1023.06</v>
      </c>
      <c r="X186" s="7">
        <v>1355.61</v>
      </c>
      <c r="Y186" s="7">
        <f t="shared" si="30"/>
        <v>1355.61</v>
      </c>
      <c r="Z186" s="7" t="str">
        <f t="shared" si="31"/>
        <v>Medium</v>
      </c>
      <c r="AA186" s="13">
        <v>0.153</v>
      </c>
      <c r="AB186" s="13">
        <f t="shared" si="32"/>
        <v>0.153</v>
      </c>
      <c r="AC186" s="13" t="str">
        <f t="shared" si="33"/>
        <v>OK</v>
      </c>
      <c r="AD186" s="7">
        <v>23</v>
      </c>
      <c r="AE186" s="7">
        <f>Y186*AD186*(1-AB186)</f>
        <v>26408.63841</v>
      </c>
      <c r="AF186" s="7">
        <f>W186*AD186</f>
        <v>23530.379999999997</v>
      </c>
      <c r="AG186" s="7">
        <f t="shared" si="34"/>
        <v>2878.2584100000022</v>
      </c>
      <c r="AH186" s="13">
        <f t="shared" si="35"/>
        <v>0.10898927711888809</v>
      </c>
    </row>
    <row r="187" spans="1:34" x14ac:dyDescent="0.35">
      <c r="A187" s="2" t="s">
        <v>200</v>
      </c>
      <c r="B187" s="5">
        <v>45099</v>
      </c>
      <c r="C187" s="5">
        <f>IF(H187&lt;B187,H187,B187)</f>
        <v>45099</v>
      </c>
      <c r="D187" s="5" t="str">
        <f t="shared" si="24"/>
        <v>Jun-2023</v>
      </c>
      <c r="E187" s="5" t="str">
        <f t="shared" si="25"/>
        <v>Jun</v>
      </c>
      <c r="F187" s="5" t="str">
        <f t="shared" si="26"/>
        <v>2023</v>
      </c>
      <c r="G187" s="5" t="str">
        <f t="shared" si="27"/>
        <v>Q2-2023</v>
      </c>
      <c r="H187" s="5">
        <v>45128</v>
      </c>
      <c r="I187" s="5">
        <f>IF(H187&lt;B187, B187+7, H187)</f>
        <v>45128</v>
      </c>
      <c r="J187" s="5" t="str">
        <f>IF(H187&lt;B187, "Invalid","Okay")</f>
        <v>Okay</v>
      </c>
      <c r="K187" s="16">
        <f>I187-C187</f>
        <v>29</v>
      </c>
      <c r="L187" s="16" t="str">
        <f t="shared" si="28"/>
        <v>Target Not Met</v>
      </c>
      <c r="M187" s="2" t="s">
        <v>649</v>
      </c>
      <c r="N187" s="2" t="s">
        <v>657</v>
      </c>
      <c r="O187" s="2" t="s">
        <v>679</v>
      </c>
      <c r="P187" s="29" t="str">
        <f t="shared" si="29"/>
        <v>Europe→France→Lyon</v>
      </c>
      <c r="Q187" s="2" t="s">
        <v>701</v>
      </c>
      <c r="R187" s="2" t="s">
        <v>707</v>
      </c>
      <c r="S187" s="2" t="s">
        <v>713</v>
      </c>
      <c r="T187" s="2" t="s">
        <v>733</v>
      </c>
      <c r="U187" t="e">
        <f>(AE187/#REF!)*100</f>
        <v>#REF!</v>
      </c>
      <c r="V187" s="2" t="s">
        <v>919</v>
      </c>
      <c r="W187" s="7">
        <v>734.34</v>
      </c>
      <c r="X187" s="7">
        <v>887.9</v>
      </c>
      <c r="Y187" s="7">
        <f t="shared" si="30"/>
        <v>887.9</v>
      </c>
      <c r="Z187" s="7" t="str">
        <f t="shared" si="31"/>
        <v>Low</v>
      </c>
      <c r="AA187" s="13">
        <v>2.5000000000000001E-2</v>
      </c>
      <c r="AB187" s="13">
        <f t="shared" si="32"/>
        <v>2.5000000000000001E-2</v>
      </c>
      <c r="AC187" s="13" t="str">
        <f t="shared" si="33"/>
        <v>OK</v>
      </c>
      <c r="AD187" s="7">
        <v>12</v>
      </c>
      <c r="AE187" s="7">
        <f>Y187*AD187*(1-AB187)</f>
        <v>10388.429999999998</v>
      </c>
      <c r="AF187" s="7">
        <f>W187*AD187</f>
        <v>8812.08</v>
      </c>
      <c r="AG187" s="7">
        <f t="shared" si="34"/>
        <v>1576.3499999999985</v>
      </c>
      <c r="AH187" s="13">
        <f t="shared" si="35"/>
        <v>0.15174092716608753</v>
      </c>
    </row>
    <row r="188" spans="1:34" x14ac:dyDescent="0.35">
      <c r="A188" s="2" t="s">
        <v>201</v>
      </c>
      <c r="B188" s="5">
        <v>45670</v>
      </c>
      <c r="C188" s="5">
        <f>IF(H188&lt;B188,H188,B188)</f>
        <v>45670</v>
      </c>
      <c r="D188" s="5" t="str">
        <f t="shared" si="24"/>
        <v>Jan-2025</v>
      </c>
      <c r="E188" s="5" t="str">
        <f t="shared" si="25"/>
        <v>Jan</v>
      </c>
      <c r="F188" s="5" t="str">
        <f t="shared" si="26"/>
        <v>2025</v>
      </c>
      <c r="G188" s="5" t="str">
        <f t="shared" si="27"/>
        <v>Q1-2025</v>
      </c>
      <c r="H188" s="5">
        <v>45696</v>
      </c>
      <c r="I188" s="5">
        <f>IF(H188&lt;B188, B188+7, H188)</f>
        <v>45696</v>
      </c>
      <c r="J188" s="5" t="str">
        <f>IF(H188&lt;B188, "Invalid","Okay")</f>
        <v>Okay</v>
      </c>
      <c r="K188" s="16">
        <f>I188-C188</f>
        <v>26</v>
      </c>
      <c r="L188" s="16" t="str">
        <f t="shared" si="28"/>
        <v>Target Not Met</v>
      </c>
      <c r="M188" s="2" t="s">
        <v>649</v>
      </c>
      <c r="N188" s="2" t="s">
        <v>657</v>
      </c>
      <c r="O188" s="2" t="s">
        <v>690</v>
      </c>
      <c r="P188" s="29" t="str">
        <f t="shared" si="29"/>
        <v>Europe→France→Paris</v>
      </c>
      <c r="Q188" s="2" t="s">
        <v>703</v>
      </c>
      <c r="R188" s="2" t="s">
        <v>1423</v>
      </c>
      <c r="S188" s="2" t="s">
        <v>718</v>
      </c>
      <c r="T188" s="2" t="s">
        <v>732</v>
      </c>
      <c r="U188" t="e">
        <f>(AE188/#REF!)*100</f>
        <v>#REF!</v>
      </c>
      <c r="V188" s="2" t="s">
        <v>920</v>
      </c>
      <c r="W188" s="7">
        <v>594.74</v>
      </c>
      <c r="X188" s="7">
        <v>1020.69</v>
      </c>
      <c r="Y188" s="7">
        <f t="shared" si="30"/>
        <v>1020.69</v>
      </c>
      <c r="Z188" s="7" t="str">
        <f t="shared" si="31"/>
        <v>Low</v>
      </c>
      <c r="AA188" s="13">
        <v>0.21099999999999999</v>
      </c>
      <c r="AB188" s="13">
        <f t="shared" si="32"/>
        <v>0.21099999999999999</v>
      </c>
      <c r="AC188" s="13" t="str">
        <f t="shared" si="33"/>
        <v>OK</v>
      </c>
      <c r="AD188" s="7">
        <v>6</v>
      </c>
      <c r="AE188" s="7">
        <f>Y188*AD188*(1-AB188)</f>
        <v>4831.9464600000001</v>
      </c>
      <c r="AF188" s="7">
        <f>W188*AD188</f>
        <v>3568.44</v>
      </c>
      <c r="AG188" s="7">
        <f t="shared" si="34"/>
        <v>1263.5064600000001</v>
      </c>
      <c r="AH188" s="13">
        <f t="shared" si="35"/>
        <v>0.26149016146176424</v>
      </c>
    </row>
    <row r="189" spans="1:34" x14ac:dyDescent="0.35">
      <c r="A189" s="2" t="s">
        <v>144</v>
      </c>
      <c r="B189" s="5">
        <v>44955</v>
      </c>
      <c r="C189" s="5">
        <f>IF(H189&lt;B189,H189,B189)</f>
        <v>44955</v>
      </c>
      <c r="D189" s="5" t="str">
        <f t="shared" si="24"/>
        <v>Jan-2023</v>
      </c>
      <c r="E189" s="5" t="str">
        <f t="shared" si="25"/>
        <v>Jan</v>
      </c>
      <c r="F189" s="5" t="str">
        <f t="shared" si="26"/>
        <v>2023</v>
      </c>
      <c r="G189" s="5" t="str">
        <f t="shared" si="27"/>
        <v>Q1-2023</v>
      </c>
      <c r="H189" s="5">
        <v>44985</v>
      </c>
      <c r="I189" s="5">
        <f>IF(H189&lt;B189, B189+7, H189)</f>
        <v>44985</v>
      </c>
      <c r="J189" s="5" t="str">
        <f>IF(H189&lt;B189, "Invalid","Okay")</f>
        <v>Okay</v>
      </c>
      <c r="K189" s="16">
        <f>I189-C189</f>
        <v>30</v>
      </c>
      <c r="L189" s="16" t="str">
        <f t="shared" si="28"/>
        <v>Target Not Met</v>
      </c>
      <c r="M189" s="2" t="s">
        <v>647</v>
      </c>
      <c r="N189" s="2" t="s">
        <v>654</v>
      </c>
      <c r="O189" s="2" t="s">
        <v>668</v>
      </c>
      <c r="P189" s="29" t="str">
        <f t="shared" si="29"/>
        <v>Asia→India→Bengaluru</v>
      </c>
      <c r="Q189" s="2" t="s">
        <v>703</v>
      </c>
      <c r="R189" s="2" t="s">
        <v>707</v>
      </c>
      <c r="S189" s="2" t="s">
        <v>717</v>
      </c>
      <c r="T189" s="2" t="s">
        <v>733</v>
      </c>
      <c r="U189" t="e">
        <f>(AE189/#REF!)*100</f>
        <v>#REF!</v>
      </c>
      <c r="V189" s="2" t="s">
        <v>921</v>
      </c>
      <c r="W189" s="7">
        <v>1262.0999999999999</v>
      </c>
      <c r="X189" s="7">
        <v>1395.53</v>
      </c>
      <c r="Y189" s="7">
        <f t="shared" si="30"/>
        <v>1395.53</v>
      </c>
      <c r="Z189" s="7" t="str">
        <f t="shared" si="31"/>
        <v>Medium</v>
      </c>
      <c r="AA189" s="13">
        <v>0.23300000000000001</v>
      </c>
      <c r="AB189" s="13">
        <f t="shared" si="32"/>
        <v>0.23300000000000001</v>
      </c>
      <c r="AC189" s="13" t="str">
        <f t="shared" si="33"/>
        <v>OK</v>
      </c>
      <c r="AD189" s="7">
        <v>25</v>
      </c>
      <c r="AE189" s="7">
        <f>Y189*AD189*(1-AB189)</f>
        <v>26759.28775</v>
      </c>
      <c r="AF189" s="7">
        <f>W189*AD189</f>
        <v>31552.499999999996</v>
      </c>
      <c r="AG189" s="7">
        <f t="shared" si="34"/>
        <v>-4793.2122499999969</v>
      </c>
      <c r="AH189" s="13">
        <f t="shared" si="35"/>
        <v>-0.17912331205452198</v>
      </c>
    </row>
    <row r="190" spans="1:34" x14ac:dyDescent="0.35">
      <c r="A190" s="2" t="s">
        <v>202</v>
      </c>
      <c r="B190" s="5">
        <v>45126</v>
      </c>
      <c r="C190" s="5">
        <f>IF(H190&lt;B190,H190,B190)</f>
        <v>45126</v>
      </c>
      <c r="D190" s="5" t="str">
        <f t="shared" si="24"/>
        <v>Jul-2023</v>
      </c>
      <c r="E190" s="5" t="str">
        <f t="shared" si="25"/>
        <v>Jul</v>
      </c>
      <c r="F190" s="5" t="str">
        <f t="shared" si="26"/>
        <v>2023</v>
      </c>
      <c r="G190" s="5" t="str">
        <f t="shared" si="27"/>
        <v>Q3-2023</v>
      </c>
      <c r="H190" s="5">
        <v>45138</v>
      </c>
      <c r="I190" s="5">
        <f>IF(H190&lt;B190, B190+7, H190)</f>
        <v>45138</v>
      </c>
      <c r="J190" s="5" t="str">
        <f>IF(H190&lt;B190, "Invalid","Okay")</f>
        <v>Okay</v>
      </c>
      <c r="K190" s="16">
        <f>I190-C190</f>
        <v>12</v>
      </c>
      <c r="L190" s="16" t="str">
        <f t="shared" si="28"/>
        <v>Target Not Met</v>
      </c>
      <c r="M190" s="2" t="s">
        <v>648</v>
      </c>
      <c r="N190" s="2" t="s">
        <v>655</v>
      </c>
      <c r="O190" s="2" t="s">
        <v>692</v>
      </c>
      <c r="P190" s="29" t="str">
        <f t="shared" si="29"/>
        <v>Americas→Brazil→Rio de Janeiro</v>
      </c>
      <c r="Q190" s="2" t="s">
        <v>701</v>
      </c>
      <c r="R190" s="2" t="s">
        <v>707</v>
      </c>
      <c r="S190" s="2" t="s">
        <v>712</v>
      </c>
      <c r="T190" s="2" t="s">
        <v>732</v>
      </c>
      <c r="U190" t="e">
        <f>(AE190/#REF!)*100</f>
        <v>#REF!</v>
      </c>
      <c r="V190" s="2" t="s">
        <v>922</v>
      </c>
      <c r="W190" s="7">
        <v>1334.64</v>
      </c>
      <c r="X190" s="7">
        <v>2273.42</v>
      </c>
      <c r="Y190" s="7">
        <f t="shared" si="30"/>
        <v>2273.42</v>
      </c>
      <c r="Z190" s="7" t="str">
        <f t="shared" si="31"/>
        <v>High</v>
      </c>
      <c r="AA190" s="13">
        <v>0.11799999999999999</v>
      </c>
      <c r="AB190" s="13">
        <f t="shared" si="32"/>
        <v>0.11799999999999999</v>
      </c>
      <c r="AC190" s="13" t="str">
        <f t="shared" si="33"/>
        <v>OK</v>
      </c>
      <c r="AD190" s="7">
        <v>14</v>
      </c>
      <c r="AE190" s="7">
        <f>Y190*AD190*(1-AB190)</f>
        <v>28072.190160000002</v>
      </c>
      <c r="AF190" s="7">
        <f>W190*AD190</f>
        <v>18684.960000000003</v>
      </c>
      <c r="AG190" s="7">
        <f t="shared" si="34"/>
        <v>9387.2301599999992</v>
      </c>
      <c r="AH190" s="13">
        <f t="shared" si="35"/>
        <v>0.33439607335575267</v>
      </c>
    </row>
    <row r="191" spans="1:34" x14ac:dyDescent="0.35">
      <c r="A191" s="2" t="s">
        <v>203</v>
      </c>
      <c r="B191" s="5">
        <v>45431</v>
      </c>
      <c r="C191" s="5">
        <f>IF(H191&lt;B191,H191,B191)</f>
        <v>45431</v>
      </c>
      <c r="D191" s="5" t="str">
        <f t="shared" si="24"/>
        <v>May-2024</v>
      </c>
      <c r="E191" s="5" t="str">
        <f t="shared" si="25"/>
        <v>May</v>
      </c>
      <c r="F191" s="5" t="str">
        <f t="shared" si="26"/>
        <v>2024</v>
      </c>
      <c r="G191" s="5" t="str">
        <f t="shared" si="27"/>
        <v>Q2-2024</v>
      </c>
      <c r="H191" s="5">
        <v>45451</v>
      </c>
      <c r="I191" s="5">
        <f>IF(H191&lt;B191, B191+7, H191)</f>
        <v>45451</v>
      </c>
      <c r="J191" s="5" t="str">
        <f>IF(H191&lt;B191, "Invalid","Okay")</f>
        <v>Okay</v>
      </c>
      <c r="K191" s="16">
        <f>I191-C191</f>
        <v>20</v>
      </c>
      <c r="L191" s="16" t="str">
        <f t="shared" si="28"/>
        <v>Target Not Met</v>
      </c>
      <c r="M191" s="2" t="s">
        <v>648</v>
      </c>
      <c r="N191" s="2" t="s">
        <v>655</v>
      </c>
      <c r="O191" s="2" t="s">
        <v>672</v>
      </c>
      <c r="P191" s="29" t="str">
        <f t="shared" si="29"/>
        <v>Americas→Brazil→Brasília</v>
      </c>
      <c r="Q191" s="2" t="s">
        <v>705</v>
      </c>
      <c r="R191" s="2" t="s">
        <v>707</v>
      </c>
      <c r="S191" s="2" t="s">
        <v>718</v>
      </c>
      <c r="T191" s="2" t="s">
        <v>732</v>
      </c>
      <c r="U191" t="e">
        <f>(AE191/#REF!)*100</f>
        <v>#REF!</v>
      </c>
      <c r="V191" s="2" t="s">
        <v>923</v>
      </c>
      <c r="W191" s="7">
        <v>1075.9000000000001</v>
      </c>
      <c r="X191" s="7">
        <v>1242.1500000000001</v>
      </c>
      <c r="Y191" s="7">
        <f t="shared" si="30"/>
        <v>1242.1500000000001</v>
      </c>
      <c r="Z191" s="7" t="str">
        <f t="shared" si="31"/>
        <v>Medium</v>
      </c>
      <c r="AA191" s="13">
        <v>1.2E-2</v>
      </c>
      <c r="AB191" s="13">
        <f t="shared" si="32"/>
        <v>1.2E-2</v>
      </c>
      <c r="AC191" s="13" t="str">
        <f t="shared" si="33"/>
        <v>OK</v>
      </c>
      <c r="AD191" s="7">
        <v>7</v>
      </c>
      <c r="AE191" s="7">
        <f>Y191*AD191*(1-AB191)</f>
        <v>8590.7094000000016</v>
      </c>
      <c r="AF191" s="7">
        <f>W191*AD191</f>
        <v>7531.3000000000011</v>
      </c>
      <c r="AG191" s="7">
        <f t="shared" si="34"/>
        <v>1059.4094000000005</v>
      </c>
      <c r="AH191" s="13">
        <f t="shared" si="35"/>
        <v>0.12332036280961853</v>
      </c>
    </row>
    <row r="192" spans="1:34" x14ac:dyDescent="0.35">
      <c r="A192" s="2" t="s">
        <v>204</v>
      </c>
      <c r="B192" s="5">
        <v>45325</v>
      </c>
      <c r="C192" s="5">
        <f>IF(H192&lt;B192,H192,B192)</f>
        <v>45325</v>
      </c>
      <c r="D192" s="5" t="str">
        <f t="shared" si="24"/>
        <v>Feb-2024</v>
      </c>
      <c r="E192" s="5" t="str">
        <f t="shared" si="25"/>
        <v>Feb</v>
      </c>
      <c r="F192" s="5" t="str">
        <f t="shared" si="26"/>
        <v>2024</v>
      </c>
      <c r="G192" s="5" t="str">
        <f t="shared" si="27"/>
        <v>Q1-2024</v>
      </c>
      <c r="H192" s="5">
        <v>45341</v>
      </c>
      <c r="I192" s="5">
        <f>IF(H192&lt;B192, B192+7, H192)</f>
        <v>45341</v>
      </c>
      <c r="J192" s="5" t="str">
        <f>IF(H192&lt;B192, "Invalid","Okay")</f>
        <v>Okay</v>
      </c>
      <c r="K192" s="16">
        <f>I192-C192</f>
        <v>16</v>
      </c>
      <c r="L192" s="16" t="str">
        <f t="shared" si="28"/>
        <v>Target Not Met</v>
      </c>
      <c r="M192" s="2" t="s">
        <v>647</v>
      </c>
      <c r="N192" s="2" t="s">
        <v>659</v>
      </c>
      <c r="O192" s="2" t="s">
        <v>676</v>
      </c>
      <c r="P192" s="29" t="str">
        <f t="shared" si="29"/>
        <v>Asia→China→Shenzhen</v>
      </c>
      <c r="Q192" s="2" t="s">
        <v>705</v>
      </c>
      <c r="R192" s="2" t="s">
        <v>708</v>
      </c>
      <c r="S192" s="2" t="s">
        <v>722</v>
      </c>
      <c r="T192" s="2" t="s">
        <v>731</v>
      </c>
      <c r="U192" t="e">
        <f>(AE192/#REF!)*100</f>
        <v>#REF!</v>
      </c>
      <c r="V192" s="2" t="s">
        <v>924</v>
      </c>
      <c r="W192" s="7">
        <v>993.75</v>
      </c>
      <c r="X192" s="7">
        <v>1310.29</v>
      </c>
      <c r="Y192" s="7">
        <f t="shared" si="30"/>
        <v>1310.29</v>
      </c>
      <c r="Z192" s="7" t="str">
        <f t="shared" si="31"/>
        <v>Medium</v>
      </c>
      <c r="AA192" s="13">
        <v>0.215</v>
      </c>
      <c r="AB192" s="13">
        <f t="shared" si="32"/>
        <v>0.215</v>
      </c>
      <c r="AC192" s="13" t="str">
        <f t="shared" si="33"/>
        <v>OK</v>
      </c>
      <c r="AD192" s="7">
        <v>19</v>
      </c>
      <c r="AE192" s="7">
        <f>Y192*AD192*(1-AB192)</f>
        <v>19542.975350000001</v>
      </c>
      <c r="AF192" s="7">
        <f>W192*AD192</f>
        <v>18881.25</v>
      </c>
      <c r="AG192" s="7">
        <f t="shared" si="34"/>
        <v>661.72535000000062</v>
      </c>
      <c r="AH192" s="13">
        <f t="shared" si="35"/>
        <v>3.3860010471742245E-2</v>
      </c>
    </row>
    <row r="193" spans="1:34" x14ac:dyDescent="0.35">
      <c r="A193" s="2" t="s">
        <v>205</v>
      </c>
      <c r="B193" s="5">
        <v>45146</v>
      </c>
      <c r="C193" s="5">
        <f>IF(H193&lt;B193,H193,B193)</f>
        <v>45146</v>
      </c>
      <c r="D193" s="5" t="str">
        <f t="shared" si="24"/>
        <v>Aug-2023</v>
      </c>
      <c r="E193" s="5" t="str">
        <f t="shared" si="25"/>
        <v>Aug</v>
      </c>
      <c r="F193" s="5" t="str">
        <f t="shared" si="26"/>
        <v>2023</v>
      </c>
      <c r="G193" s="5" t="str">
        <f t="shared" si="27"/>
        <v>Q3-2023</v>
      </c>
      <c r="H193" s="5">
        <v>45160</v>
      </c>
      <c r="I193" s="5">
        <f>IF(H193&lt;B193, B193+7, H193)</f>
        <v>45160</v>
      </c>
      <c r="J193" s="5" t="str">
        <f>IF(H193&lt;B193, "Invalid","Okay")</f>
        <v>Okay</v>
      </c>
      <c r="K193" s="16">
        <f>I193-C193</f>
        <v>14</v>
      </c>
      <c r="L193" s="16" t="str">
        <f t="shared" si="28"/>
        <v>Target Not Met</v>
      </c>
      <c r="M193" s="2" t="s">
        <v>649</v>
      </c>
      <c r="N193" s="2" t="s">
        <v>658</v>
      </c>
      <c r="O193" s="2" t="s">
        <v>674</v>
      </c>
      <c r="P193" s="29" t="str">
        <f t="shared" si="29"/>
        <v>Europe→United Kingdom→Birmingham</v>
      </c>
      <c r="Q193" s="2" t="s">
        <v>703</v>
      </c>
      <c r="R193" s="2" t="s">
        <v>711</v>
      </c>
      <c r="S193" s="2" t="s">
        <v>725</v>
      </c>
      <c r="T193" s="2" t="s">
        <v>732</v>
      </c>
      <c r="U193" t="e">
        <f>(AE193/#REF!)*100</f>
        <v>#REF!</v>
      </c>
      <c r="V193" s="2" t="s">
        <v>925</v>
      </c>
      <c r="W193" s="7">
        <v>446.69</v>
      </c>
      <c r="X193" s="7">
        <v>967.25</v>
      </c>
      <c r="Y193" s="7">
        <f t="shared" si="30"/>
        <v>967.25</v>
      </c>
      <c r="Z193" s="7" t="str">
        <f t="shared" si="31"/>
        <v>Low</v>
      </c>
      <c r="AA193" s="13">
        <v>9.4E-2</v>
      </c>
      <c r="AB193" s="13">
        <f t="shared" si="32"/>
        <v>9.4E-2</v>
      </c>
      <c r="AC193" s="13" t="str">
        <f t="shared" si="33"/>
        <v>OK</v>
      </c>
      <c r="AD193" s="7">
        <v>10</v>
      </c>
      <c r="AE193" s="7">
        <f>Y193*AD193*(1-AB193)</f>
        <v>8763.2849999999999</v>
      </c>
      <c r="AF193" s="7">
        <f>W193*AD193</f>
        <v>4466.8999999999996</v>
      </c>
      <c r="AG193" s="7">
        <f t="shared" si="34"/>
        <v>4296.3850000000002</v>
      </c>
      <c r="AH193" s="13">
        <f t="shared" si="35"/>
        <v>0.49027105702941309</v>
      </c>
    </row>
    <row r="194" spans="1:34" x14ac:dyDescent="0.35">
      <c r="A194" s="2" t="s">
        <v>206</v>
      </c>
      <c r="B194" s="5">
        <v>45516</v>
      </c>
      <c r="C194" s="5">
        <f>IF(H194&lt;B194,H194,B194)</f>
        <v>45516</v>
      </c>
      <c r="D194" s="5" t="str">
        <f t="shared" si="24"/>
        <v>Aug-2024</v>
      </c>
      <c r="E194" s="5" t="str">
        <f t="shared" si="25"/>
        <v>Aug</v>
      </c>
      <c r="F194" s="5" t="str">
        <f t="shared" si="26"/>
        <v>2024</v>
      </c>
      <c r="G194" s="5" t="str">
        <f t="shared" si="27"/>
        <v>Q3-2024</v>
      </c>
      <c r="H194" s="5">
        <v>45538</v>
      </c>
      <c r="I194" s="5">
        <f>IF(H194&lt;B194, B194+7, H194)</f>
        <v>45538</v>
      </c>
      <c r="J194" s="5" t="str">
        <f>IF(H194&lt;B194, "Invalid","Okay")</f>
        <v>Okay</v>
      </c>
      <c r="K194" s="16">
        <f>I194-C194</f>
        <v>22</v>
      </c>
      <c r="L194" s="16" t="str">
        <f t="shared" si="28"/>
        <v>Target Not Met</v>
      </c>
      <c r="M194" s="2" t="s">
        <v>648</v>
      </c>
      <c r="N194" s="2" t="s">
        <v>660</v>
      </c>
      <c r="O194" s="2" t="s">
        <v>697</v>
      </c>
      <c r="P194" s="29" t="str">
        <f t="shared" si="29"/>
        <v>Americas→USA→Austin</v>
      </c>
      <c r="Q194" s="2" t="s">
        <v>704</v>
      </c>
      <c r="R194" s="2" t="s">
        <v>710</v>
      </c>
      <c r="S194" s="2" t="s">
        <v>714</v>
      </c>
      <c r="T194" s="2" t="s">
        <v>731</v>
      </c>
      <c r="U194" t="e">
        <f>(AE194/#REF!)*100</f>
        <v>#REF!</v>
      </c>
      <c r="V194" s="2" t="s">
        <v>926</v>
      </c>
      <c r="W194" s="7">
        <v>797.8</v>
      </c>
      <c r="X194" s="7">
        <v>886.22</v>
      </c>
      <c r="Y194" s="7">
        <f t="shared" si="30"/>
        <v>886.22</v>
      </c>
      <c r="Z194" s="7" t="str">
        <f t="shared" si="31"/>
        <v>Low</v>
      </c>
      <c r="AA194" s="13">
        <v>0.23599999999999999</v>
      </c>
      <c r="AB194" s="13">
        <f t="shared" si="32"/>
        <v>0.23599999999999999</v>
      </c>
      <c r="AC194" s="13" t="str">
        <f t="shared" si="33"/>
        <v>OK</v>
      </c>
      <c r="AD194" s="7">
        <v>36</v>
      </c>
      <c r="AE194" s="7">
        <f>Y194*AD194*(1-AB194)</f>
        <v>24374.594880000001</v>
      </c>
      <c r="AF194" s="7">
        <f>W194*AD194</f>
        <v>28720.799999999999</v>
      </c>
      <c r="AG194" s="7">
        <f t="shared" si="34"/>
        <v>-4346.2051199999987</v>
      </c>
      <c r="AH194" s="13">
        <f t="shared" si="35"/>
        <v>-0.17830881462428633</v>
      </c>
    </row>
    <row r="195" spans="1:34" x14ac:dyDescent="0.35">
      <c r="A195" s="2" t="s">
        <v>207</v>
      </c>
      <c r="B195" s="5">
        <v>45214</v>
      </c>
      <c r="C195" s="5">
        <f>IF(H195&lt;B195,H195,B195)</f>
        <v>45214</v>
      </c>
      <c r="D195" s="5" t="str">
        <f t="shared" ref="D195:D258" si="36">TEXT(B195,"MMM-YYYY")</f>
        <v>Oct-2023</v>
      </c>
      <c r="E195" s="5" t="str">
        <f t="shared" ref="E195:E258" si="37">TEXT(C195,"MMM")</f>
        <v>Oct</v>
      </c>
      <c r="F195" s="5" t="str">
        <f t="shared" ref="F195:F258" si="38">TEXT(C195,"YYYY")</f>
        <v>2023</v>
      </c>
      <c r="G195" s="5" t="str">
        <f t="shared" ref="G195:G258" si="39">IF(MONTH(D195)&lt;=3,"Q1",IF(MONTH(D195)&lt;=6,"Q2",IF(MONTH(D195)&lt;=9,"Q3","Q4")))&amp;"-"&amp;YEAR(C195)</f>
        <v>Q4-2023</v>
      </c>
      <c r="H195" s="5">
        <v>45243</v>
      </c>
      <c r="I195" s="5">
        <f>IF(H195&lt;B195, B195+7, H195)</f>
        <v>45243</v>
      </c>
      <c r="J195" s="5" t="str">
        <f>IF(H195&lt;B195, "Invalid","Okay")</f>
        <v>Okay</v>
      </c>
      <c r="K195" s="16">
        <f>I195-C195</f>
        <v>29</v>
      </c>
      <c r="L195" s="16" t="str">
        <f t="shared" ref="L195:L258" si="40">IF(K195&lt;=7,"Target Met","Target Not Met")</f>
        <v>Target Not Met</v>
      </c>
      <c r="M195" s="2" t="s">
        <v>647</v>
      </c>
      <c r="N195" s="2" t="s">
        <v>659</v>
      </c>
      <c r="O195" s="2" t="s">
        <v>676</v>
      </c>
      <c r="P195" s="29" t="str">
        <f t="shared" ref="P195:P258" si="41">_xlfn.CONCAT(M195,"→",N195,"→",O195)</f>
        <v>Asia→China→Shenzhen</v>
      </c>
      <c r="Q195" s="2" t="s">
        <v>703</v>
      </c>
      <c r="R195" s="2" t="s">
        <v>710</v>
      </c>
      <c r="S195" s="2" t="s">
        <v>713</v>
      </c>
      <c r="T195" s="2" t="s">
        <v>728</v>
      </c>
      <c r="U195" t="e">
        <f>(AE195/#REF!)*100</f>
        <v>#REF!</v>
      </c>
      <c r="V195" s="2" t="s">
        <v>927</v>
      </c>
      <c r="W195" s="7">
        <v>986.44</v>
      </c>
      <c r="X195" s="7">
        <v>790.61</v>
      </c>
      <c r="Y195" s="7">
        <f t="shared" ref="Y195:Y258" si="42">ABS(X195)</f>
        <v>790.61</v>
      </c>
      <c r="Z195" s="7" t="str">
        <f t="shared" ref="Z195:Z258" si="43">IF(Y195&lt;1193.97,"Low",IF(Y195&lt;1912.05,"Medium","High"))</f>
        <v>Low</v>
      </c>
      <c r="AA195" s="13">
        <v>7.1999999999999995E-2</v>
      </c>
      <c r="AB195" s="13">
        <f t="shared" ref="AB195:AB258" si="44">IF(AA195&gt;30%,"12.14%", AA195)</f>
        <v>7.1999999999999995E-2</v>
      </c>
      <c r="AC195" s="13" t="str">
        <f t="shared" ref="AC195:AC258" si="45">IF(AA195&gt;30%, "High", "OK")</f>
        <v>OK</v>
      </c>
      <c r="AD195" s="7">
        <v>6</v>
      </c>
      <c r="AE195" s="7">
        <f>Y195*AD195*(1-AB195)</f>
        <v>4402.1164799999997</v>
      </c>
      <c r="AF195" s="7">
        <f>W195*AD195</f>
        <v>5918.64</v>
      </c>
      <c r="AG195" s="7">
        <f t="shared" ref="AG195:AG258" si="46">AE195-AF195</f>
        <v>-1516.5235200000006</v>
      </c>
      <c r="AH195" s="13">
        <f t="shared" ref="AH195:AH258" si="47">IF(AE195=0,0,AG195/AE195)</f>
        <v>-0.34449872621271499</v>
      </c>
    </row>
    <row r="196" spans="1:34" x14ac:dyDescent="0.35">
      <c r="A196" s="2" t="s">
        <v>208</v>
      </c>
      <c r="B196" s="5">
        <v>45050</v>
      </c>
      <c r="C196" s="5">
        <f>IF(H196&lt;B196,H196,B196)</f>
        <v>45050</v>
      </c>
      <c r="D196" s="5" t="str">
        <f t="shared" si="36"/>
        <v>May-2023</v>
      </c>
      <c r="E196" s="5" t="str">
        <f t="shared" si="37"/>
        <v>May</v>
      </c>
      <c r="F196" s="5" t="str">
        <f t="shared" si="38"/>
        <v>2023</v>
      </c>
      <c r="G196" s="5" t="str">
        <f t="shared" si="39"/>
        <v>Q2-2023</v>
      </c>
      <c r="H196" s="5">
        <v>45072</v>
      </c>
      <c r="I196" s="5">
        <f>IF(H196&lt;B196, B196+7, H196)</f>
        <v>45072</v>
      </c>
      <c r="J196" s="5" t="str">
        <f>IF(H196&lt;B196, "Invalid","Okay")</f>
        <v>Okay</v>
      </c>
      <c r="K196" s="16">
        <f>I196-C196</f>
        <v>22</v>
      </c>
      <c r="L196" s="16" t="str">
        <f t="shared" si="40"/>
        <v>Target Not Met</v>
      </c>
      <c r="M196" s="2" t="s">
        <v>648</v>
      </c>
      <c r="N196" s="2" t="s">
        <v>660</v>
      </c>
      <c r="O196" s="2" t="s">
        <v>686</v>
      </c>
      <c r="P196" s="29" t="str">
        <f t="shared" si="41"/>
        <v>Americas→USA→San Francisco</v>
      </c>
      <c r="Q196" s="2" t="s">
        <v>706</v>
      </c>
      <c r="R196" s="2" t="s">
        <v>708</v>
      </c>
      <c r="S196" s="2" t="s">
        <v>713</v>
      </c>
      <c r="T196" s="2" t="s">
        <v>729</v>
      </c>
      <c r="U196" t="e">
        <f>(AE196/#REF!)*100</f>
        <v>#REF!</v>
      </c>
      <c r="V196" s="2" t="s">
        <v>928</v>
      </c>
      <c r="W196" s="7">
        <v>249.71</v>
      </c>
      <c r="X196" s="7">
        <v>361.33</v>
      </c>
      <c r="Y196" s="7">
        <f t="shared" si="42"/>
        <v>361.33</v>
      </c>
      <c r="Z196" s="7" t="str">
        <f t="shared" si="43"/>
        <v>Low</v>
      </c>
      <c r="AA196" s="13">
        <v>9.4E-2</v>
      </c>
      <c r="AB196" s="13">
        <f t="shared" si="44"/>
        <v>9.4E-2</v>
      </c>
      <c r="AC196" s="13" t="str">
        <f t="shared" si="45"/>
        <v>OK</v>
      </c>
      <c r="AD196" s="7">
        <v>12</v>
      </c>
      <c r="AE196" s="7">
        <f>Y196*AD196*(1-AB196)</f>
        <v>3928.3797600000003</v>
      </c>
      <c r="AF196" s="7">
        <f>W196*AD196</f>
        <v>2996.52</v>
      </c>
      <c r="AG196" s="7">
        <f t="shared" si="46"/>
        <v>931.85976000000028</v>
      </c>
      <c r="AH196" s="13">
        <f t="shared" si="47"/>
        <v>0.23721223937881206</v>
      </c>
    </row>
    <row r="197" spans="1:34" x14ac:dyDescent="0.35">
      <c r="A197" s="2" t="s">
        <v>209</v>
      </c>
      <c r="B197" s="5">
        <v>45557</v>
      </c>
      <c r="C197" s="5">
        <f>IF(H197&lt;B197,H197,B197)</f>
        <v>45557</v>
      </c>
      <c r="D197" s="5" t="str">
        <f t="shared" si="36"/>
        <v>Sep-2024</v>
      </c>
      <c r="E197" s="5" t="str">
        <f t="shared" si="37"/>
        <v>Sep</v>
      </c>
      <c r="F197" s="5" t="str">
        <f t="shared" si="38"/>
        <v>2024</v>
      </c>
      <c r="G197" s="5" t="str">
        <f t="shared" si="39"/>
        <v>Q3-2024</v>
      </c>
      <c r="H197" s="5">
        <v>45566</v>
      </c>
      <c r="I197" s="5">
        <f>IF(H197&lt;B197, B197+7, H197)</f>
        <v>45566</v>
      </c>
      <c r="J197" s="5" t="str">
        <f>IF(H197&lt;B197, "Invalid","Okay")</f>
        <v>Okay</v>
      </c>
      <c r="K197" s="16">
        <f>I197-C197</f>
        <v>9</v>
      </c>
      <c r="L197" s="16" t="str">
        <f t="shared" si="40"/>
        <v>Target Not Met</v>
      </c>
      <c r="M197" s="2" t="s">
        <v>648</v>
      </c>
      <c r="N197" s="2" t="s">
        <v>655</v>
      </c>
      <c r="O197" s="2" t="s">
        <v>670</v>
      </c>
      <c r="P197" s="29" t="str">
        <f t="shared" si="41"/>
        <v>Americas→Brazil→São Paulo</v>
      </c>
      <c r="Q197" s="2" t="s">
        <v>703</v>
      </c>
      <c r="R197" s="2" t="s">
        <v>708</v>
      </c>
      <c r="S197" s="2" t="s">
        <v>723</v>
      </c>
      <c r="T197" s="2" t="s">
        <v>732</v>
      </c>
      <c r="U197" t="e">
        <f>(AE197/#REF!)*100</f>
        <v>#REF!</v>
      </c>
      <c r="V197" s="2" t="s">
        <v>929</v>
      </c>
      <c r="W197" s="7">
        <v>1378.8</v>
      </c>
      <c r="X197" s="7">
        <v>1952.04</v>
      </c>
      <c r="Y197" s="7">
        <f t="shared" si="42"/>
        <v>1952.04</v>
      </c>
      <c r="Z197" s="7" t="str">
        <f t="shared" si="43"/>
        <v>High</v>
      </c>
      <c r="AA197" s="13">
        <v>0.159</v>
      </c>
      <c r="AB197" s="13">
        <f t="shared" si="44"/>
        <v>0.159</v>
      </c>
      <c r="AC197" s="13" t="str">
        <f t="shared" si="45"/>
        <v>OK</v>
      </c>
      <c r="AD197" s="7">
        <v>19</v>
      </c>
      <c r="AE197" s="7">
        <f>Y197*AD197*(1-AB197)</f>
        <v>31191.64716</v>
      </c>
      <c r="AF197" s="7">
        <f>W197*AD197</f>
        <v>26197.200000000001</v>
      </c>
      <c r="AG197" s="7">
        <f t="shared" si="46"/>
        <v>4994.4471599999997</v>
      </c>
      <c r="AH197" s="13">
        <f t="shared" si="47"/>
        <v>0.16012130216723058</v>
      </c>
    </row>
    <row r="198" spans="1:34" x14ac:dyDescent="0.35">
      <c r="A198" s="2" t="s">
        <v>210</v>
      </c>
      <c r="B198" s="5">
        <v>45588</v>
      </c>
      <c r="C198" s="5">
        <f>IF(H198&lt;B198,H198,B198)</f>
        <v>45588</v>
      </c>
      <c r="D198" s="5" t="str">
        <f t="shared" si="36"/>
        <v>Oct-2024</v>
      </c>
      <c r="E198" s="5" t="str">
        <f t="shared" si="37"/>
        <v>Oct</v>
      </c>
      <c r="F198" s="5" t="str">
        <f t="shared" si="38"/>
        <v>2024</v>
      </c>
      <c r="G198" s="5" t="str">
        <f t="shared" si="39"/>
        <v>Q4-2024</v>
      </c>
      <c r="H198" s="5">
        <v>45610</v>
      </c>
      <c r="I198" s="5">
        <f>IF(H198&lt;B198, B198+7, H198)</f>
        <v>45610</v>
      </c>
      <c r="J198" s="5" t="str">
        <f>IF(H198&lt;B198, "Invalid","Okay")</f>
        <v>Okay</v>
      </c>
      <c r="K198" s="16">
        <f>I198-C198</f>
        <v>22</v>
      </c>
      <c r="L198" s="16" t="str">
        <f t="shared" si="40"/>
        <v>Target Not Met</v>
      </c>
      <c r="M198" s="2" t="s">
        <v>647</v>
      </c>
      <c r="N198" s="2" t="s">
        <v>652</v>
      </c>
      <c r="O198" s="2" t="s">
        <v>666</v>
      </c>
      <c r="P198" s="29" t="str">
        <f t="shared" si="41"/>
        <v>Asia→Japan→Osaka</v>
      </c>
      <c r="Q198" s="2" t="s">
        <v>703</v>
      </c>
      <c r="R198" s="2" t="s">
        <v>711</v>
      </c>
      <c r="S198" s="2" t="s">
        <v>717</v>
      </c>
      <c r="T198" s="2" t="s">
        <v>730</v>
      </c>
      <c r="U198" t="e">
        <f>(AE198/#REF!)*100</f>
        <v>#REF!</v>
      </c>
      <c r="V198" s="2" t="s">
        <v>930</v>
      </c>
      <c r="W198" s="7">
        <v>1406.4</v>
      </c>
      <c r="X198" s="7">
        <v>1564.76</v>
      </c>
      <c r="Y198" s="7">
        <f t="shared" si="42"/>
        <v>1564.76</v>
      </c>
      <c r="Z198" s="7" t="str">
        <f t="shared" si="43"/>
        <v>Medium</v>
      </c>
      <c r="AA198" s="13">
        <v>0.185</v>
      </c>
      <c r="AB198" s="13">
        <f t="shared" si="44"/>
        <v>0.185</v>
      </c>
      <c r="AC198" s="13" t="str">
        <f t="shared" si="45"/>
        <v>OK</v>
      </c>
      <c r="AD198" s="7">
        <v>17</v>
      </c>
      <c r="AE198" s="7">
        <f>Y198*AD198*(1-AB198)</f>
        <v>21679.749799999998</v>
      </c>
      <c r="AF198" s="7">
        <f>W198*AD198</f>
        <v>23908.800000000003</v>
      </c>
      <c r="AG198" s="7">
        <f t="shared" si="46"/>
        <v>-2229.0502000000051</v>
      </c>
      <c r="AH198" s="13">
        <f t="shared" si="47"/>
        <v>-0.10281715520536151</v>
      </c>
    </row>
    <row r="199" spans="1:34" x14ac:dyDescent="0.35">
      <c r="A199" s="2" t="s">
        <v>211</v>
      </c>
      <c r="B199" s="5">
        <v>45333</v>
      </c>
      <c r="C199" s="5">
        <f>IF(H199&lt;B199,H199,B199)</f>
        <v>45333</v>
      </c>
      <c r="D199" s="5" t="str">
        <f t="shared" si="36"/>
        <v>Feb-2024</v>
      </c>
      <c r="E199" s="5" t="str">
        <f t="shared" si="37"/>
        <v>Feb</v>
      </c>
      <c r="F199" s="5" t="str">
        <f t="shared" si="38"/>
        <v>2024</v>
      </c>
      <c r="G199" s="5" t="str">
        <f t="shared" si="39"/>
        <v>Q1-2024</v>
      </c>
      <c r="H199" s="5">
        <v>45354</v>
      </c>
      <c r="I199" s="5">
        <f>IF(H199&lt;B199, B199+7, H199)</f>
        <v>45354</v>
      </c>
      <c r="J199" s="5" t="str">
        <f>IF(H199&lt;B199, "Invalid","Okay")</f>
        <v>Okay</v>
      </c>
      <c r="K199" s="16">
        <f>I199-C199</f>
        <v>21</v>
      </c>
      <c r="L199" s="16" t="str">
        <f t="shared" si="40"/>
        <v>Target Not Met</v>
      </c>
      <c r="M199" s="2" t="s">
        <v>646</v>
      </c>
      <c r="N199" s="2" t="s">
        <v>650</v>
      </c>
      <c r="O199" s="2" t="s">
        <v>662</v>
      </c>
      <c r="P199" s="29" t="str">
        <f t="shared" si="41"/>
        <v>Africa→Kenya→Kisumu</v>
      </c>
      <c r="Q199" s="2" t="s">
        <v>706</v>
      </c>
      <c r="R199" s="2" t="s">
        <v>708</v>
      </c>
      <c r="S199" s="2" t="s">
        <v>717</v>
      </c>
      <c r="T199" s="2" t="s">
        <v>730</v>
      </c>
      <c r="U199" t="e">
        <f>(AE199/#REF!)*100</f>
        <v>#REF!</v>
      </c>
      <c r="V199" s="2" t="s">
        <v>931</v>
      </c>
      <c r="W199" s="7">
        <v>516.86</v>
      </c>
      <c r="X199" s="7">
        <v>852.54</v>
      </c>
      <c r="Y199" s="7">
        <f t="shared" si="42"/>
        <v>852.54</v>
      </c>
      <c r="Z199" s="7" t="str">
        <f t="shared" si="43"/>
        <v>Low</v>
      </c>
      <c r="AA199" s="13">
        <v>5.0999999999999997E-2</v>
      </c>
      <c r="AB199" s="13">
        <f t="shared" si="44"/>
        <v>5.0999999999999997E-2</v>
      </c>
      <c r="AC199" s="13" t="str">
        <f t="shared" si="45"/>
        <v>OK</v>
      </c>
      <c r="AD199" s="7">
        <v>14</v>
      </c>
      <c r="AE199" s="7">
        <f>Y199*AD199*(1-AB199)</f>
        <v>11326.846439999999</v>
      </c>
      <c r="AF199" s="7">
        <f>W199*AD199</f>
        <v>7236.04</v>
      </c>
      <c r="AG199" s="7">
        <f t="shared" si="46"/>
        <v>4090.8064399999994</v>
      </c>
      <c r="AH199" s="13">
        <f t="shared" si="47"/>
        <v>0.36116022775355994</v>
      </c>
    </row>
    <row r="200" spans="1:34" x14ac:dyDescent="0.35">
      <c r="A200" s="2" t="s">
        <v>212</v>
      </c>
      <c r="B200" s="5">
        <v>44956</v>
      </c>
      <c r="C200" s="5">
        <f>IF(H200&lt;B200,H200,B200)</f>
        <v>44956</v>
      </c>
      <c r="D200" s="5" t="str">
        <f t="shared" si="36"/>
        <v>Jan-2023</v>
      </c>
      <c r="E200" s="5" t="str">
        <f t="shared" si="37"/>
        <v>Jan</v>
      </c>
      <c r="F200" s="5" t="str">
        <f t="shared" si="38"/>
        <v>2023</v>
      </c>
      <c r="G200" s="5" t="str">
        <f t="shared" si="39"/>
        <v>Q1-2023</v>
      </c>
      <c r="H200" s="5">
        <v>44978</v>
      </c>
      <c r="I200" s="5">
        <f>IF(H200&lt;B200, B200+7, H200)</f>
        <v>44978</v>
      </c>
      <c r="J200" s="5" t="str">
        <f>IF(H200&lt;B200, "Invalid","Okay")</f>
        <v>Okay</v>
      </c>
      <c r="K200" s="16">
        <f>I200-C200</f>
        <v>22</v>
      </c>
      <c r="L200" s="16" t="str">
        <f t="shared" si="40"/>
        <v>Target Not Met</v>
      </c>
      <c r="M200" s="2" t="s">
        <v>649</v>
      </c>
      <c r="N200" s="2" t="s">
        <v>656</v>
      </c>
      <c r="O200" s="2" t="s">
        <v>684</v>
      </c>
      <c r="P200" s="29" t="str">
        <f t="shared" si="41"/>
        <v>Europe→Germany→Munich</v>
      </c>
      <c r="Q200" s="2" t="s">
        <v>705</v>
      </c>
      <c r="R200" s="2" t="s">
        <v>709</v>
      </c>
      <c r="S200" s="2" t="s">
        <v>715</v>
      </c>
      <c r="T200" s="2" t="s">
        <v>729</v>
      </c>
      <c r="U200" t="e">
        <f>(AE200/#REF!)*100</f>
        <v>#REF!</v>
      </c>
      <c r="V200" s="2" t="s">
        <v>932</v>
      </c>
      <c r="W200" s="7">
        <v>1142.8800000000001</v>
      </c>
      <c r="X200" s="7">
        <v>1465.29</v>
      </c>
      <c r="Y200" s="7">
        <f t="shared" si="42"/>
        <v>1465.29</v>
      </c>
      <c r="Z200" s="7" t="str">
        <f t="shared" si="43"/>
        <v>Medium</v>
      </c>
      <c r="AA200" s="13">
        <v>0.186</v>
      </c>
      <c r="AB200" s="13">
        <f t="shared" si="44"/>
        <v>0.186</v>
      </c>
      <c r="AC200" s="13" t="str">
        <f t="shared" si="45"/>
        <v>OK</v>
      </c>
      <c r="AD200" s="7">
        <v>7</v>
      </c>
      <c r="AE200" s="7">
        <f>Y200*AD200*(1-AB200)</f>
        <v>8349.2224200000001</v>
      </c>
      <c r="AF200" s="7">
        <f>W200*AD200</f>
        <v>8000.1600000000008</v>
      </c>
      <c r="AG200" s="7">
        <f t="shared" si="46"/>
        <v>349.06241999999929</v>
      </c>
      <c r="AH200" s="13">
        <f t="shared" si="47"/>
        <v>4.1807775915017401E-2</v>
      </c>
    </row>
    <row r="201" spans="1:34" x14ac:dyDescent="0.35">
      <c r="A201" s="2" t="s">
        <v>213</v>
      </c>
      <c r="B201" s="5">
        <v>45030</v>
      </c>
      <c r="C201" s="5">
        <f>IF(H201&lt;B201,H201,B201)</f>
        <v>45030</v>
      </c>
      <c r="D201" s="5" t="str">
        <f t="shared" si="36"/>
        <v>Apr-2023</v>
      </c>
      <c r="E201" s="5" t="str">
        <f t="shared" si="37"/>
        <v>Apr</v>
      </c>
      <c r="F201" s="5" t="str">
        <f t="shared" si="38"/>
        <v>2023</v>
      </c>
      <c r="G201" s="5" t="str">
        <f t="shared" si="39"/>
        <v>Q2-2023</v>
      </c>
      <c r="H201" s="5">
        <v>45059</v>
      </c>
      <c r="I201" s="5">
        <f>IF(H201&lt;B201, B201+7, H201)</f>
        <v>45059</v>
      </c>
      <c r="J201" s="5" t="str">
        <f>IF(H201&lt;B201, "Invalid","Okay")</f>
        <v>Okay</v>
      </c>
      <c r="K201" s="16">
        <f>I201-C201</f>
        <v>29</v>
      </c>
      <c r="L201" s="16" t="str">
        <f t="shared" si="40"/>
        <v>Target Not Met</v>
      </c>
      <c r="M201" s="2" t="s">
        <v>649</v>
      </c>
      <c r="N201" s="2" t="s">
        <v>656</v>
      </c>
      <c r="O201" s="2" t="s">
        <v>698</v>
      </c>
      <c r="P201" s="29" t="str">
        <f t="shared" si="41"/>
        <v>Europe→Germany→Frankfurt</v>
      </c>
      <c r="Q201" s="2" t="s">
        <v>704</v>
      </c>
      <c r="R201" s="2" t="s">
        <v>711</v>
      </c>
      <c r="S201" s="2" t="s">
        <v>713</v>
      </c>
      <c r="T201" s="2" t="s">
        <v>728</v>
      </c>
      <c r="U201" t="e">
        <f>(AE201/#REF!)*100</f>
        <v>#REF!</v>
      </c>
      <c r="V201" s="2" t="s">
        <v>933</v>
      </c>
      <c r="W201" s="7">
        <v>1320.33</v>
      </c>
      <c r="X201" s="7">
        <v>2645.23</v>
      </c>
      <c r="Y201" s="7">
        <f t="shared" si="42"/>
        <v>2645.23</v>
      </c>
      <c r="Z201" s="7" t="str">
        <f t="shared" si="43"/>
        <v>High</v>
      </c>
      <c r="AA201" s="13">
        <v>0.155</v>
      </c>
      <c r="AB201" s="13">
        <f t="shared" si="44"/>
        <v>0.155</v>
      </c>
      <c r="AC201" s="13" t="str">
        <f t="shared" si="45"/>
        <v>OK</v>
      </c>
      <c r="AD201" s="7">
        <v>25</v>
      </c>
      <c r="AE201" s="7">
        <f>Y201*AD201*(1-AB201)</f>
        <v>55880.483749999999</v>
      </c>
      <c r="AF201" s="7">
        <f>W201*AD201</f>
        <v>33008.25</v>
      </c>
      <c r="AG201" s="7">
        <f t="shared" si="46"/>
        <v>22872.233749999999</v>
      </c>
      <c r="AH201" s="13">
        <f t="shared" si="47"/>
        <v>0.40930629470436536</v>
      </c>
    </row>
    <row r="202" spans="1:34" x14ac:dyDescent="0.35">
      <c r="A202" s="2" t="s">
        <v>214</v>
      </c>
      <c r="B202" s="5">
        <v>44939</v>
      </c>
      <c r="C202" s="5">
        <f>IF(H202&lt;B202,H202,B202)</f>
        <v>44939</v>
      </c>
      <c r="D202" s="5" t="str">
        <f t="shared" si="36"/>
        <v>Jan-2023</v>
      </c>
      <c r="E202" s="5" t="str">
        <f t="shared" si="37"/>
        <v>Jan</v>
      </c>
      <c r="F202" s="5" t="str">
        <f t="shared" si="38"/>
        <v>2023</v>
      </c>
      <c r="G202" s="5" t="str">
        <f t="shared" si="39"/>
        <v>Q1-2023</v>
      </c>
      <c r="H202" s="5">
        <v>44945</v>
      </c>
      <c r="I202" s="5">
        <f>IF(H202&lt;B202, B202+7, H202)</f>
        <v>44945</v>
      </c>
      <c r="J202" s="5" t="str">
        <f>IF(H202&lt;B202, "Invalid","Okay")</f>
        <v>Okay</v>
      </c>
      <c r="K202" s="16">
        <f>I202-C202</f>
        <v>6</v>
      </c>
      <c r="L202" s="16" t="str">
        <f t="shared" si="40"/>
        <v>Target Met</v>
      </c>
      <c r="M202" s="2" t="s">
        <v>648</v>
      </c>
      <c r="N202" s="2" t="s">
        <v>660</v>
      </c>
      <c r="O202" s="2" t="s">
        <v>677</v>
      </c>
      <c r="P202" s="29" t="str">
        <f t="shared" si="41"/>
        <v>Americas→USA→Chicago</v>
      </c>
      <c r="Q202" s="2" t="s">
        <v>701</v>
      </c>
      <c r="R202" s="2" t="s">
        <v>711</v>
      </c>
      <c r="S202" s="2" t="s">
        <v>722</v>
      </c>
      <c r="T202" s="2" t="s">
        <v>730</v>
      </c>
      <c r="U202" t="e">
        <f>(AE202/#REF!)*100</f>
        <v>#REF!</v>
      </c>
      <c r="V202" s="2" t="s">
        <v>934</v>
      </c>
      <c r="W202" s="7">
        <v>833.57</v>
      </c>
      <c r="X202" s="7">
        <v>881.57</v>
      </c>
      <c r="Y202" s="7">
        <f t="shared" si="42"/>
        <v>881.57</v>
      </c>
      <c r="Z202" s="7" t="str">
        <f t="shared" si="43"/>
        <v>Low</v>
      </c>
      <c r="AA202" s="13">
        <v>5.7000000000000002E-2</v>
      </c>
      <c r="AB202" s="13">
        <f t="shared" si="44"/>
        <v>5.7000000000000002E-2</v>
      </c>
      <c r="AC202" s="13" t="str">
        <f t="shared" si="45"/>
        <v>OK</v>
      </c>
      <c r="AD202" s="7">
        <v>18</v>
      </c>
      <c r="AE202" s="7">
        <f>Y202*AD202*(1-AB202)</f>
        <v>14963.769179999999</v>
      </c>
      <c r="AF202" s="7">
        <f>W202*AD202</f>
        <v>15004.26</v>
      </c>
      <c r="AG202" s="7">
        <f t="shared" si="46"/>
        <v>-40.490820000000895</v>
      </c>
      <c r="AH202" s="13">
        <f t="shared" si="47"/>
        <v>-2.7059238560107821E-3</v>
      </c>
    </row>
    <row r="203" spans="1:34" x14ac:dyDescent="0.35">
      <c r="A203" s="2" t="s">
        <v>215</v>
      </c>
      <c r="B203" s="5">
        <v>45303</v>
      </c>
      <c r="C203" s="5">
        <f>IF(H203&lt;B203,H203,B203)</f>
        <v>45303</v>
      </c>
      <c r="D203" s="5" t="str">
        <f t="shared" si="36"/>
        <v>Jan-2024</v>
      </c>
      <c r="E203" s="5" t="str">
        <f t="shared" si="37"/>
        <v>Jan</v>
      </c>
      <c r="F203" s="5" t="str">
        <f t="shared" si="38"/>
        <v>2024</v>
      </c>
      <c r="G203" s="5" t="str">
        <f t="shared" si="39"/>
        <v>Q1-2024</v>
      </c>
      <c r="H203" s="5">
        <v>45320</v>
      </c>
      <c r="I203" s="5">
        <f>IF(H203&lt;B203, B203+7, H203)</f>
        <v>45320</v>
      </c>
      <c r="J203" s="5" t="str">
        <f>IF(H203&lt;B203, "Invalid","Okay")</f>
        <v>Okay</v>
      </c>
      <c r="K203" s="16">
        <f>I203-C203</f>
        <v>17</v>
      </c>
      <c r="L203" s="16" t="str">
        <f t="shared" si="40"/>
        <v>Target Not Met</v>
      </c>
      <c r="M203" s="2" t="s">
        <v>648</v>
      </c>
      <c r="N203" s="2" t="s">
        <v>660</v>
      </c>
      <c r="O203" s="2" t="s">
        <v>677</v>
      </c>
      <c r="P203" s="29" t="str">
        <f t="shared" si="41"/>
        <v>Americas→USA→Chicago</v>
      </c>
      <c r="Q203" s="2" t="s">
        <v>702</v>
      </c>
      <c r="R203" s="2" t="s">
        <v>710</v>
      </c>
      <c r="S203" s="2" t="s">
        <v>720</v>
      </c>
      <c r="T203" s="2" t="s">
        <v>728</v>
      </c>
      <c r="U203" t="e">
        <f>(AE203/#REF!)*100</f>
        <v>#REF!</v>
      </c>
      <c r="V203" s="2" t="s">
        <v>935</v>
      </c>
      <c r="W203" s="7">
        <v>493.76</v>
      </c>
      <c r="X203" s="7">
        <v>625.04</v>
      </c>
      <c r="Y203" s="7">
        <f t="shared" si="42"/>
        <v>625.04</v>
      </c>
      <c r="Z203" s="7" t="str">
        <f t="shared" si="43"/>
        <v>Low</v>
      </c>
      <c r="AA203" s="13">
        <v>0.25800000000000001</v>
      </c>
      <c r="AB203" s="13">
        <f t="shared" si="44"/>
        <v>0.25800000000000001</v>
      </c>
      <c r="AC203" s="13" t="str">
        <f t="shared" si="45"/>
        <v>OK</v>
      </c>
      <c r="AD203" s="7">
        <v>10</v>
      </c>
      <c r="AE203" s="7">
        <f>Y203*AD203*(1-AB203)</f>
        <v>4637.7968000000001</v>
      </c>
      <c r="AF203" s="7">
        <f>W203*AD203</f>
        <v>4937.6000000000004</v>
      </c>
      <c r="AG203" s="7">
        <f t="shared" si="46"/>
        <v>-299.80320000000029</v>
      </c>
      <c r="AH203" s="13">
        <f t="shared" si="47"/>
        <v>-6.464345311549663E-2</v>
      </c>
    </row>
    <row r="204" spans="1:34" x14ac:dyDescent="0.35">
      <c r="A204" s="2" t="s">
        <v>216</v>
      </c>
      <c r="B204" s="5">
        <v>45153</v>
      </c>
      <c r="C204" s="5">
        <f>IF(H204&lt;B204,H204,B204)</f>
        <v>45153</v>
      </c>
      <c r="D204" s="5" t="str">
        <f t="shared" si="36"/>
        <v>Aug-2023</v>
      </c>
      <c r="E204" s="5" t="str">
        <f t="shared" si="37"/>
        <v>Aug</v>
      </c>
      <c r="F204" s="5" t="str">
        <f t="shared" si="38"/>
        <v>2023</v>
      </c>
      <c r="G204" s="5" t="str">
        <f t="shared" si="39"/>
        <v>Q3-2023</v>
      </c>
      <c r="H204" s="5">
        <v>45176</v>
      </c>
      <c r="I204" s="5">
        <f>IF(H204&lt;B204, B204+7, H204)</f>
        <v>45176</v>
      </c>
      <c r="J204" s="5" t="str">
        <f>IF(H204&lt;B204, "Invalid","Okay")</f>
        <v>Okay</v>
      </c>
      <c r="K204" s="16">
        <f>I204-C204</f>
        <v>23</v>
      </c>
      <c r="L204" s="16" t="str">
        <f t="shared" si="40"/>
        <v>Target Not Met</v>
      </c>
      <c r="M204" s="2" t="s">
        <v>648</v>
      </c>
      <c r="N204" s="2" t="s">
        <v>660</v>
      </c>
      <c r="O204" s="2" t="s">
        <v>700</v>
      </c>
      <c r="P204" s="29" t="str">
        <f t="shared" si="41"/>
        <v>Americas→USA→New York</v>
      </c>
      <c r="Q204" s="2" t="s">
        <v>706</v>
      </c>
      <c r="R204" s="2" t="s">
        <v>708</v>
      </c>
      <c r="S204" s="2" t="s">
        <v>723</v>
      </c>
      <c r="T204" s="2" t="s">
        <v>730</v>
      </c>
      <c r="U204" t="e">
        <f>(AE204/#REF!)*100</f>
        <v>#REF!</v>
      </c>
      <c r="V204" s="2" t="s">
        <v>936</v>
      </c>
      <c r="W204" s="7">
        <v>590.33000000000004</v>
      </c>
      <c r="X204" s="7">
        <v>973.04</v>
      </c>
      <c r="Y204" s="7">
        <f t="shared" si="42"/>
        <v>973.04</v>
      </c>
      <c r="Z204" s="7" t="str">
        <f t="shared" si="43"/>
        <v>Low</v>
      </c>
      <c r="AA204" s="13">
        <v>0</v>
      </c>
      <c r="AB204" s="13">
        <f t="shared" si="44"/>
        <v>0</v>
      </c>
      <c r="AC204" s="13" t="str">
        <f t="shared" si="45"/>
        <v>OK</v>
      </c>
      <c r="AD204" s="7">
        <v>26</v>
      </c>
      <c r="AE204" s="7">
        <f>Y204*AD204*(1-AB204)</f>
        <v>25299.040000000001</v>
      </c>
      <c r="AF204" s="7">
        <f>W204*AD204</f>
        <v>15348.580000000002</v>
      </c>
      <c r="AG204" s="7">
        <f t="shared" si="46"/>
        <v>9950.4599999999991</v>
      </c>
      <c r="AH204" s="13">
        <f t="shared" si="47"/>
        <v>0.39331373838691108</v>
      </c>
    </row>
    <row r="205" spans="1:34" x14ac:dyDescent="0.35">
      <c r="A205" s="2" t="s">
        <v>217</v>
      </c>
      <c r="B205" s="5">
        <v>44946</v>
      </c>
      <c r="C205" s="5">
        <f>IF(H205&lt;B205,H205,B205)</f>
        <v>44946</v>
      </c>
      <c r="D205" s="5" t="str">
        <f t="shared" si="36"/>
        <v>Jan-2023</v>
      </c>
      <c r="E205" s="5" t="str">
        <f t="shared" si="37"/>
        <v>Jan</v>
      </c>
      <c r="F205" s="5" t="str">
        <f t="shared" si="38"/>
        <v>2023</v>
      </c>
      <c r="G205" s="5" t="str">
        <f t="shared" si="39"/>
        <v>Q1-2023</v>
      </c>
      <c r="H205" s="5">
        <v>44960</v>
      </c>
      <c r="I205" s="5">
        <f>IF(H205&lt;B205, B205+7, H205)</f>
        <v>44960</v>
      </c>
      <c r="J205" s="5" t="str">
        <f>IF(H205&lt;B205, "Invalid","Okay")</f>
        <v>Okay</v>
      </c>
      <c r="K205" s="16">
        <f>I205-C205</f>
        <v>14</v>
      </c>
      <c r="L205" s="16" t="str">
        <f t="shared" si="40"/>
        <v>Target Not Met</v>
      </c>
      <c r="M205" s="2" t="s">
        <v>646</v>
      </c>
      <c r="N205" s="2" t="s">
        <v>650</v>
      </c>
      <c r="O205" s="2" t="s">
        <v>662</v>
      </c>
      <c r="P205" s="29" t="str">
        <f t="shared" si="41"/>
        <v>Africa→Kenya→Kisumu</v>
      </c>
      <c r="Q205" s="2" t="s">
        <v>701</v>
      </c>
      <c r="R205" s="2" t="s">
        <v>707</v>
      </c>
      <c r="S205" s="2" t="s">
        <v>724</v>
      </c>
      <c r="T205" s="2" t="s">
        <v>729</v>
      </c>
      <c r="U205" t="e">
        <f>(AE205/#REF!)*100</f>
        <v>#REF!</v>
      </c>
      <c r="V205" s="2" t="s">
        <v>937</v>
      </c>
      <c r="W205" s="7">
        <v>884.36</v>
      </c>
      <c r="X205" s="7">
        <v>1545.34</v>
      </c>
      <c r="Y205" s="7">
        <f t="shared" si="42"/>
        <v>1545.34</v>
      </c>
      <c r="Z205" s="7" t="str">
        <f t="shared" si="43"/>
        <v>Medium</v>
      </c>
      <c r="AA205" s="13">
        <v>0.24299999999999999</v>
      </c>
      <c r="AB205" s="13">
        <f t="shared" si="44"/>
        <v>0.24299999999999999</v>
      </c>
      <c r="AC205" s="13" t="str">
        <f t="shared" si="45"/>
        <v>OK</v>
      </c>
      <c r="AD205" s="7">
        <v>41</v>
      </c>
      <c r="AE205" s="7">
        <f>Y205*AD205*(1-AB205)</f>
        <v>47962.717579999997</v>
      </c>
      <c r="AF205" s="7">
        <f>W205*AD205</f>
        <v>36258.76</v>
      </c>
      <c r="AG205" s="7">
        <f t="shared" si="46"/>
        <v>11703.957579999995</v>
      </c>
      <c r="AH205" s="13">
        <f t="shared" si="47"/>
        <v>0.24402198562827965</v>
      </c>
    </row>
    <row r="206" spans="1:34" x14ac:dyDescent="0.35">
      <c r="A206" s="2" t="s">
        <v>218</v>
      </c>
      <c r="B206" s="5">
        <v>45692</v>
      </c>
      <c r="C206" s="5">
        <f>IF(H206&lt;B206,H206,B206)</f>
        <v>45692</v>
      </c>
      <c r="D206" s="5" t="str">
        <f t="shared" si="36"/>
        <v>Feb-2025</v>
      </c>
      <c r="E206" s="5" t="str">
        <f t="shared" si="37"/>
        <v>Feb</v>
      </c>
      <c r="F206" s="5" t="str">
        <f t="shared" si="38"/>
        <v>2025</v>
      </c>
      <c r="G206" s="5" t="str">
        <f t="shared" si="39"/>
        <v>Q1-2025</v>
      </c>
      <c r="H206" s="5">
        <v>45713</v>
      </c>
      <c r="I206" s="5">
        <f>IF(H206&lt;B206, B206+7, H206)</f>
        <v>45713</v>
      </c>
      <c r="J206" s="5" t="str">
        <f>IF(H206&lt;B206, "Invalid","Okay")</f>
        <v>Okay</v>
      </c>
      <c r="K206" s="16">
        <f>I206-C206</f>
        <v>21</v>
      </c>
      <c r="L206" s="16" t="str">
        <f t="shared" si="40"/>
        <v>Target Not Met</v>
      </c>
      <c r="M206" s="2" t="s">
        <v>649</v>
      </c>
      <c r="N206" s="2" t="s">
        <v>658</v>
      </c>
      <c r="O206" s="2" t="s">
        <v>674</v>
      </c>
      <c r="P206" s="29" t="str">
        <f t="shared" si="41"/>
        <v>Europe→United Kingdom→Birmingham</v>
      </c>
      <c r="Q206" s="2" t="s">
        <v>701</v>
      </c>
      <c r="R206" s="2" t="s">
        <v>709</v>
      </c>
      <c r="S206" s="2" t="s">
        <v>726</v>
      </c>
      <c r="T206" s="2" t="s">
        <v>732</v>
      </c>
      <c r="U206" t="e">
        <f>(AE206/#REF!)*100</f>
        <v>#REF!</v>
      </c>
      <c r="V206" s="2" t="s">
        <v>938</v>
      </c>
      <c r="W206" s="7">
        <v>1016.32</v>
      </c>
      <c r="X206" s="7">
        <v>2253.42</v>
      </c>
      <c r="Y206" s="7">
        <f t="shared" si="42"/>
        <v>2253.42</v>
      </c>
      <c r="Z206" s="7" t="str">
        <f t="shared" si="43"/>
        <v>High</v>
      </c>
      <c r="AA206" s="13">
        <v>5.5E-2</v>
      </c>
      <c r="AB206" s="13">
        <f t="shared" si="44"/>
        <v>5.5E-2</v>
      </c>
      <c r="AC206" s="13" t="str">
        <f t="shared" si="45"/>
        <v>OK</v>
      </c>
      <c r="AD206" s="7">
        <v>12</v>
      </c>
      <c r="AE206" s="7">
        <f>Y206*AD206*(1-AB206)</f>
        <v>25553.782800000001</v>
      </c>
      <c r="AF206" s="7">
        <f>W206*AD206</f>
        <v>12195.84</v>
      </c>
      <c r="AG206" s="7">
        <f t="shared" si="46"/>
        <v>13357.942800000001</v>
      </c>
      <c r="AH206" s="13">
        <f t="shared" si="47"/>
        <v>0.52273837124419797</v>
      </c>
    </row>
    <row r="207" spans="1:34" x14ac:dyDescent="0.35">
      <c r="A207" s="2" t="s">
        <v>219</v>
      </c>
      <c r="B207" s="5">
        <v>45035</v>
      </c>
      <c r="C207" s="5">
        <f>IF(H207&lt;B207,H207,B207)</f>
        <v>45035</v>
      </c>
      <c r="D207" s="5" t="str">
        <f t="shared" si="36"/>
        <v>Apr-2023</v>
      </c>
      <c r="E207" s="5" t="str">
        <f t="shared" si="37"/>
        <v>Apr</v>
      </c>
      <c r="F207" s="5" t="str">
        <f t="shared" si="38"/>
        <v>2023</v>
      </c>
      <c r="G207" s="5" t="str">
        <f t="shared" si="39"/>
        <v>Q2-2023</v>
      </c>
      <c r="H207" s="5">
        <v>45044</v>
      </c>
      <c r="I207" s="5">
        <f>IF(H207&lt;B207, B207+7, H207)</f>
        <v>45044</v>
      </c>
      <c r="J207" s="5" t="str">
        <f>IF(H207&lt;B207, "Invalid","Okay")</f>
        <v>Okay</v>
      </c>
      <c r="K207" s="16">
        <f>I207-C207</f>
        <v>9</v>
      </c>
      <c r="L207" s="16" t="str">
        <f t="shared" si="40"/>
        <v>Target Not Met</v>
      </c>
      <c r="M207" s="2" t="s">
        <v>649</v>
      </c>
      <c r="N207" s="2" t="s">
        <v>656</v>
      </c>
      <c r="O207" s="2" t="s">
        <v>671</v>
      </c>
      <c r="P207" s="29" t="str">
        <f t="shared" si="41"/>
        <v>Europe→Germany→Berlin</v>
      </c>
      <c r="Q207" s="2" t="s">
        <v>702</v>
      </c>
      <c r="R207" s="2" t="s">
        <v>708</v>
      </c>
      <c r="S207" s="2" t="s">
        <v>718</v>
      </c>
      <c r="T207" s="2" t="s">
        <v>732</v>
      </c>
      <c r="U207" t="e">
        <f>(AE207/#REF!)*100</f>
        <v>#REF!</v>
      </c>
      <c r="V207" s="2" t="s">
        <v>939</v>
      </c>
      <c r="W207" s="7">
        <v>1178.42</v>
      </c>
      <c r="X207" s="7">
        <v>2446.56</v>
      </c>
      <c r="Y207" s="7">
        <f t="shared" si="42"/>
        <v>2446.56</v>
      </c>
      <c r="Z207" s="7" t="str">
        <f t="shared" si="43"/>
        <v>High</v>
      </c>
      <c r="AA207" s="13">
        <v>2.9000000000000001E-2</v>
      </c>
      <c r="AB207" s="13">
        <f t="shared" si="44"/>
        <v>2.9000000000000001E-2</v>
      </c>
      <c r="AC207" s="13" t="str">
        <f t="shared" si="45"/>
        <v>OK</v>
      </c>
      <c r="AD207" s="7">
        <v>11</v>
      </c>
      <c r="AE207" s="7">
        <f>Y207*AD207*(1-AB207)</f>
        <v>26131.70736</v>
      </c>
      <c r="AF207" s="7">
        <f>W207*AD207</f>
        <v>12962.62</v>
      </c>
      <c r="AG207" s="7">
        <f t="shared" si="46"/>
        <v>13169.08736</v>
      </c>
      <c r="AH207" s="13">
        <f t="shared" si="47"/>
        <v>0.5039505141618883</v>
      </c>
    </row>
    <row r="208" spans="1:34" x14ac:dyDescent="0.35">
      <c r="A208" s="2" t="s">
        <v>220</v>
      </c>
      <c r="B208" s="5">
        <v>45109</v>
      </c>
      <c r="C208" s="5">
        <f>IF(H208&lt;B208,H208,B208)</f>
        <v>45109</v>
      </c>
      <c r="D208" s="5" t="str">
        <f t="shared" si="36"/>
        <v>Jul-2023</v>
      </c>
      <c r="E208" s="5" t="str">
        <f t="shared" si="37"/>
        <v>Jul</v>
      </c>
      <c r="F208" s="5" t="str">
        <f t="shared" si="38"/>
        <v>2023</v>
      </c>
      <c r="G208" s="5" t="str">
        <f t="shared" si="39"/>
        <v>Q3-2023</v>
      </c>
      <c r="H208" s="5">
        <v>45139</v>
      </c>
      <c r="I208" s="5">
        <f>IF(H208&lt;B208, B208+7, H208)</f>
        <v>45139</v>
      </c>
      <c r="J208" s="5" t="str">
        <f>IF(H208&lt;B208, "Invalid","Okay")</f>
        <v>Okay</v>
      </c>
      <c r="K208" s="16">
        <f>I208-C208</f>
        <v>30</v>
      </c>
      <c r="L208" s="16" t="str">
        <f t="shared" si="40"/>
        <v>Target Not Met</v>
      </c>
      <c r="M208" s="2" t="s">
        <v>649</v>
      </c>
      <c r="N208" s="2" t="s">
        <v>658</v>
      </c>
      <c r="O208" s="2" t="s">
        <v>674</v>
      </c>
      <c r="P208" s="29" t="str">
        <f t="shared" si="41"/>
        <v>Europe→United Kingdom→Birmingham</v>
      </c>
      <c r="Q208" s="2" t="s">
        <v>705</v>
      </c>
      <c r="R208" s="2" t="s">
        <v>707</v>
      </c>
      <c r="S208" s="2" t="s">
        <v>717</v>
      </c>
      <c r="T208" s="2" t="s">
        <v>727</v>
      </c>
      <c r="U208" t="e">
        <f>(AE208/#REF!)*100</f>
        <v>#REF!</v>
      </c>
      <c r="V208" s="2" t="s">
        <v>940</v>
      </c>
      <c r="W208" s="7">
        <v>137.46</v>
      </c>
      <c r="X208" s="7">
        <v>188.3</v>
      </c>
      <c r="Y208" s="7">
        <f t="shared" si="42"/>
        <v>188.3</v>
      </c>
      <c r="Z208" s="7" t="str">
        <f t="shared" si="43"/>
        <v>Low</v>
      </c>
      <c r="AA208" s="13">
        <v>3.7999999999999999E-2</v>
      </c>
      <c r="AB208" s="13">
        <f t="shared" si="44"/>
        <v>3.7999999999999999E-2</v>
      </c>
      <c r="AC208" s="13" t="str">
        <f t="shared" si="45"/>
        <v>OK</v>
      </c>
      <c r="AD208" s="7">
        <v>37</v>
      </c>
      <c r="AE208" s="7">
        <f>Y208*AD208*(1-AB208)</f>
        <v>6702.3501999999999</v>
      </c>
      <c r="AF208" s="7">
        <f>W208*AD208</f>
        <v>5086.0200000000004</v>
      </c>
      <c r="AG208" s="7">
        <f t="shared" si="46"/>
        <v>1616.3301999999994</v>
      </c>
      <c r="AH208" s="13">
        <f t="shared" si="47"/>
        <v>0.24115872071262398</v>
      </c>
    </row>
    <row r="209" spans="1:34" x14ac:dyDescent="0.35">
      <c r="A209" s="2" t="s">
        <v>221</v>
      </c>
      <c r="B209" s="5">
        <v>45678</v>
      </c>
      <c r="C209" s="5">
        <f>IF(H209&lt;B209,H209,B209)</f>
        <v>45678</v>
      </c>
      <c r="D209" s="5" t="str">
        <f t="shared" si="36"/>
        <v>Jan-2025</v>
      </c>
      <c r="E209" s="5" t="str">
        <f t="shared" si="37"/>
        <v>Jan</v>
      </c>
      <c r="F209" s="5" t="str">
        <f t="shared" si="38"/>
        <v>2025</v>
      </c>
      <c r="G209" s="5" t="str">
        <f t="shared" si="39"/>
        <v>Q1-2025</v>
      </c>
      <c r="H209" s="5">
        <v>45702</v>
      </c>
      <c r="I209" s="5">
        <f>IF(H209&lt;B209, B209+7, H209)</f>
        <v>45702</v>
      </c>
      <c r="J209" s="5" t="str">
        <f>IF(H209&lt;B209, "Invalid","Okay")</f>
        <v>Okay</v>
      </c>
      <c r="K209" s="16">
        <f>I209-C209</f>
        <v>24</v>
      </c>
      <c r="L209" s="16" t="str">
        <f t="shared" si="40"/>
        <v>Target Not Met</v>
      </c>
      <c r="M209" s="2" t="s">
        <v>646</v>
      </c>
      <c r="N209" s="2" t="s">
        <v>650</v>
      </c>
      <c r="O209" s="2" t="s">
        <v>664</v>
      </c>
      <c r="P209" s="29" t="str">
        <f t="shared" si="41"/>
        <v>Africa→Kenya→Nairobi</v>
      </c>
      <c r="Q209" s="2" t="s">
        <v>705</v>
      </c>
      <c r="R209" s="2" t="s">
        <v>707</v>
      </c>
      <c r="S209" s="2" t="s">
        <v>713</v>
      </c>
      <c r="T209" s="2" t="s">
        <v>733</v>
      </c>
      <c r="U209" t="e">
        <f>(AE209/#REF!)*100</f>
        <v>#REF!</v>
      </c>
      <c r="V209" s="2" t="s">
        <v>941</v>
      </c>
      <c r="W209" s="7">
        <v>1030.44</v>
      </c>
      <c r="X209" s="7">
        <v>2562.84</v>
      </c>
      <c r="Y209" s="7">
        <f t="shared" si="42"/>
        <v>2562.84</v>
      </c>
      <c r="Z209" s="7" t="str">
        <f t="shared" si="43"/>
        <v>High</v>
      </c>
      <c r="AA209" s="13">
        <v>0.14799999999999999</v>
      </c>
      <c r="AB209" s="13">
        <f t="shared" si="44"/>
        <v>0.14799999999999999</v>
      </c>
      <c r="AC209" s="13" t="str">
        <f t="shared" si="45"/>
        <v>OK</v>
      </c>
      <c r="AD209" s="7">
        <v>13</v>
      </c>
      <c r="AE209" s="7">
        <f>Y209*AD209*(1-AB209)</f>
        <v>28386.015839999996</v>
      </c>
      <c r="AF209" s="7">
        <f>W209*AD209</f>
        <v>13395.720000000001</v>
      </c>
      <c r="AG209" s="7">
        <f t="shared" si="46"/>
        <v>14990.295839999995</v>
      </c>
      <c r="AH209" s="13">
        <f t="shared" si="47"/>
        <v>0.52808734852027039</v>
      </c>
    </row>
    <row r="210" spans="1:34" x14ac:dyDescent="0.35">
      <c r="A210" s="2" t="s">
        <v>222</v>
      </c>
      <c r="B210" s="5">
        <v>45545</v>
      </c>
      <c r="C210" s="5">
        <f>IF(H210&lt;B210,H210,B210)</f>
        <v>45545</v>
      </c>
      <c r="D210" s="5" t="str">
        <f t="shared" si="36"/>
        <v>Sep-2024</v>
      </c>
      <c r="E210" s="5" t="str">
        <f t="shared" si="37"/>
        <v>Sep</v>
      </c>
      <c r="F210" s="5" t="str">
        <f t="shared" si="38"/>
        <v>2024</v>
      </c>
      <c r="G210" s="5" t="str">
        <f t="shared" si="39"/>
        <v>Q3-2024</v>
      </c>
      <c r="H210" s="5">
        <v>45572</v>
      </c>
      <c r="I210" s="5">
        <f>IF(H210&lt;B210, B210+7, H210)</f>
        <v>45572</v>
      </c>
      <c r="J210" s="5" t="str">
        <f>IF(H210&lt;B210, "Invalid","Okay")</f>
        <v>Okay</v>
      </c>
      <c r="K210" s="16">
        <f>I210-C210</f>
        <v>27</v>
      </c>
      <c r="L210" s="16" t="str">
        <f t="shared" si="40"/>
        <v>Target Not Met</v>
      </c>
      <c r="M210" s="2" t="s">
        <v>646</v>
      </c>
      <c r="N210" s="2" t="s">
        <v>650</v>
      </c>
      <c r="O210" s="2" t="s">
        <v>662</v>
      </c>
      <c r="P210" s="29" t="str">
        <f t="shared" si="41"/>
        <v>Africa→Kenya→Kisumu</v>
      </c>
      <c r="Q210" s="2" t="s">
        <v>704</v>
      </c>
      <c r="R210" s="2" t="s">
        <v>707</v>
      </c>
      <c r="S210" s="2" t="s">
        <v>716</v>
      </c>
      <c r="T210" s="2" t="s">
        <v>728</v>
      </c>
      <c r="U210" t="e">
        <f>(AE210/#REF!)*100</f>
        <v>#REF!</v>
      </c>
      <c r="V210" s="2" t="s">
        <v>942</v>
      </c>
      <c r="W210" s="7">
        <v>1248.3900000000001</v>
      </c>
      <c r="X210" s="7">
        <v>1805.11</v>
      </c>
      <c r="Y210" s="7">
        <f t="shared" si="42"/>
        <v>1805.11</v>
      </c>
      <c r="Z210" s="7" t="str">
        <f t="shared" si="43"/>
        <v>Medium</v>
      </c>
      <c r="AA210" s="13">
        <v>0.20300000000000001</v>
      </c>
      <c r="AB210" s="13">
        <f t="shared" si="44"/>
        <v>0.20300000000000001</v>
      </c>
      <c r="AC210" s="13" t="str">
        <f t="shared" si="45"/>
        <v>OK</v>
      </c>
      <c r="AD210" s="7">
        <v>11</v>
      </c>
      <c r="AE210" s="7">
        <f>Y210*AD210*(1-AB210)</f>
        <v>15825.399369999997</v>
      </c>
      <c r="AF210" s="7">
        <f>W210*AD210</f>
        <v>13732.29</v>
      </c>
      <c r="AG210" s="7">
        <f t="shared" si="46"/>
        <v>2093.1093699999965</v>
      </c>
      <c r="AH210" s="13">
        <f t="shared" si="47"/>
        <v>0.13226265707820786</v>
      </c>
    </row>
    <row r="211" spans="1:34" x14ac:dyDescent="0.35">
      <c r="A211" s="2" t="s">
        <v>223</v>
      </c>
      <c r="B211" s="5">
        <v>45859</v>
      </c>
      <c r="C211" s="5">
        <f>IF(H211&lt;B211,H211,B211)</f>
        <v>45859</v>
      </c>
      <c r="D211" s="5" t="str">
        <f t="shared" si="36"/>
        <v>Jul-2025</v>
      </c>
      <c r="E211" s="5" t="str">
        <f t="shared" si="37"/>
        <v>Jul</v>
      </c>
      <c r="F211" s="5" t="str">
        <f t="shared" si="38"/>
        <v>2025</v>
      </c>
      <c r="G211" s="5" t="str">
        <f t="shared" si="39"/>
        <v>Q3-2025</v>
      </c>
      <c r="H211" s="5">
        <v>45876</v>
      </c>
      <c r="I211" s="5">
        <f>IF(H211&lt;B211, B211+7, H211)</f>
        <v>45876</v>
      </c>
      <c r="J211" s="5" t="str">
        <f>IF(H211&lt;B211, "Invalid","Okay")</f>
        <v>Okay</v>
      </c>
      <c r="K211" s="16">
        <f>I211-C211</f>
        <v>17</v>
      </c>
      <c r="L211" s="16" t="str">
        <f t="shared" si="40"/>
        <v>Target Not Met</v>
      </c>
      <c r="M211" s="2" t="s">
        <v>646</v>
      </c>
      <c r="N211" s="2" t="s">
        <v>651</v>
      </c>
      <c r="O211" s="2" t="s">
        <v>665</v>
      </c>
      <c r="P211" s="29" t="str">
        <f t="shared" si="41"/>
        <v>Africa→Nigeria→Lagos</v>
      </c>
      <c r="Q211" s="2" t="s">
        <v>706</v>
      </c>
      <c r="R211" s="2" t="s">
        <v>711</v>
      </c>
      <c r="S211" s="2" t="s">
        <v>724</v>
      </c>
      <c r="T211" s="2" t="s">
        <v>733</v>
      </c>
      <c r="U211" t="e">
        <f>(AE211/#REF!)*100</f>
        <v>#REF!</v>
      </c>
      <c r="V211" s="2" t="s">
        <v>943</v>
      </c>
      <c r="W211" s="7">
        <v>1204.95</v>
      </c>
      <c r="X211" s="7">
        <v>2065.73</v>
      </c>
      <c r="Y211" s="7">
        <f t="shared" si="42"/>
        <v>2065.73</v>
      </c>
      <c r="Z211" s="7" t="str">
        <f t="shared" si="43"/>
        <v>High</v>
      </c>
      <c r="AA211" s="13">
        <v>0.13600000000000001</v>
      </c>
      <c r="AB211" s="13">
        <f t="shared" si="44"/>
        <v>0.13600000000000001</v>
      </c>
      <c r="AC211" s="13" t="str">
        <f t="shared" si="45"/>
        <v>OK</v>
      </c>
      <c r="AD211" s="7">
        <v>10</v>
      </c>
      <c r="AE211" s="7">
        <f>Y211*AD211*(1-AB211)</f>
        <v>17847.907199999998</v>
      </c>
      <c r="AF211" s="7">
        <f>W211*AD211</f>
        <v>12049.5</v>
      </c>
      <c r="AG211" s="7">
        <f t="shared" si="46"/>
        <v>5798.4071999999978</v>
      </c>
      <c r="AH211" s="13">
        <f t="shared" si="47"/>
        <v>0.32487882949100039</v>
      </c>
    </row>
    <row r="212" spans="1:34" x14ac:dyDescent="0.35">
      <c r="A212" s="2" t="s">
        <v>224</v>
      </c>
      <c r="B212" s="5">
        <v>45567</v>
      </c>
      <c r="C212" s="5">
        <f>IF(H212&lt;B212,H212,B212)</f>
        <v>45567</v>
      </c>
      <c r="D212" s="5" t="str">
        <f t="shared" si="36"/>
        <v>Oct-2024</v>
      </c>
      <c r="E212" s="5" t="str">
        <f t="shared" si="37"/>
        <v>Oct</v>
      </c>
      <c r="F212" s="5" t="str">
        <f t="shared" si="38"/>
        <v>2024</v>
      </c>
      <c r="G212" s="5" t="str">
        <f t="shared" si="39"/>
        <v>Q4-2024</v>
      </c>
      <c r="H212" s="5">
        <v>45588</v>
      </c>
      <c r="I212" s="5">
        <f>IF(H212&lt;B212, B212+7, H212)</f>
        <v>45588</v>
      </c>
      <c r="J212" s="5" t="str">
        <f>IF(H212&lt;B212, "Invalid","Okay")</f>
        <v>Okay</v>
      </c>
      <c r="K212" s="16">
        <f>I212-C212</f>
        <v>21</v>
      </c>
      <c r="L212" s="16" t="str">
        <f t="shared" si="40"/>
        <v>Target Not Met</v>
      </c>
      <c r="M212" s="2" t="s">
        <v>646</v>
      </c>
      <c r="N212" s="2" t="s">
        <v>661</v>
      </c>
      <c r="O212" s="2" t="s">
        <v>687</v>
      </c>
      <c r="P212" s="29" t="str">
        <f t="shared" si="41"/>
        <v>Africa→South Africa→Durban</v>
      </c>
      <c r="Q212" s="2" t="s">
        <v>701</v>
      </c>
      <c r="R212" s="2" t="s">
        <v>709</v>
      </c>
      <c r="S212" s="2" t="s">
        <v>720</v>
      </c>
      <c r="T212" s="2" t="s">
        <v>727</v>
      </c>
      <c r="U212" t="e">
        <f>(AE212/#REF!)*100</f>
        <v>#REF!</v>
      </c>
      <c r="V212" s="2" t="s">
        <v>944</v>
      </c>
      <c r="W212" s="7">
        <v>1095.6099999999999</v>
      </c>
      <c r="X212" s="7">
        <v>2366.5100000000002</v>
      </c>
      <c r="Y212" s="7">
        <f t="shared" si="42"/>
        <v>2366.5100000000002</v>
      </c>
      <c r="Z212" s="7" t="str">
        <f t="shared" si="43"/>
        <v>High</v>
      </c>
      <c r="AA212" s="13">
        <v>0.152</v>
      </c>
      <c r="AB212" s="13">
        <f t="shared" si="44"/>
        <v>0.152</v>
      </c>
      <c r="AC212" s="13" t="str">
        <f t="shared" si="45"/>
        <v>OK</v>
      </c>
      <c r="AD212" s="7">
        <v>9</v>
      </c>
      <c r="AE212" s="7">
        <f>Y212*AD212*(1-AB212)</f>
        <v>18061.204320000004</v>
      </c>
      <c r="AF212" s="7">
        <f>W212*AD212</f>
        <v>9860.49</v>
      </c>
      <c r="AG212" s="7">
        <f t="shared" si="46"/>
        <v>8200.7143200000046</v>
      </c>
      <c r="AH212" s="13">
        <f t="shared" si="47"/>
        <v>0.4540513564158607</v>
      </c>
    </row>
    <row r="213" spans="1:34" x14ac:dyDescent="0.35">
      <c r="A213" s="2" t="s">
        <v>225</v>
      </c>
      <c r="B213" s="5">
        <v>45852</v>
      </c>
      <c r="C213" s="5">
        <f>IF(H213&lt;B213,H213,B213)</f>
        <v>45852</v>
      </c>
      <c r="D213" s="5" t="str">
        <f t="shared" si="36"/>
        <v>Jul-2025</v>
      </c>
      <c r="E213" s="5" t="str">
        <f t="shared" si="37"/>
        <v>Jul</v>
      </c>
      <c r="F213" s="5" t="str">
        <f t="shared" si="38"/>
        <v>2025</v>
      </c>
      <c r="G213" s="5" t="str">
        <f t="shared" si="39"/>
        <v>Q3-2025</v>
      </c>
      <c r="H213" s="5">
        <v>45873</v>
      </c>
      <c r="I213" s="5">
        <f>IF(H213&lt;B213, B213+7, H213)</f>
        <v>45873</v>
      </c>
      <c r="J213" s="5" t="str">
        <f>IF(H213&lt;B213, "Invalid","Okay")</f>
        <v>Okay</v>
      </c>
      <c r="K213" s="16">
        <f>I213-C213</f>
        <v>21</v>
      </c>
      <c r="L213" s="16" t="str">
        <f t="shared" si="40"/>
        <v>Target Not Met</v>
      </c>
      <c r="M213" s="2" t="s">
        <v>648</v>
      </c>
      <c r="N213" s="2" t="s">
        <v>653</v>
      </c>
      <c r="O213" s="2" t="s">
        <v>681</v>
      </c>
      <c r="P213" s="29" t="str">
        <f t="shared" si="41"/>
        <v>Americas→Canada→Montreal</v>
      </c>
      <c r="Q213" s="2" t="s">
        <v>704</v>
      </c>
      <c r="R213" s="2" t="s">
        <v>708</v>
      </c>
      <c r="S213" s="2" t="s">
        <v>722</v>
      </c>
      <c r="T213" s="2" t="s">
        <v>732</v>
      </c>
      <c r="U213" t="e">
        <f>(AE213/#REF!)*100</f>
        <v>#REF!</v>
      </c>
      <c r="V213" s="2" t="s">
        <v>945</v>
      </c>
      <c r="W213" s="7">
        <v>90.3</v>
      </c>
      <c r="X213" s="7">
        <v>131.76</v>
      </c>
      <c r="Y213" s="7">
        <f t="shared" si="42"/>
        <v>131.76</v>
      </c>
      <c r="Z213" s="7" t="str">
        <f t="shared" si="43"/>
        <v>Low</v>
      </c>
      <c r="AA213" s="13">
        <v>0.10199999999999999</v>
      </c>
      <c r="AB213" s="13">
        <f t="shared" si="44"/>
        <v>0.10199999999999999</v>
      </c>
      <c r="AC213" s="13" t="str">
        <f t="shared" si="45"/>
        <v>OK</v>
      </c>
      <c r="AD213" s="7">
        <v>15</v>
      </c>
      <c r="AE213" s="7">
        <f>Y213*AD213*(1-AB213)</f>
        <v>1774.8072</v>
      </c>
      <c r="AF213" s="7">
        <f>W213*AD213</f>
        <v>1354.5</v>
      </c>
      <c r="AG213" s="7">
        <f t="shared" si="46"/>
        <v>420.30719999999997</v>
      </c>
      <c r="AH213" s="13">
        <f t="shared" si="47"/>
        <v>0.23681851189244668</v>
      </c>
    </row>
    <row r="214" spans="1:34" x14ac:dyDescent="0.35">
      <c r="A214" s="2" t="s">
        <v>226</v>
      </c>
      <c r="B214" s="5">
        <v>45544</v>
      </c>
      <c r="C214" s="5">
        <f>IF(H214&lt;B214,H214,B214)</f>
        <v>45544</v>
      </c>
      <c r="D214" s="5" t="str">
        <f t="shared" si="36"/>
        <v>Sep-2024</v>
      </c>
      <c r="E214" s="5" t="str">
        <f t="shared" si="37"/>
        <v>Sep</v>
      </c>
      <c r="F214" s="5" t="str">
        <f t="shared" si="38"/>
        <v>2024</v>
      </c>
      <c r="G214" s="5" t="str">
        <f t="shared" si="39"/>
        <v>Q3-2024</v>
      </c>
      <c r="H214" s="5">
        <v>45566</v>
      </c>
      <c r="I214" s="5">
        <f>IF(H214&lt;B214, B214+7, H214)</f>
        <v>45566</v>
      </c>
      <c r="J214" s="5" t="str">
        <f>IF(H214&lt;B214, "Invalid","Okay")</f>
        <v>Okay</v>
      </c>
      <c r="K214" s="16">
        <f>I214-C214</f>
        <v>22</v>
      </c>
      <c r="L214" s="16" t="str">
        <f t="shared" si="40"/>
        <v>Target Not Met</v>
      </c>
      <c r="M214" s="2" t="s">
        <v>647</v>
      </c>
      <c r="N214" s="2" t="s">
        <v>659</v>
      </c>
      <c r="O214" s="2" t="s">
        <v>676</v>
      </c>
      <c r="P214" s="29" t="str">
        <f t="shared" si="41"/>
        <v>Asia→China→Shenzhen</v>
      </c>
      <c r="Q214" s="2" t="s">
        <v>704</v>
      </c>
      <c r="R214" s="2" t="s">
        <v>711</v>
      </c>
      <c r="S214" s="2" t="s">
        <v>716</v>
      </c>
      <c r="T214" s="2" t="s">
        <v>728</v>
      </c>
      <c r="U214" t="e">
        <f>(AE214/#REF!)*100</f>
        <v>#REF!</v>
      </c>
      <c r="V214" s="2" t="s">
        <v>946</v>
      </c>
      <c r="W214" s="7">
        <v>1166.18</v>
      </c>
      <c r="X214" s="7">
        <v>1335.02</v>
      </c>
      <c r="Y214" s="7">
        <f t="shared" si="42"/>
        <v>1335.02</v>
      </c>
      <c r="Z214" s="7" t="str">
        <f t="shared" si="43"/>
        <v>Medium</v>
      </c>
      <c r="AA214" s="13">
        <v>0.128</v>
      </c>
      <c r="AB214" s="13">
        <f t="shared" si="44"/>
        <v>0.128</v>
      </c>
      <c r="AC214" s="13" t="str">
        <f t="shared" si="45"/>
        <v>OK</v>
      </c>
      <c r="AD214" s="7">
        <v>6</v>
      </c>
      <c r="AE214" s="7">
        <f>Y214*AD214*(1-AB214)</f>
        <v>6984.8246399999998</v>
      </c>
      <c r="AF214" s="7">
        <f>W214*AD214</f>
        <v>6997.08</v>
      </c>
      <c r="AG214" s="7">
        <f t="shared" si="46"/>
        <v>-12.25536000000011</v>
      </c>
      <c r="AH214" s="13">
        <f t="shared" si="47"/>
        <v>-1.7545694604582242E-3</v>
      </c>
    </row>
    <row r="215" spans="1:34" x14ac:dyDescent="0.35">
      <c r="A215" s="2" t="s">
        <v>227</v>
      </c>
      <c r="B215" s="5">
        <v>45686</v>
      </c>
      <c r="C215" s="5">
        <f>IF(H215&lt;B215,H215,B215)</f>
        <v>45686</v>
      </c>
      <c r="D215" s="5" t="str">
        <f t="shared" si="36"/>
        <v>Jan-2025</v>
      </c>
      <c r="E215" s="5" t="str">
        <f t="shared" si="37"/>
        <v>Jan</v>
      </c>
      <c r="F215" s="5" t="str">
        <f t="shared" si="38"/>
        <v>2025</v>
      </c>
      <c r="G215" s="5" t="str">
        <f t="shared" si="39"/>
        <v>Q1-2025</v>
      </c>
      <c r="H215" s="5">
        <v>45694</v>
      </c>
      <c r="I215" s="5">
        <f>IF(H215&lt;B215, B215+7, H215)</f>
        <v>45694</v>
      </c>
      <c r="J215" s="5" t="str">
        <f>IF(H215&lt;B215, "Invalid","Okay")</f>
        <v>Okay</v>
      </c>
      <c r="K215" s="16">
        <f>I215-C215</f>
        <v>8</v>
      </c>
      <c r="L215" s="16" t="str">
        <f t="shared" si="40"/>
        <v>Target Not Met</v>
      </c>
      <c r="M215" s="2" t="s">
        <v>646</v>
      </c>
      <c r="N215" s="2" t="s">
        <v>650</v>
      </c>
      <c r="O215" s="2" t="s">
        <v>662</v>
      </c>
      <c r="P215" s="29" t="str">
        <f t="shared" si="41"/>
        <v>Africa→Kenya→Kisumu</v>
      </c>
      <c r="Q215" s="2" t="s">
        <v>702</v>
      </c>
      <c r="R215" s="2" t="s">
        <v>707</v>
      </c>
      <c r="S215" s="2" t="s">
        <v>717</v>
      </c>
      <c r="T215" s="2" t="s">
        <v>730</v>
      </c>
      <c r="U215" t="e">
        <f>(AE215/#REF!)*100</f>
        <v>#REF!</v>
      </c>
      <c r="V215" s="2" t="s">
        <v>947</v>
      </c>
      <c r="W215" s="7">
        <v>1445.27</v>
      </c>
      <c r="X215" s="7">
        <v>2691.45</v>
      </c>
      <c r="Y215" s="7">
        <f t="shared" si="42"/>
        <v>2691.45</v>
      </c>
      <c r="Z215" s="7" t="str">
        <f t="shared" si="43"/>
        <v>High</v>
      </c>
      <c r="AA215" s="13">
        <v>0</v>
      </c>
      <c r="AB215" s="13">
        <f t="shared" si="44"/>
        <v>0</v>
      </c>
      <c r="AC215" s="13" t="str">
        <f t="shared" si="45"/>
        <v>OK</v>
      </c>
      <c r="AD215" s="7">
        <v>9</v>
      </c>
      <c r="AE215" s="7">
        <f>Y215*AD215*(1-AB215)</f>
        <v>24223.05</v>
      </c>
      <c r="AF215" s="7">
        <f>W215*AD215</f>
        <v>13007.43</v>
      </c>
      <c r="AG215" s="7">
        <f t="shared" si="46"/>
        <v>11215.619999999999</v>
      </c>
      <c r="AH215" s="13">
        <f t="shared" si="47"/>
        <v>0.46301436028906351</v>
      </c>
    </row>
    <row r="216" spans="1:34" x14ac:dyDescent="0.35">
      <c r="A216" s="2" t="s">
        <v>228</v>
      </c>
      <c r="B216" s="5">
        <v>45240</v>
      </c>
      <c r="C216" s="5">
        <f>IF(H216&lt;B216,H216,B216)</f>
        <v>45240</v>
      </c>
      <c r="D216" s="5" t="str">
        <f t="shared" si="36"/>
        <v>Nov-2023</v>
      </c>
      <c r="E216" s="5" t="str">
        <f t="shared" si="37"/>
        <v>Nov</v>
      </c>
      <c r="F216" s="5" t="str">
        <f t="shared" si="38"/>
        <v>2023</v>
      </c>
      <c r="G216" s="5" t="str">
        <f t="shared" si="39"/>
        <v>Q4-2023</v>
      </c>
      <c r="H216" s="5">
        <v>45258</v>
      </c>
      <c r="I216" s="5">
        <f>IF(H216&lt;B216, B216+7, H216)</f>
        <v>45258</v>
      </c>
      <c r="J216" s="5" t="str">
        <f>IF(H216&lt;B216, "Invalid","Okay")</f>
        <v>Okay</v>
      </c>
      <c r="K216" s="16">
        <f>I216-C216</f>
        <v>18</v>
      </c>
      <c r="L216" s="16" t="str">
        <f t="shared" si="40"/>
        <v>Target Not Met</v>
      </c>
      <c r="M216" s="2" t="s">
        <v>648</v>
      </c>
      <c r="N216" s="2" t="s">
        <v>655</v>
      </c>
      <c r="O216" s="2" t="s">
        <v>672</v>
      </c>
      <c r="P216" s="29" t="str">
        <f t="shared" si="41"/>
        <v>Americas→Brazil→Brasília</v>
      </c>
      <c r="Q216" s="2" t="s">
        <v>702</v>
      </c>
      <c r="R216" s="2" t="s">
        <v>709</v>
      </c>
      <c r="S216" s="2" t="s">
        <v>716</v>
      </c>
      <c r="T216" s="2" t="s">
        <v>733</v>
      </c>
      <c r="U216" t="e">
        <f>(AE216/#REF!)*100</f>
        <v>#REF!</v>
      </c>
      <c r="V216" s="2" t="s">
        <v>948</v>
      </c>
      <c r="W216" s="7">
        <v>388.51</v>
      </c>
      <c r="X216" s="7">
        <v>776.46</v>
      </c>
      <c r="Y216" s="7">
        <f t="shared" si="42"/>
        <v>776.46</v>
      </c>
      <c r="Z216" s="7" t="str">
        <f t="shared" si="43"/>
        <v>Low</v>
      </c>
      <c r="AA216" s="13">
        <v>0.157</v>
      </c>
      <c r="AB216" s="13">
        <f t="shared" si="44"/>
        <v>0.157</v>
      </c>
      <c r="AC216" s="13" t="str">
        <f t="shared" si="45"/>
        <v>OK</v>
      </c>
      <c r="AD216" s="7">
        <v>12</v>
      </c>
      <c r="AE216" s="7">
        <f>Y216*AD216*(1-AB216)</f>
        <v>7854.6693599999999</v>
      </c>
      <c r="AF216" s="7">
        <f>W216*AD216</f>
        <v>4662.12</v>
      </c>
      <c r="AG216" s="7">
        <f t="shared" si="46"/>
        <v>3192.54936</v>
      </c>
      <c r="AH216" s="13">
        <f t="shared" si="47"/>
        <v>0.40645241876864946</v>
      </c>
    </row>
    <row r="217" spans="1:34" x14ac:dyDescent="0.35">
      <c r="A217" s="2" t="s">
        <v>229</v>
      </c>
      <c r="B217" s="5">
        <v>45351</v>
      </c>
      <c r="C217" s="5">
        <f>IF(H217&lt;B217,H217,B217)</f>
        <v>45351</v>
      </c>
      <c r="D217" s="5" t="str">
        <f t="shared" si="36"/>
        <v>Feb-2024</v>
      </c>
      <c r="E217" s="5" t="str">
        <f t="shared" si="37"/>
        <v>Feb</v>
      </c>
      <c r="F217" s="5" t="str">
        <f t="shared" si="38"/>
        <v>2024</v>
      </c>
      <c r="G217" s="5" t="str">
        <f t="shared" si="39"/>
        <v>Q1-2024</v>
      </c>
      <c r="H217" s="5">
        <v>45381</v>
      </c>
      <c r="I217" s="5">
        <f>IF(H217&lt;B217, B217+7, H217)</f>
        <v>45381</v>
      </c>
      <c r="J217" s="5" t="str">
        <f>IF(H217&lt;B217, "Invalid","Okay")</f>
        <v>Okay</v>
      </c>
      <c r="K217" s="16">
        <f>I217-C217</f>
        <v>30</v>
      </c>
      <c r="L217" s="16" t="str">
        <f t="shared" si="40"/>
        <v>Target Not Met</v>
      </c>
      <c r="M217" s="2" t="s">
        <v>647</v>
      </c>
      <c r="N217" s="2" t="s">
        <v>652</v>
      </c>
      <c r="O217" s="2" t="s">
        <v>694</v>
      </c>
      <c r="P217" s="29" t="str">
        <f t="shared" si="41"/>
        <v>Asia→Japan→Nagoya</v>
      </c>
      <c r="Q217" s="2" t="s">
        <v>705</v>
      </c>
      <c r="R217" s="2" t="s">
        <v>711</v>
      </c>
      <c r="S217" s="2" t="s">
        <v>714</v>
      </c>
      <c r="T217" s="2" t="s">
        <v>729</v>
      </c>
      <c r="U217" t="e">
        <f>(AE217/#REF!)*100</f>
        <v>#REF!</v>
      </c>
      <c r="V217" s="2" t="s">
        <v>949</v>
      </c>
      <c r="W217" s="7">
        <v>231.11</v>
      </c>
      <c r="X217" s="7">
        <v>318.17</v>
      </c>
      <c r="Y217" s="7">
        <f t="shared" si="42"/>
        <v>318.17</v>
      </c>
      <c r="Z217" s="7" t="str">
        <f t="shared" si="43"/>
        <v>Low</v>
      </c>
      <c r="AA217" s="13">
        <v>0.20100000000000001</v>
      </c>
      <c r="AB217" s="13">
        <f t="shared" si="44"/>
        <v>0.20100000000000001</v>
      </c>
      <c r="AC217" s="13" t="str">
        <f t="shared" si="45"/>
        <v>OK</v>
      </c>
      <c r="AD217" s="7">
        <v>60</v>
      </c>
      <c r="AE217" s="7">
        <f>Y217*AD217*(1-AB217)</f>
        <v>15253.069799999999</v>
      </c>
      <c r="AF217" s="7">
        <f>W217*AD217</f>
        <v>13866.6</v>
      </c>
      <c r="AG217" s="7">
        <f t="shared" si="46"/>
        <v>1386.4697999999989</v>
      </c>
      <c r="AH217" s="13">
        <f t="shared" si="47"/>
        <v>9.0897754889969692E-2</v>
      </c>
    </row>
    <row r="218" spans="1:34" x14ac:dyDescent="0.35">
      <c r="A218" s="2" t="s">
        <v>230</v>
      </c>
      <c r="B218" s="5">
        <v>45280</v>
      </c>
      <c r="C218" s="5">
        <f>IF(H218&lt;B218,H218,B218)</f>
        <v>45280</v>
      </c>
      <c r="D218" s="5" t="str">
        <f t="shared" si="36"/>
        <v>Dec-2023</v>
      </c>
      <c r="E218" s="5" t="str">
        <f t="shared" si="37"/>
        <v>Dec</v>
      </c>
      <c r="F218" s="5" t="str">
        <f t="shared" si="38"/>
        <v>2023</v>
      </c>
      <c r="G218" s="5" t="str">
        <f t="shared" si="39"/>
        <v>Q4-2023</v>
      </c>
      <c r="H218" s="5">
        <v>45305</v>
      </c>
      <c r="I218" s="5">
        <f>IF(H218&lt;B218, B218+7, H218)</f>
        <v>45305</v>
      </c>
      <c r="J218" s="5" t="str">
        <f>IF(H218&lt;B218, "Invalid","Okay")</f>
        <v>Okay</v>
      </c>
      <c r="K218" s="16">
        <f>I218-C218</f>
        <v>25</v>
      </c>
      <c r="L218" s="16" t="str">
        <f t="shared" si="40"/>
        <v>Target Not Met</v>
      </c>
      <c r="M218" s="2" t="s">
        <v>647</v>
      </c>
      <c r="N218" s="2" t="s">
        <v>654</v>
      </c>
      <c r="O218" s="2" t="s">
        <v>691</v>
      </c>
      <c r="P218" s="29" t="str">
        <f t="shared" si="41"/>
        <v>Asia→India→Mumbai</v>
      </c>
      <c r="Q218" s="2" t="s">
        <v>703</v>
      </c>
      <c r="R218" s="2" t="s">
        <v>709</v>
      </c>
      <c r="S218" s="2" t="s">
        <v>716</v>
      </c>
      <c r="T218" s="2" t="s">
        <v>732</v>
      </c>
      <c r="U218" t="e">
        <f>(AE218/#REF!)*100</f>
        <v>#REF!</v>
      </c>
      <c r="V218" s="2" t="s">
        <v>950</v>
      </c>
      <c r="W218" s="7">
        <v>1085.6099999999999</v>
      </c>
      <c r="X218" s="7">
        <v>1246.4100000000001</v>
      </c>
      <c r="Y218" s="7">
        <f t="shared" si="42"/>
        <v>1246.4100000000001</v>
      </c>
      <c r="Z218" s="7" t="str">
        <f t="shared" si="43"/>
        <v>Medium</v>
      </c>
      <c r="AA218" s="13">
        <v>0.113</v>
      </c>
      <c r="AB218" s="13">
        <f t="shared" si="44"/>
        <v>0.113</v>
      </c>
      <c r="AC218" s="13" t="str">
        <f t="shared" si="45"/>
        <v>OK</v>
      </c>
      <c r="AD218" s="7">
        <v>7</v>
      </c>
      <c r="AE218" s="7">
        <f>Y218*AD218*(1-AB218)</f>
        <v>7738.9596900000006</v>
      </c>
      <c r="AF218" s="7">
        <f>W218*AD218</f>
        <v>7599.2699999999995</v>
      </c>
      <c r="AG218" s="7">
        <f t="shared" si="46"/>
        <v>139.68969000000106</v>
      </c>
      <c r="AH218" s="13">
        <f t="shared" si="47"/>
        <v>1.8050189637310417E-2</v>
      </c>
    </row>
    <row r="219" spans="1:34" x14ac:dyDescent="0.35">
      <c r="A219" s="2" t="s">
        <v>231</v>
      </c>
      <c r="B219" s="5">
        <v>44948</v>
      </c>
      <c r="C219" s="5">
        <f>IF(H219&lt;B219,H219,B219)</f>
        <v>44947</v>
      </c>
      <c r="D219" s="5" t="str">
        <f t="shared" si="36"/>
        <v>Jan-2023</v>
      </c>
      <c r="E219" s="5" t="str">
        <f t="shared" si="37"/>
        <v>Jan</v>
      </c>
      <c r="F219" s="5" t="str">
        <f t="shared" si="38"/>
        <v>2023</v>
      </c>
      <c r="G219" s="5" t="str">
        <f t="shared" si="39"/>
        <v>Q1-2023</v>
      </c>
      <c r="H219" s="5">
        <v>44947</v>
      </c>
      <c r="I219" s="5">
        <f>IF(H219&lt;B219, B219+7, H219)</f>
        <v>44955</v>
      </c>
      <c r="J219" s="5" t="str">
        <f>IF(H219&lt;B219, "Invalid","Okay")</f>
        <v>Invalid</v>
      </c>
      <c r="K219" s="16">
        <f>I219-C219</f>
        <v>8</v>
      </c>
      <c r="L219" s="16" t="str">
        <f t="shared" si="40"/>
        <v>Target Not Met</v>
      </c>
      <c r="M219" s="2" t="s">
        <v>649</v>
      </c>
      <c r="N219" s="2" t="s">
        <v>656</v>
      </c>
      <c r="O219" s="2" t="s">
        <v>684</v>
      </c>
      <c r="P219" s="29" t="str">
        <f t="shared" si="41"/>
        <v>Europe→Germany→Munich</v>
      </c>
      <c r="Q219" s="2" t="s">
        <v>701</v>
      </c>
      <c r="R219" s="2" t="s">
        <v>711</v>
      </c>
      <c r="S219" s="2" t="s">
        <v>721</v>
      </c>
      <c r="T219" s="2" t="s">
        <v>732</v>
      </c>
      <c r="U219" t="e">
        <f>(AE219/#REF!)*100</f>
        <v>#REF!</v>
      </c>
      <c r="V219" s="2" t="s">
        <v>951</v>
      </c>
      <c r="W219" s="7">
        <v>150.86000000000001</v>
      </c>
      <c r="X219" s="7">
        <v>346.96</v>
      </c>
      <c r="Y219" s="7">
        <f t="shared" si="42"/>
        <v>346.96</v>
      </c>
      <c r="Z219" s="7" t="str">
        <f t="shared" si="43"/>
        <v>Low</v>
      </c>
      <c r="AA219" s="13">
        <v>0.19600000000000001</v>
      </c>
      <c r="AB219" s="13">
        <f t="shared" si="44"/>
        <v>0.19600000000000001</v>
      </c>
      <c r="AC219" s="13" t="str">
        <f t="shared" si="45"/>
        <v>OK</v>
      </c>
      <c r="AD219" s="7">
        <v>8</v>
      </c>
      <c r="AE219" s="7">
        <f>Y219*AD219*(1-AB219)</f>
        <v>2231.6467200000002</v>
      </c>
      <c r="AF219" s="7">
        <f>W219*AD219</f>
        <v>1206.8800000000001</v>
      </c>
      <c r="AG219" s="7">
        <f t="shared" si="46"/>
        <v>1024.7667200000001</v>
      </c>
      <c r="AH219" s="13">
        <f t="shared" si="47"/>
        <v>0.45919755614365343</v>
      </c>
    </row>
    <row r="220" spans="1:34" x14ac:dyDescent="0.35">
      <c r="A220" s="2" t="s">
        <v>232</v>
      </c>
      <c r="B220" s="5">
        <v>45576</v>
      </c>
      <c r="C220" s="5">
        <f>IF(H220&lt;B220,H220,B220)</f>
        <v>45576</v>
      </c>
      <c r="D220" s="5" t="str">
        <f t="shared" si="36"/>
        <v>Oct-2024</v>
      </c>
      <c r="E220" s="5" t="str">
        <f t="shared" si="37"/>
        <v>Oct</v>
      </c>
      <c r="F220" s="5" t="str">
        <f t="shared" si="38"/>
        <v>2024</v>
      </c>
      <c r="G220" s="5" t="str">
        <f t="shared" si="39"/>
        <v>Q4-2024</v>
      </c>
      <c r="H220" s="5">
        <v>45605</v>
      </c>
      <c r="I220" s="5">
        <f>IF(H220&lt;B220, B220+7, H220)</f>
        <v>45605</v>
      </c>
      <c r="J220" s="5" t="str">
        <f>IF(H220&lt;B220, "Invalid","Okay")</f>
        <v>Okay</v>
      </c>
      <c r="K220" s="16">
        <f>I220-C220</f>
        <v>29</v>
      </c>
      <c r="L220" s="16" t="str">
        <f t="shared" si="40"/>
        <v>Target Not Met</v>
      </c>
      <c r="M220" s="2" t="s">
        <v>647</v>
      </c>
      <c r="N220" s="2" t="s">
        <v>659</v>
      </c>
      <c r="O220" s="2" t="s">
        <v>685</v>
      </c>
      <c r="P220" s="29" t="str">
        <f t="shared" si="41"/>
        <v>Asia→China→Shanghai</v>
      </c>
      <c r="Q220" s="2" t="s">
        <v>703</v>
      </c>
      <c r="R220" s="2" t="s">
        <v>708</v>
      </c>
      <c r="S220" s="2" t="s">
        <v>721</v>
      </c>
      <c r="T220" s="2" t="s">
        <v>728</v>
      </c>
      <c r="U220" t="e">
        <f>(AE220/#REF!)*100</f>
        <v>#REF!</v>
      </c>
      <c r="V220" s="2" t="s">
        <v>952</v>
      </c>
      <c r="W220" s="7">
        <v>391.64</v>
      </c>
      <c r="X220" s="7">
        <v>504.76</v>
      </c>
      <c r="Y220" s="7">
        <f t="shared" si="42"/>
        <v>504.76</v>
      </c>
      <c r="Z220" s="7" t="str">
        <f t="shared" si="43"/>
        <v>Low</v>
      </c>
      <c r="AA220" s="13">
        <v>4.0000000000000001E-3</v>
      </c>
      <c r="AB220" s="13">
        <f t="shared" si="44"/>
        <v>4.0000000000000001E-3</v>
      </c>
      <c r="AC220" s="13" t="str">
        <f t="shared" si="45"/>
        <v>OK</v>
      </c>
      <c r="AD220" s="7">
        <v>13</v>
      </c>
      <c r="AE220" s="7">
        <f>Y220*AD220*(1-AB220)</f>
        <v>6535.6324800000002</v>
      </c>
      <c r="AF220" s="7">
        <f>W220*AD220</f>
        <v>5091.32</v>
      </c>
      <c r="AG220" s="7">
        <f t="shared" si="46"/>
        <v>1444.3124800000005</v>
      </c>
      <c r="AH220" s="13">
        <f t="shared" si="47"/>
        <v>0.22099046793402319</v>
      </c>
    </row>
    <row r="221" spans="1:34" x14ac:dyDescent="0.35">
      <c r="A221" s="2" t="s">
        <v>233</v>
      </c>
      <c r="B221" s="5">
        <v>45554</v>
      </c>
      <c r="C221" s="5">
        <f>IF(H221&lt;B221,H221,B221)</f>
        <v>45554</v>
      </c>
      <c r="D221" s="5" t="str">
        <f t="shared" si="36"/>
        <v>Sep-2024</v>
      </c>
      <c r="E221" s="5" t="str">
        <f t="shared" si="37"/>
        <v>Sep</v>
      </c>
      <c r="F221" s="5" t="str">
        <f t="shared" si="38"/>
        <v>2024</v>
      </c>
      <c r="G221" s="5" t="str">
        <f t="shared" si="39"/>
        <v>Q3-2024</v>
      </c>
      <c r="H221" s="5">
        <v>45579</v>
      </c>
      <c r="I221" s="5">
        <f>IF(H221&lt;B221, B221+7, H221)</f>
        <v>45579</v>
      </c>
      <c r="J221" s="5" t="str">
        <f>IF(H221&lt;B221, "Invalid","Okay")</f>
        <v>Okay</v>
      </c>
      <c r="K221" s="16">
        <f>I221-C221</f>
        <v>25</v>
      </c>
      <c r="L221" s="16" t="str">
        <f t="shared" si="40"/>
        <v>Target Not Met</v>
      </c>
      <c r="M221" s="2" t="s">
        <v>648</v>
      </c>
      <c r="N221" s="2" t="s">
        <v>655</v>
      </c>
      <c r="O221" s="2" t="s">
        <v>692</v>
      </c>
      <c r="P221" s="29" t="str">
        <f t="shared" si="41"/>
        <v>Americas→Brazil→Rio de Janeiro</v>
      </c>
      <c r="Q221" s="2" t="s">
        <v>705</v>
      </c>
      <c r="R221" s="2" t="s">
        <v>707</v>
      </c>
      <c r="S221" s="2" t="s">
        <v>723</v>
      </c>
      <c r="T221" s="2" t="s">
        <v>728</v>
      </c>
      <c r="U221" t="e">
        <f>(AE221/#REF!)*100</f>
        <v>#REF!</v>
      </c>
      <c r="V221" s="2" t="s">
        <v>953</v>
      </c>
      <c r="W221" s="7">
        <v>386.96</v>
      </c>
      <c r="X221" s="7">
        <v>937.46</v>
      </c>
      <c r="Y221" s="7">
        <f t="shared" si="42"/>
        <v>937.46</v>
      </c>
      <c r="Z221" s="7" t="str">
        <f t="shared" si="43"/>
        <v>Low</v>
      </c>
      <c r="AA221" s="13">
        <v>0.26600000000000001</v>
      </c>
      <c r="AB221" s="13">
        <f t="shared" si="44"/>
        <v>0.26600000000000001</v>
      </c>
      <c r="AC221" s="13" t="str">
        <f t="shared" si="45"/>
        <v>OK</v>
      </c>
      <c r="AD221" s="7">
        <v>41</v>
      </c>
      <c r="AE221" s="7">
        <f>Y221*AD221*(1-AB221)</f>
        <v>28211.92124</v>
      </c>
      <c r="AF221" s="7">
        <f>W221*AD221</f>
        <v>15865.359999999999</v>
      </c>
      <c r="AG221" s="7">
        <f t="shared" si="46"/>
        <v>12346.561240000001</v>
      </c>
      <c r="AH221" s="13">
        <f t="shared" si="47"/>
        <v>0.43763631462626335</v>
      </c>
    </row>
    <row r="222" spans="1:34" x14ac:dyDescent="0.35">
      <c r="A222" s="2" t="s">
        <v>234</v>
      </c>
      <c r="B222" s="5">
        <v>45894</v>
      </c>
      <c r="C222" s="5">
        <f>IF(H222&lt;B222,H222,B222)</f>
        <v>45894</v>
      </c>
      <c r="D222" s="5" t="str">
        <f t="shared" si="36"/>
        <v>Aug-2025</v>
      </c>
      <c r="E222" s="5" t="str">
        <f t="shared" si="37"/>
        <v>Aug</v>
      </c>
      <c r="F222" s="5" t="str">
        <f t="shared" si="38"/>
        <v>2025</v>
      </c>
      <c r="G222" s="5" t="str">
        <f t="shared" si="39"/>
        <v>Q3-2025</v>
      </c>
      <c r="H222" s="5">
        <v>45924</v>
      </c>
      <c r="I222" s="5">
        <f>IF(H222&lt;B222, B222+7, H222)</f>
        <v>45924</v>
      </c>
      <c r="J222" s="5" t="str">
        <f>IF(H222&lt;B222, "Invalid","Okay")</f>
        <v>Okay</v>
      </c>
      <c r="K222" s="16">
        <f>I222-C222</f>
        <v>30</v>
      </c>
      <c r="L222" s="16" t="str">
        <f t="shared" si="40"/>
        <v>Target Not Met</v>
      </c>
      <c r="M222" s="2" t="s">
        <v>646</v>
      </c>
      <c r="N222" s="2" t="s">
        <v>650</v>
      </c>
      <c r="O222" s="2" t="s">
        <v>664</v>
      </c>
      <c r="P222" s="29" t="str">
        <f t="shared" si="41"/>
        <v>Africa→Kenya→Nairobi</v>
      </c>
      <c r="Q222" s="2" t="s">
        <v>704</v>
      </c>
      <c r="R222" s="2" t="s">
        <v>711</v>
      </c>
      <c r="S222" s="2" t="s">
        <v>717</v>
      </c>
      <c r="T222" s="2" t="s">
        <v>727</v>
      </c>
      <c r="U222" t="e">
        <f>(AE222/#REF!)*100</f>
        <v>#REF!</v>
      </c>
      <c r="V222" s="2" t="s">
        <v>954</v>
      </c>
      <c r="W222" s="7">
        <v>589.14</v>
      </c>
      <c r="X222" s="7">
        <v>1300.58</v>
      </c>
      <c r="Y222" s="7">
        <f t="shared" si="42"/>
        <v>1300.58</v>
      </c>
      <c r="Z222" s="7" t="str">
        <f t="shared" si="43"/>
        <v>Medium</v>
      </c>
      <c r="AA222" s="13">
        <v>5.5E-2</v>
      </c>
      <c r="AB222" s="13">
        <f t="shared" si="44"/>
        <v>5.5E-2</v>
      </c>
      <c r="AC222" s="13" t="str">
        <f t="shared" si="45"/>
        <v>OK</v>
      </c>
      <c r="AD222" s="7">
        <v>11</v>
      </c>
      <c r="AE222" s="7">
        <f>Y222*AD222*(1-AB222)</f>
        <v>13519.529099999998</v>
      </c>
      <c r="AF222" s="7">
        <f>W222*AD222</f>
        <v>6480.54</v>
      </c>
      <c r="AG222" s="7">
        <f t="shared" si="46"/>
        <v>7038.989099999998</v>
      </c>
      <c r="AH222" s="13">
        <f t="shared" si="47"/>
        <v>0.52065342275863724</v>
      </c>
    </row>
    <row r="223" spans="1:34" x14ac:dyDescent="0.35">
      <c r="A223" s="2" t="s">
        <v>235</v>
      </c>
      <c r="B223" s="5">
        <v>45194</v>
      </c>
      <c r="C223" s="5">
        <f>IF(H223&lt;B223,H223,B223)</f>
        <v>45194</v>
      </c>
      <c r="D223" s="5" t="str">
        <f t="shared" si="36"/>
        <v>Sep-2023</v>
      </c>
      <c r="E223" s="5" t="str">
        <f t="shared" si="37"/>
        <v>Sep</v>
      </c>
      <c r="F223" s="5" t="str">
        <f t="shared" si="38"/>
        <v>2023</v>
      </c>
      <c r="G223" s="5" t="str">
        <f t="shared" si="39"/>
        <v>Q3-2023</v>
      </c>
      <c r="H223" s="5">
        <v>45201</v>
      </c>
      <c r="I223" s="5">
        <f>IF(H223&lt;B223, B223+7, H223)</f>
        <v>45201</v>
      </c>
      <c r="J223" s="5" t="str">
        <f>IF(H223&lt;B223, "Invalid","Okay")</f>
        <v>Okay</v>
      </c>
      <c r="K223" s="16">
        <f>I223-C223</f>
        <v>7</v>
      </c>
      <c r="L223" s="16" t="str">
        <f t="shared" si="40"/>
        <v>Target Met</v>
      </c>
      <c r="M223" s="2" t="s">
        <v>648</v>
      </c>
      <c r="N223" s="2" t="s">
        <v>660</v>
      </c>
      <c r="O223" s="2" t="s">
        <v>700</v>
      </c>
      <c r="P223" s="29" t="str">
        <f t="shared" si="41"/>
        <v>Americas→USA→New York</v>
      </c>
      <c r="Q223" s="2" t="s">
        <v>702</v>
      </c>
      <c r="R223" s="2" t="s">
        <v>709</v>
      </c>
      <c r="S223" s="2" t="s">
        <v>714</v>
      </c>
      <c r="T223" s="2" t="s">
        <v>733</v>
      </c>
      <c r="U223" t="e">
        <f>(AE223/#REF!)*100</f>
        <v>#REF!</v>
      </c>
      <c r="V223" s="2" t="s">
        <v>955</v>
      </c>
      <c r="W223" s="7">
        <v>145.58000000000001</v>
      </c>
      <c r="X223" s="7">
        <v>228.15</v>
      </c>
      <c r="Y223" s="7">
        <f t="shared" si="42"/>
        <v>228.15</v>
      </c>
      <c r="Z223" s="7" t="str">
        <f t="shared" si="43"/>
        <v>Low</v>
      </c>
      <c r="AA223" s="13">
        <v>0.20399999999999999</v>
      </c>
      <c r="AB223" s="13">
        <f t="shared" si="44"/>
        <v>0.20399999999999999</v>
      </c>
      <c r="AC223" s="13" t="str">
        <f t="shared" si="45"/>
        <v>OK</v>
      </c>
      <c r="AD223" s="7">
        <v>5</v>
      </c>
      <c r="AE223" s="7">
        <f>Y223*AD223*(1-AB223)</f>
        <v>908.03700000000003</v>
      </c>
      <c r="AF223" s="7">
        <f>W223*AD223</f>
        <v>727.90000000000009</v>
      </c>
      <c r="AG223" s="7">
        <f t="shared" si="46"/>
        <v>180.13699999999994</v>
      </c>
      <c r="AH223" s="13">
        <f t="shared" si="47"/>
        <v>0.19838068272548359</v>
      </c>
    </row>
    <row r="224" spans="1:34" x14ac:dyDescent="0.35">
      <c r="A224" s="2" t="s">
        <v>236</v>
      </c>
      <c r="B224" s="5">
        <v>45164</v>
      </c>
      <c r="C224" s="5">
        <f>IF(H224&lt;B224,H224,B224)</f>
        <v>45164</v>
      </c>
      <c r="D224" s="5" t="str">
        <f t="shared" si="36"/>
        <v>Aug-2023</v>
      </c>
      <c r="E224" s="5" t="str">
        <f t="shared" si="37"/>
        <v>Aug</v>
      </c>
      <c r="F224" s="5" t="str">
        <f t="shared" si="38"/>
        <v>2023</v>
      </c>
      <c r="G224" s="5" t="str">
        <f t="shared" si="39"/>
        <v>Q3-2023</v>
      </c>
      <c r="H224" s="5">
        <v>45179</v>
      </c>
      <c r="I224" s="5">
        <f>IF(H224&lt;B224, B224+7, H224)</f>
        <v>45179</v>
      </c>
      <c r="J224" s="5" t="str">
        <f>IF(H224&lt;B224, "Invalid","Okay")</f>
        <v>Okay</v>
      </c>
      <c r="K224" s="16">
        <f>I224-C224</f>
        <v>15</v>
      </c>
      <c r="L224" s="16" t="str">
        <f t="shared" si="40"/>
        <v>Target Not Met</v>
      </c>
      <c r="M224" s="2" t="s">
        <v>646</v>
      </c>
      <c r="N224" s="2" t="s">
        <v>661</v>
      </c>
      <c r="O224" s="2" t="s">
        <v>695</v>
      </c>
      <c r="P224" s="29" t="str">
        <f t="shared" si="41"/>
        <v>Africa→South Africa→Cape Town</v>
      </c>
      <c r="Q224" s="2" t="s">
        <v>703</v>
      </c>
      <c r="R224" s="2" t="s">
        <v>711</v>
      </c>
      <c r="S224" s="2" t="s">
        <v>725</v>
      </c>
      <c r="T224" s="2" t="s">
        <v>727</v>
      </c>
      <c r="U224" t="e">
        <f>(AE224/#REF!)*100</f>
        <v>#REF!</v>
      </c>
      <c r="V224" s="2" t="s">
        <v>956</v>
      </c>
      <c r="W224" s="7">
        <v>241.14</v>
      </c>
      <c r="X224" s="7">
        <v>496.52</v>
      </c>
      <c r="Y224" s="7">
        <f t="shared" si="42"/>
        <v>496.52</v>
      </c>
      <c r="Z224" s="7" t="str">
        <f t="shared" si="43"/>
        <v>Low</v>
      </c>
      <c r="AA224" s="13">
        <v>9.2999999999999999E-2</v>
      </c>
      <c r="AB224" s="13">
        <f t="shared" si="44"/>
        <v>9.2999999999999999E-2</v>
      </c>
      <c r="AC224" s="13" t="str">
        <f t="shared" si="45"/>
        <v>OK</v>
      </c>
      <c r="AD224" s="7">
        <v>10</v>
      </c>
      <c r="AE224" s="7">
        <f>Y224*AD224*(1-AB224)</f>
        <v>4503.4363999999996</v>
      </c>
      <c r="AF224" s="7">
        <f>W224*AD224</f>
        <v>2411.3999999999996</v>
      </c>
      <c r="AG224" s="7">
        <f t="shared" si="46"/>
        <v>2092.0364</v>
      </c>
      <c r="AH224" s="13">
        <f t="shared" si="47"/>
        <v>0.46454223268257994</v>
      </c>
    </row>
    <row r="225" spans="1:34" x14ac:dyDescent="0.35">
      <c r="A225" s="2" t="s">
        <v>237</v>
      </c>
      <c r="B225" s="5">
        <v>45854</v>
      </c>
      <c r="C225" s="5">
        <f>IF(H225&lt;B225,H225,B225)</f>
        <v>45854</v>
      </c>
      <c r="D225" s="5" t="str">
        <f t="shared" si="36"/>
        <v>Jul-2025</v>
      </c>
      <c r="E225" s="5" t="str">
        <f t="shared" si="37"/>
        <v>Jul</v>
      </c>
      <c r="F225" s="5" t="str">
        <f t="shared" si="38"/>
        <v>2025</v>
      </c>
      <c r="G225" s="5" t="str">
        <f t="shared" si="39"/>
        <v>Q3-2025</v>
      </c>
      <c r="H225" s="5">
        <v>45855</v>
      </c>
      <c r="I225" s="5">
        <f>IF(H225&lt;B225, B225+7, H225)</f>
        <v>45855</v>
      </c>
      <c r="J225" s="5" t="str">
        <f>IF(H225&lt;B225, "Invalid","Okay")</f>
        <v>Okay</v>
      </c>
      <c r="K225" s="16">
        <f>I225-C225</f>
        <v>1</v>
      </c>
      <c r="L225" s="16" t="str">
        <f t="shared" si="40"/>
        <v>Target Met</v>
      </c>
      <c r="M225" s="2" t="s">
        <v>646</v>
      </c>
      <c r="N225" s="2" t="s">
        <v>661</v>
      </c>
      <c r="O225" s="2" t="s">
        <v>687</v>
      </c>
      <c r="P225" s="29" t="str">
        <f t="shared" si="41"/>
        <v>Africa→South Africa→Durban</v>
      </c>
      <c r="Q225" s="2" t="s">
        <v>705</v>
      </c>
      <c r="R225" s="2" t="s">
        <v>710</v>
      </c>
      <c r="S225" s="2" t="s">
        <v>717</v>
      </c>
      <c r="T225" s="2" t="s">
        <v>729</v>
      </c>
      <c r="U225" t="e">
        <f>(AE225/#REF!)*100</f>
        <v>#REF!</v>
      </c>
      <c r="V225" s="2" t="s">
        <v>957</v>
      </c>
      <c r="W225" s="7">
        <v>1198.9000000000001</v>
      </c>
      <c r="X225" s="7">
        <v>2941.2</v>
      </c>
      <c r="Y225" s="7">
        <f t="shared" si="42"/>
        <v>2941.2</v>
      </c>
      <c r="Z225" s="7" t="str">
        <f t="shared" si="43"/>
        <v>High</v>
      </c>
      <c r="AA225" s="13">
        <v>5.0999999999999997E-2</v>
      </c>
      <c r="AB225" s="13">
        <f t="shared" si="44"/>
        <v>5.0999999999999997E-2</v>
      </c>
      <c r="AC225" s="13" t="str">
        <f t="shared" si="45"/>
        <v>OK</v>
      </c>
      <c r="AD225" s="7">
        <v>24</v>
      </c>
      <c r="AE225" s="7">
        <f>Y225*AD225*(1-AB225)</f>
        <v>66988.771199999988</v>
      </c>
      <c r="AF225" s="7">
        <f>W225*AD225</f>
        <v>28773.600000000002</v>
      </c>
      <c r="AG225" s="7">
        <f t="shared" si="46"/>
        <v>38215.171199999982</v>
      </c>
      <c r="AH225" s="13">
        <f t="shared" si="47"/>
        <v>0.57047129713583977</v>
      </c>
    </row>
    <row r="226" spans="1:34" x14ac:dyDescent="0.35">
      <c r="A226" s="2" t="s">
        <v>238</v>
      </c>
      <c r="B226" s="5">
        <v>45035</v>
      </c>
      <c r="C226" s="5">
        <f>IF(H226&lt;B226,H226,B226)</f>
        <v>45035</v>
      </c>
      <c r="D226" s="5" t="str">
        <f t="shared" si="36"/>
        <v>Apr-2023</v>
      </c>
      <c r="E226" s="5" t="str">
        <f t="shared" si="37"/>
        <v>Apr</v>
      </c>
      <c r="F226" s="5" t="str">
        <f t="shared" si="38"/>
        <v>2023</v>
      </c>
      <c r="G226" s="5" t="str">
        <f t="shared" si="39"/>
        <v>Q2-2023</v>
      </c>
      <c r="H226" s="5">
        <v>45053</v>
      </c>
      <c r="I226" s="5">
        <f>IF(H226&lt;B226, B226+7, H226)</f>
        <v>45053</v>
      </c>
      <c r="J226" s="5" t="str">
        <f>IF(H226&lt;B226, "Invalid","Okay")</f>
        <v>Okay</v>
      </c>
      <c r="K226" s="16">
        <f>I226-C226</f>
        <v>18</v>
      </c>
      <c r="L226" s="16" t="str">
        <f t="shared" si="40"/>
        <v>Target Not Met</v>
      </c>
      <c r="M226" s="2" t="s">
        <v>649</v>
      </c>
      <c r="N226" s="2" t="s">
        <v>658</v>
      </c>
      <c r="O226" s="2" t="s">
        <v>674</v>
      </c>
      <c r="P226" s="29" t="str">
        <f t="shared" si="41"/>
        <v>Europe→United Kingdom→Birmingham</v>
      </c>
      <c r="Q226" s="2" t="s">
        <v>706</v>
      </c>
      <c r="R226" s="2" t="s">
        <v>707</v>
      </c>
      <c r="S226" s="2" t="s">
        <v>725</v>
      </c>
      <c r="T226" s="2" t="s">
        <v>731</v>
      </c>
      <c r="U226" t="e">
        <f>(AE226/#REF!)*100</f>
        <v>#REF!</v>
      </c>
      <c r="V226" s="2" t="s">
        <v>958</v>
      </c>
      <c r="W226" s="7">
        <v>1089.1500000000001</v>
      </c>
      <c r="X226" s="7">
        <v>1088.2</v>
      </c>
      <c r="Y226" s="7">
        <f t="shared" si="42"/>
        <v>1088.2</v>
      </c>
      <c r="Z226" s="7" t="str">
        <f t="shared" si="43"/>
        <v>Low</v>
      </c>
      <c r="AA226" s="13">
        <v>5.0999999999999997E-2</v>
      </c>
      <c r="AB226" s="13">
        <f t="shared" si="44"/>
        <v>5.0999999999999997E-2</v>
      </c>
      <c r="AC226" s="13" t="str">
        <f t="shared" si="45"/>
        <v>OK</v>
      </c>
      <c r="AD226" s="7">
        <v>15</v>
      </c>
      <c r="AE226" s="7">
        <f>Y226*AD226*(1-AB226)</f>
        <v>15490.527</v>
      </c>
      <c r="AF226" s="7">
        <f>W226*AD226</f>
        <v>16337.250000000002</v>
      </c>
      <c r="AG226" s="7">
        <f t="shared" si="46"/>
        <v>-846.72300000000178</v>
      </c>
      <c r="AH226" s="13">
        <f t="shared" si="47"/>
        <v>-5.4660696824582002E-2</v>
      </c>
    </row>
    <row r="227" spans="1:34" x14ac:dyDescent="0.35">
      <c r="A227" s="2" t="s">
        <v>239</v>
      </c>
      <c r="B227" s="5">
        <v>45279</v>
      </c>
      <c r="C227" s="5">
        <f>IF(H227&lt;B227,H227,B227)</f>
        <v>45279</v>
      </c>
      <c r="D227" s="5" t="str">
        <f t="shared" si="36"/>
        <v>Dec-2023</v>
      </c>
      <c r="E227" s="5" t="str">
        <f t="shared" si="37"/>
        <v>Dec</v>
      </c>
      <c r="F227" s="5" t="str">
        <f t="shared" si="38"/>
        <v>2023</v>
      </c>
      <c r="G227" s="5" t="str">
        <f t="shared" si="39"/>
        <v>Q4-2023</v>
      </c>
      <c r="H227" s="5">
        <v>45280</v>
      </c>
      <c r="I227" s="5">
        <f>IF(H227&lt;B227, B227+7, H227)</f>
        <v>45280</v>
      </c>
      <c r="J227" s="5" t="str">
        <f>IF(H227&lt;B227, "Invalid","Okay")</f>
        <v>Okay</v>
      </c>
      <c r="K227" s="16">
        <f>I227-C227</f>
        <v>1</v>
      </c>
      <c r="L227" s="16" t="str">
        <f t="shared" si="40"/>
        <v>Target Met</v>
      </c>
      <c r="M227" s="2" t="s">
        <v>648</v>
      </c>
      <c r="N227" s="2" t="s">
        <v>655</v>
      </c>
      <c r="O227" s="2" t="s">
        <v>692</v>
      </c>
      <c r="P227" s="29" t="str">
        <f t="shared" si="41"/>
        <v>Americas→Brazil→Rio de Janeiro</v>
      </c>
      <c r="Q227" s="2" t="s">
        <v>704</v>
      </c>
      <c r="R227" s="2" t="s">
        <v>710</v>
      </c>
      <c r="S227" s="2" t="s">
        <v>713</v>
      </c>
      <c r="T227" s="2" t="s">
        <v>730</v>
      </c>
      <c r="U227" t="e">
        <f>(AE227/#REF!)*100</f>
        <v>#REF!</v>
      </c>
      <c r="V227" s="2" t="s">
        <v>959</v>
      </c>
      <c r="W227" s="7">
        <v>1080.43</v>
      </c>
      <c r="X227" s="7">
        <v>2529.15</v>
      </c>
      <c r="Y227" s="7">
        <f t="shared" si="42"/>
        <v>2529.15</v>
      </c>
      <c r="Z227" s="7" t="str">
        <f t="shared" si="43"/>
        <v>High</v>
      </c>
      <c r="AA227" s="13">
        <v>0.14699999999999999</v>
      </c>
      <c r="AB227" s="13">
        <f t="shared" si="44"/>
        <v>0.14699999999999999</v>
      </c>
      <c r="AC227" s="13" t="str">
        <f t="shared" si="45"/>
        <v>OK</v>
      </c>
      <c r="AD227" s="7">
        <v>10</v>
      </c>
      <c r="AE227" s="7">
        <f>Y227*AD227*(1-AB227)</f>
        <v>21573.6495</v>
      </c>
      <c r="AF227" s="7">
        <f>W227*AD227</f>
        <v>10804.300000000001</v>
      </c>
      <c r="AG227" s="7">
        <f t="shared" si="46"/>
        <v>10769.349499999998</v>
      </c>
      <c r="AH227" s="13">
        <f t="shared" si="47"/>
        <v>0.49918997247081437</v>
      </c>
    </row>
    <row r="228" spans="1:34" x14ac:dyDescent="0.35">
      <c r="A228" s="2" t="s">
        <v>240</v>
      </c>
      <c r="B228" s="5">
        <v>45137</v>
      </c>
      <c r="C228" s="5">
        <f>IF(H228&lt;B228,H228,B228)</f>
        <v>45137</v>
      </c>
      <c r="D228" s="5" t="str">
        <f t="shared" si="36"/>
        <v>Jul-2023</v>
      </c>
      <c r="E228" s="5" t="str">
        <f t="shared" si="37"/>
        <v>Jul</v>
      </c>
      <c r="F228" s="5" t="str">
        <f t="shared" si="38"/>
        <v>2023</v>
      </c>
      <c r="G228" s="5" t="str">
        <f t="shared" si="39"/>
        <v>Q3-2023</v>
      </c>
      <c r="H228" s="5">
        <v>45145</v>
      </c>
      <c r="I228" s="5">
        <f>IF(H228&lt;B228, B228+7, H228)</f>
        <v>45145</v>
      </c>
      <c r="J228" s="5" t="str">
        <f>IF(H228&lt;B228, "Invalid","Okay")</f>
        <v>Okay</v>
      </c>
      <c r="K228" s="16">
        <f>I228-C228</f>
        <v>8</v>
      </c>
      <c r="L228" s="16" t="str">
        <f t="shared" si="40"/>
        <v>Target Not Met</v>
      </c>
      <c r="M228" s="2" t="s">
        <v>647</v>
      </c>
      <c r="N228" s="2" t="s">
        <v>652</v>
      </c>
      <c r="O228" s="2" t="s">
        <v>694</v>
      </c>
      <c r="P228" s="29" t="str">
        <f t="shared" si="41"/>
        <v>Asia→Japan→Nagoya</v>
      </c>
      <c r="Q228" s="2" t="s">
        <v>702</v>
      </c>
      <c r="R228" s="2" t="s">
        <v>709</v>
      </c>
      <c r="S228" s="2" t="s">
        <v>720</v>
      </c>
      <c r="T228" s="2" t="s">
        <v>729</v>
      </c>
      <c r="U228" t="e">
        <f>(AE228/#REF!)*100</f>
        <v>#REF!</v>
      </c>
      <c r="V228" s="2" t="s">
        <v>960</v>
      </c>
      <c r="W228" s="7">
        <v>1352.44</v>
      </c>
      <c r="X228" s="7">
        <v>2698.01</v>
      </c>
      <c r="Y228" s="7">
        <f t="shared" si="42"/>
        <v>2698.01</v>
      </c>
      <c r="Z228" s="7" t="str">
        <f t="shared" si="43"/>
        <v>High</v>
      </c>
      <c r="AA228" s="13">
        <v>0.13100000000000001</v>
      </c>
      <c r="AB228" s="13">
        <f t="shared" si="44"/>
        <v>0.13100000000000001</v>
      </c>
      <c r="AC228" s="13" t="str">
        <f t="shared" si="45"/>
        <v>OK</v>
      </c>
      <c r="AD228" s="7">
        <v>13</v>
      </c>
      <c r="AE228" s="7">
        <f>Y228*AD228*(1-AB228)</f>
        <v>30479.418970000002</v>
      </c>
      <c r="AF228" s="7">
        <f>W228*AD228</f>
        <v>17581.72</v>
      </c>
      <c r="AG228" s="7">
        <f t="shared" si="46"/>
        <v>12897.698970000001</v>
      </c>
      <c r="AH228" s="13">
        <f t="shared" si="47"/>
        <v>0.42316091992090887</v>
      </c>
    </row>
    <row r="229" spans="1:34" x14ac:dyDescent="0.35">
      <c r="A229" s="2" t="s">
        <v>241</v>
      </c>
      <c r="B229" s="5">
        <v>45203</v>
      </c>
      <c r="C229" s="5">
        <f>IF(H229&lt;B229,H229,B229)</f>
        <v>45203</v>
      </c>
      <c r="D229" s="5" t="str">
        <f t="shared" si="36"/>
        <v>Oct-2023</v>
      </c>
      <c r="E229" s="5" t="str">
        <f t="shared" si="37"/>
        <v>Oct</v>
      </c>
      <c r="F229" s="5" t="str">
        <f t="shared" si="38"/>
        <v>2023</v>
      </c>
      <c r="G229" s="5" t="str">
        <f t="shared" si="39"/>
        <v>Q4-2023</v>
      </c>
      <c r="H229" s="5">
        <v>45228</v>
      </c>
      <c r="I229" s="5">
        <f>IF(H229&lt;B229, B229+7, H229)</f>
        <v>45228</v>
      </c>
      <c r="J229" s="5" t="str">
        <f>IF(H229&lt;B229, "Invalid","Okay")</f>
        <v>Okay</v>
      </c>
      <c r="K229" s="16">
        <f>I229-C229</f>
        <v>25</v>
      </c>
      <c r="L229" s="16" t="str">
        <f t="shared" si="40"/>
        <v>Target Not Met</v>
      </c>
      <c r="M229" s="2" t="s">
        <v>648</v>
      </c>
      <c r="N229" s="2" t="s">
        <v>660</v>
      </c>
      <c r="O229" s="2" t="s">
        <v>686</v>
      </c>
      <c r="P229" s="29" t="str">
        <f t="shared" si="41"/>
        <v>Americas→USA→San Francisco</v>
      </c>
      <c r="Q229" s="2" t="s">
        <v>705</v>
      </c>
      <c r="R229" s="2" t="s">
        <v>710</v>
      </c>
      <c r="S229" s="2" t="s">
        <v>719</v>
      </c>
      <c r="T229" s="2" t="s">
        <v>733</v>
      </c>
      <c r="U229" t="e">
        <f>(AE229/#REF!)*100</f>
        <v>#REF!</v>
      </c>
      <c r="V229" s="2" t="s">
        <v>961</v>
      </c>
      <c r="W229" s="7">
        <v>1239.8399999999999</v>
      </c>
      <c r="X229" s="7">
        <v>1482.75</v>
      </c>
      <c r="Y229" s="7">
        <f t="shared" si="42"/>
        <v>1482.75</v>
      </c>
      <c r="Z229" s="7" t="str">
        <f t="shared" si="43"/>
        <v>Medium</v>
      </c>
      <c r="AA229" s="13">
        <v>6.7000000000000004E-2</v>
      </c>
      <c r="AB229" s="13">
        <f t="shared" si="44"/>
        <v>6.7000000000000004E-2</v>
      </c>
      <c r="AC229" s="13" t="str">
        <f t="shared" si="45"/>
        <v>OK</v>
      </c>
      <c r="AD229" s="7">
        <v>4</v>
      </c>
      <c r="AE229" s="7">
        <f>Y229*AD229*(1-AB229)</f>
        <v>5533.6230000000005</v>
      </c>
      <c r="AF229" s="7">
        <f>W229*AD229</f>
        <v>4959.3599999999997</v>
      </c>
      <c r="AG229" s="7">
        <f t="shared" si="46"/>
        <v>574.26300000000083</v>
      </c>
      <c r="AH229" s="13">
        <f t="shared" si="47"/>
        <v>0.10377703721413634</v>
      </c>
    </row>
    <row r="230" spans="1:34" x14ac:dyDescent="0.35">
      <c r="A230" s="2" t="s">
        <v>242</v>
      </c>
      <c r="B230" s="5">
        <v>45879</v>
      </c>
      <c r="C230" s="5">
        <f>IF(H230&lt;B230,H230,B230)</f>
        <v>45879</v>
      </c>
      <c r="D230" s="5" t="str">
        <f t="shared" si="36"/>
        <v>Aug-2025</v>
      </c>
      <c r="E230" s="5" t="str">
        <f t="shared" si="37"/>
        <v>Aug</v>
      </c>
      <c r="F230" s="5" t="str">
        <f t="shared" si="38"/>
        <v>2025</v>
      </c>
      <c r="G230" s="5" t="str">
        <f t="shared" si="39"/>
        <v>Q3-2025</v>
      </c>
      <c r="H230" s="5">
        <v>45899</v>
      </c>
      <c r="I230" s="5">
        <f>IF(H230&lt;B230, B230+7, H230)</f>
        <v>45899</v>
      </c>
      <c r="J230" s="5" t="str">
        <f>IF(H230&lt;B230, "Invalid","Okay")</f>
        <v>Okay</v>
      </c>
      <c r="K230" s="16">
        <f>I230-C230</f>
        <v>20</v>
      </c>
      <c r="L230" s="16" t="str">
        <f t="shared" si="40"/>
        <v>Target Not Met</v>
      </c>
      <c r="M230" s="2" t="s">
        <v>648</v>
      </c>
      <c r="N230" s="2" t="s">
        <v>660</v>
      </c>
      <c r="O230" s="2" t="s">
        <v>686</v>
      </c>
      <c r="P230" s="29" t="str">
        <f t="shared" si="41"/>
        <v>Americas→USA→San Francisco</v>
      </c>
      <c r="Q230" s="2" t="s">
        <v>701</v>
      </c>
      <c r="R230" s="2" t="s">
        <v>709</v>
      </c>
      <c r="S230" s="2" t="s">
        <v>723</v>
      </c>
      <c r="T230" s="2" t="s">
        <v>728</v>
      </c>
      <c r="U230" t="e">
        <f>(AE230/#REF!)*100</f>
        <v>#REF!</v>
      </c>
      <c r="V230" s="2" t="s">
        <v>962</v>
      </c>
      <c r="W230" s="7">
        <v>933.29</v>
      </c>
      <c r="X230" s="7">
        <v>1456.81</v>
      </c>
      <c r="Y230" s="7">
        <f t="shared" si="42"/>
        <v>1456.81</v>
      </c>
      <c r="Z230" s="7" t="str">
        <f t="shared" si="43"/>
        <v>Medium</v>
      </c>
      <c r="AA230" s="13">
        <v>0.123</v>
      </c>
      <c r="AB230" s="13">
        <f t="shared" si="44"/>
        <v>0.123</v>
      </c>
      <c r="AC230" s="13" t="str">
        <f t="shared" si="45"/>
        <v>OK</v>
      </c>
      <c r="AD230" s="7">
        <v>13</v>
      </c>
      <c r="AE230" s="7">
        <f>Y230*AD230*(1-AB230)</f>
        <v>16609.090809999998</v>
      </c>
      <c r="AF230" s="7">
        <f>W230*AD230</f>
        <v>12132.77</v>
      </c>
      <c r="AG230" s="7">
        <f t="shared" si="46"/>
        <v>4476.3208099999974</v>
      </c>
      <c r="AH230" s="13">
        <f t="shared" si="47"/>
        <v>0.26951028573489977</v>
      </c>
    </row>
    <row r="231" spans="1:34" x14ac:dyDescent="0.35">
      <c r="A231" s="2" t="s">
        <v>243</v>
      </c>
      <c r="B231" s="5">
        <v>44992</v>
      </c>
      <c r="C231" s="5">
        <f>IF(H231&lt;B231,H231,B231)</f>
        <v>44992</v>
      </c>
      <c r="D231" s="5" t="str">
        <f t="shared" si="36"/>
        <v>Mar-2023</v>
      </c>
      <c r="E231" s="5" t="str">
        <f t="shared" si="37"/>
        <v>Mar</v>
      </c>
      <c r="F231" s="5" t="str">
        <f t="shared" si="38"/>
        <v>2023</v>
      </c>
      <c r="G231" s="5" t="str">
        <f t="shared" si="39"/>
        <v>Q1-2023</v>
      </c>
      <c r="H231" s="5">
        <v>45017</v>
      </c>
      <c r="I231" s="5">
        <f>IF(H231&lt;B231, B231+7, H231)</f>
        <v>45017</v>
      </c>
      <c r="J231" s="5" t="str">
        <f>IF(H231&lt;B231, "Invalid","Okay")</f>
        <v>Okay</v>
      </c>
      <c r="K231" s="16">
        <f>I231-C231</f>
        <v>25</v>
      </c>
      <c r="L231" s="16" t="str">
        <f t="shared" si="40"/>
        <v>Target Not Met</v>
      </c>
      <c r="M231" s="2" t="s">
        <v>646</v>
      </c>
      <c r="N231" s="2" t="s">
        <v>650</v>
      </c>
      <c r="O231" s="2" t="s">
        <v>664</v>
      </c>
      <c r="P231" s="29" t="str">
        <f t="shared" si="41"/>
        <v>Africa→Kenya→Nairobi</v>
      </c>
      <c r="Q231" s="2" t="s">
        <v>704</v>
      </c>
      <c r="R231" s="2" t="s">
        <v>709</v>
      </c>
      <c r="S231" s="2" t="s">
        <v>726</v>
      </c>
      <c r="T231" s="2" t="s">
        <v>728</v>
      </c>
      <c r="U231" t="e">
        <f>(AE231/#REF!)*100</f>
        <v>#REF!</v>
      </c>
      <c r="V231" s="2" t="s">
        <v>963</v>
      </c>
      <c r="W231" s="7">
        <v>1024.0999999999999</v>
      </c>
      <c r="X231" s="7">
        <v>918.19</v>
      </c>
      <c r="Y231" s="7">
        <f t="shared" si="42"/>
        <v>918.19</v>
      </c>
      <c r="Z231" s="7" t="str">
        <f t="shared" si="43"/>
        <v>Low</v>
      </c>
      <c r="AA231" s="13">
        <v>0.189</v>
      </c>
      <c r="AB231" s="13">
        <f t="shared" si="44"/>
        <v>0.189</v>
      </c>
      <c r="AC231" s="13" t="str">
        <f t="shared" si="45"/>
        <v>OK</v>
      </c>
      <c r="AD231" s="7">
        <v>10</v>
      </c>
      <c r="AE231" s="7">
        <f>Y231*AD231*(1-AB231)</f>
        <v>7446.5209000000004</v>
      </c>
      <c r="AF231" s="7">
        <f>W231*AD231</f>
        <v>10241</v>
      </c>
      <c r="AG231" s="7">
        <f t="shared" si="46"/>
        <v>-2794.4790999999996</v>
      </c>
      <c r="AH231" s="13">
        <f t="shared" si="47"/>
        <v>-0.37527311579827827</v>
      </c>
    </row>
    <row r="232" spans="1:34" x14ac:dyDescent="0.35">
      <c r="A232" s="2" t="s">
        <v>244</v>
      </c>
      <c r="B232" s="5">
        <v>45069</v>
      </c>
      <c r="C232" s="5">
        <f>IF(H232&lt;B232,H232,B232)</f>
        <v>45069</v>
      </c>
      <c r="D232" s="5" t="str">
        <f t="shared" si="36"/>
        <v>May-2023</v>
      </c>
      <c r="E232" s="5" t="str">
        <f t="shared" si="37"/>
        <v>May</v>
      </c>
      <c r="F232" s="5" t="str">
        <f t="shared" si="38"/>
        <v>2023</v>
      </c>
      <c r="G232" s="5" t="str">
        <f t="shared" si="39"/>
        <v>Q2-2023</v>
      </c>
      <c r="H232" s="5">
        <v>45087</v>
      </c>
      <c r="I232" s="5">
        <f>IF(H232&lt;B232, B232+7, H232)</f>
        <v>45087</v>
      </c>
      <c r="J232" s="5" t="str">
        <f>IF(H232&lt;B232, "Invalid","Okay")</f>
        <v>Okay</v>
      </c>
      <c r="K232" s="16">
        <f>I232-C232</f>
        <v>18</v>
      </c>
      <c r="L232" s="16" t="str">
        <f t="shared" si="40"/>
        <v>Target Not Met</v>
      </c>
      <c r="M232" s="2" t="s">
        <v>647</v>
      </c>
      <c r="N232" s="2" t="s">
        <v>659</v>
      </c>
      <c r="O232" s="2" t="s">
        <v>685</v>
      </c>
      <c r="P232" s="29" t="str">
        <f t="shared" si="41"/>
        <v>Asia→China→Shanghai</v>
      </c>
      <c r="Q232" s="2" t="s">
        <v>701</v>
      </c>
      <c r="R232" s="2" t="s">
        <v>710</v>
      </c>
      <c r="S232" s="2" t="s">
        <v>718</v>
      </c>
      <c r="T232" s="2" t="s">
        <v>727</v>
      </c>
      <c r="U232" t="e">
        <f>(AE232/#REF!)*100</f>
        <v>#REF!</v>
      </c>
      <c r="V232" s="2" t="s">
        <v>964</v>
      </c>
      <c r="W232" s="7">
        <v>54.62</v>
      </c>
      <c r="X232" s="7">
        <v>48.94</v>
      </c>
      <c r="Y232" s="7">
        <f t="shared" si="42"/>
        <v>48.94</v>
      </c>
      <c r="Z232" s="7" t="str">
        <f t="shared" si="43"/>
        <v>Low</v>
      </c>
      <c r="AA232" s="13">
        <v>0.14799999999999999</v>
      </c>
      <c r="AB232" s="13">
        <f t="shared" si="44"/>
        <v>0.14799999999999999</v>
      </c>
      <c r="AC232" s="13" t="str">
        <f t="shared" si="45"/>
        <v>OK</v>
      </c>
      <c r="AD232" s="7">
        <v>16</v>
      </c>
      <c r="AE232" s="7">
        <f>Y232*AD232*(1-AB232)</f>
        <v>667.15008</v>
      </c>
      <c r="AF232" s="7">
        <f>W232*AD232</f>
        <v>873.92</v>
      </c>
      <c r="AG232" s="7">
        <f t="shared" si="46"/>
        <v>-206.76991999999996</v>
      </c>
      <c r="AH232" s="13">
        <f t="shared" si="47"/>
        <v>-0.3099301434543783</v>
      </c>
    </row>
    <row r="233" spans="1:34" x14ac:dyDescent="0.35">
      <c r="A233" s="2" t="s">
        <v>245</v>
      </c>
      <c r="B233" s="5">
        <v>45771</v>
      </c>
      <c r="C233" s="5">
        <f>IF(H233&lt;B233,H233,B233)</f>
        <v>45771</v>
      </c>
      <c r="D233" s="5" t="str">
        <f t="shared" si="36"/>
        <v>Apr-2025</v>
      </c>
      <c r="E233" s="5" t="str">
        <f t="shared" si="37"/>
        <v>Apr</v>
      </c>
      <c r="F233" s="5" t="str">
        <f t="shared" si="38"/>
        <v>2025</v>
      </c>
      <c r="G233" s="5" t="str">
        <f t="shared" si="39"/>
        <v>Q2-2025</v>
      </c>
      <c r="H233" s="5">
        <v>45783</v>
      </c>
      <c r="I233" s="5">
        <f>IF(H233&lt;B233, B233+7, H233)</f>
        <v>45783</v>
      </c>
      <c r="J233" s="5" t="str">
        <f>IF(H233&lt;B233, "Invalid","Okay")</f>
        <v>Okay</v>
      </c>
      <c r="K233" s="16">
        <f>I233-C233</f>
        <v>12</v>
      </c>
      <c r="L233" s="16" t="str">
        <f t="shared" si="40"/>
        <v>Target Not Met</v>
      </c>
      <c r="M233" s="2" t="s">
        <v>648</v>
      </c>
      <c r="N233" s="2" t="s">
        <v>655</v>
      </c>
      <c r="O233" s="2" t="s">
        <v>672</v>
      </c>
      <c r="P233" s="29" t="str">
        <f t="shared" si="41"/>
        <v>Americas→Brazil→Brasília</v>
      </c>
      <c r="Q233" s="2" t="s">
        <v>704</v>
      </c>
      <c r="R233" s="2" t="s">
        <v>708</v>
      </c>
      <c r="S233" s="2" t="s">
        <v>712</v>
      </c>
      <c r="T233" s="2" t="s">
        <v>730</v>
      </c>
      <c r="U233" t="e">
        <f>(AE233/#REF!)*100</f>
        <v>#REF!</v>
      </c>
      <c r="V233" s="2" t="s">
        <v>965</v>
      </c>
      <c r="W233" s="7">
        <v>394.13</v>
      </c>
      <c r="X233" s="7">
        <v>932.29</v>
      </c>
      <c r="Y233" s="7">
        <f t="shared" si="42"/>
        <v>932.29</v>
      </c>
      <c r="Z233" s="7" t="str">
        <f t="shared" si="43"/>
        <v>Low</v>
      </c>
      <c r="AA233" s="13">
        <v>0.109</v>
      </c>
      <c r="AB233" s="13">
        <f t="shared" si="44"/>
        <v>0.109</v>
      </c>
      <c r="AC233" s="13" t="str">
        <f t="shared" si="45"/>
        <v>OK</v>
      </c>
      <c r="AD233" s="7">
        <v>7</v>
      </c>
      <c r="AE233" s="7">
        <f>Y233*AD233*(1-AB233)</f>
        <v>5814.6927299999998</v>
      </c>
      <c r="AF233" s="7">
        <f>W233*AD233</f>
        <v>2758.91</v>
      </c>
      <c r="AG233" s="7">
        <f t="shared" si="46"/>
        <v>3055.7827299999999</v>
      </c>
      <c r="AH233" s="13">
        <f t="shared" si="47"/>
        <v>0.5255278089303268</v>
      </c>
    </row>
    <row r="234" spans="1:34" x14ac:dyDescent="0.35">
      <c r="A234" s="2" t="s">
        <v>246</v>
      </c>
      <c r="B234" s="5">
        <v>45538</v>
      </c>
      <c r="C234" s="5">
        <f>IF(H234&lt;B234,H234,B234)</f>
        <v>45538</v>
      </c>
      <c r="D234" s="5" t="str">
        <f t="shared" si="36"/>
        <v>Sep-2024</v>
      </c>
      <c r="E234" s="5" t="str">
        <f t="shared" si="37"/>
        <v>Sep</v>
      </c>
      <c r="F234" s="5" t="str">
        <f t="shared" si="38"/>
        <v>2024</v>
      </c>
      <c r="G234" s="5" t="str">
        <f t="shared" si="39"/>
        <v>Q3-2024</v>
      </c>
      <c r="H234" s="5">
        <v>45543</v>
      </c>
      <c r="I234" s="5">
        <f>IF(H234&lt;B234, B234+7, H234)</f>
        <v>45543</v>
      </c>
      <c r="J234" s="5" t="str">
        <f>IF(H234&lt;B234, "Invalid","Okay")</f>
        <v>Okay</v>
      </c>
      <c r="K234" s="16">
        <f>I234-C234</f>
        <v>5</v>
      </c>
      <c r="L234" s="16" t="str">
        <f t="shared" si="40"/>
        <v>Target Met</v>
      </c>
      <c r="M234" s="2" t="s">
        <v>646</v>
      </c>
      <c r="N234" s="2" t="s">
        <v>651</v>
      </c>
      <c r="O234" s="2" t="s">
        <v>665</v>
      </c>
      <c r="P234" s="29" t="str">
        <f t="shared" si="41"/>
        <v>Africa→Nigeria→Lagos</v>
      </c>
      <c r="Q234" s="2" t="s">
        <v>705</v>
      </c>
      <c r="R234" s="2" t="s">
        <v>711</v>
      </c>
      <c r="S234" s="2" t="s">
        <v>723</v>
      </c>
      <c r="T234" s="2" t="s">
        <v>728</v>
      </c>
      <c r="U234" t="e">
        <f>(AE234/#REF!)*100</f>
        <v>#REF!</v>
      </c>
      <c r="V234" s="2" t="s">
        <v>966</v>
      </c>
      <c r="W234" s="7">
        <v>197.63</v>
      </c>
      <c r="X234" s="7">
        <v>325.79000000000002</v>
      </c>
      <c r="Y234" s="7">
        <f t="shared" si="42"/>
        <v>325.79000000000002</v>
      </c>
      <c r="Z234" s="7" t="str">
        <f t="shared" si="43"/>
        <v>Low</v>
      </c>
      <c r="AA234" s="13">
        <v>0.11600000000000001</v>
      </c>
      <c r="AB234" s="13">
        <f t="shared" si="44"/>
        <v>0.11600000000000001</v>
      </c>
      <c r="AC234" s="13" t="str">
        <f t="shared" si="45"/>
        <v>OK</v>
      </c>
      <c r="AD234" s="7">
        <v>10</v>
      </c>
      <c r="AE234" s="7">
        <f>Y234*AD234*(1-AB234)</f>
        <v>2879.9836</v>
      </c>
      <c r="AF234" s="7">
        <f>W234*AD234</f>
        <v>1976.3</v>
      </c>
      <c r="AG234" s="7">
        <f t="shared" si="46"/>
        <v>903.68360000000007</v>
      </c>
      <c r="AH234" s="13">
        <f t="shared" si="47"/>
        <v>0.31378081458519419</v>
      </c>
    </row>
    <row r="235" spans="1:34" x14ac:dyDescent="0.35">
      <c r="A235" s="2" t="s">
        <v>247</v>
      </c>
      <c r="B235" s="5">
        <v>45540</v>
      </c>
      <c r="C235" s="5">
        <f>IF(H235&lt;B235,H235,B235)</f>
        <v>45540</v>
      </c>
      <c r="D235" s="5" t="str">
        <f t="shared" si="36"/>
        <v>Sep-2024</v>
      </c>
      <c r="E235" s="5" t="str">
        <f t="shared" si="37"/>
        <v>Sep</v>
      </c>
      <c r="F235" s="5" t="str">
        <f t="shared" si="38"/>
        <v>2024</v>
      </c>
      <c r="G235" s="5" t="str">
        <f t="shared" si="39"/>
        <v>Q3-2024</v>
      </c>
      <c r="H235" s="5">
        <v>45560</v>
      </c>
      <c r="I235" s="5">
        <f>IF(H235&lt;B235, B235+7, H235)</f>
        <v>45560</v>
      </c>
      <c r="J235" s="5" t="str">
        <f>IF(H235&lt;B235, "Invalid","Okay")</f>
        <v>Okay</v>
      </c>
      <c r="K235" s="16">
        <f>I235-C235</f>
        <v>20</v>
      </c>
      <c r="L235" s="16" t="str">
        <f t="shared" si="40"/>
        <v>Target Not Met</v>
      </c>
      <c r="M235" s="2" t="s">
        <v>647</v>
      </c>
      <c r="N235" s="2" t="s">
        <v>652</v>
      </c>
      <c r="O235" s="2" t="s">
        <v>666</v>
      </c>
      <c r="P235" s="29" t="str">
        <f t="shared" si="41"/>
        <v>Asia→Japan→Osaka</v>
      </c>
      <c r="Q235" s="2" t="s">
        <v>706</v>
      </c>
      <c r="R235" s="2" t="s">
        <v>710</v>
      </c>
      <c r="S235" s="2" t="s">
        <v>726</v>
      </c>
      <c r="T235" s="2" t="s">
        <v>732</v>
      </c>
      <c r="U235" t="e">
        <f>(AE235/#REF!)*100</f>
        <v>#REF!</v>
      </c>
      <c r="V235" s="2" t="s">
        <v>967</v>
      </c>
      <c r="W235" s="7">
        <v>195.54</v>
      </c>
      <c r="X235" s="7">
        <v>405.97</v>
      </c>
      <c r="Y235" s="7">
        <f t="shared" si="42"/>
        <v>405.97</v>
      </c>
      <c r="Z235" s="7" t="str">
        <f t="shared" si="43"/>
        <v>Low</v>
      </c>
      <c r="AA235" s="13">
        <v>0.187</v>
      </c>
      <c r="AB235" s="13">
        <f t="shared" si="44"/>
        <v>0.187</v>
      </c>
      <c r="AC235" s="13" t="str">
        <f t="shared" si="45"/>
        <v>OK</v>
      </c>
      <c r="AD235" s="7">
        <v>16</v>
      </c>
      <c r="AE235" s="7">
        <f>Y235*AD235*(1-AB235)</f>
        <v>5280.8577599999999</v>
      </c>
      <c r="AF235" s="7">
        <f>W235*AD235</f>
        <v>3128.64</v>
      </c>
      <c r="AG235" s="7">
        <f t="shared" si="46"/>
        <v>2152.21776</v>
      </c>
      <c r="AH235" s="13">
        <f t="shared" si="47"/>
        <v>0.40755079152141377</v>
      </c>
    </row>
    <row r="236" spans="1:34" x14ac:dyDescent="0.35">
      <c r="A236" s="2" t="s">
        <v>248</v>
      </c>
      <c r="B236" s="5">
        <v>44999</v>
      </c>
      <c r="C236" s="5">
        <f>IF(H236&lt;B236,H236,B236)</f>
        <v>44999</v>
      </c>
      <c r="D236" s="5" t="str">
        <f t="shared" si="36"/>
        <v>Mar-2023</v>
      </c>
      <c r="E236" s="5" t="str">
        <f t="shared" si="37"/>
        <v>Mar</v>
      </c>
      <c r="F236" s="5" t="str">
        <f t="shared" si="38"/>
        <v>2023</v>
      </c>
      <c r="G236" s="5" t="str">
        <f t="shared" si="39"/>
        <v>Q1-2023</v>
      </c>
      <c r="H236" s="5">
        <v>45015</v>
      </c>
      <c r="I236" s="5">
        <f>IF(H236&lt;B236, B236+7, H236)</f>
        <v>45015</v>
      </c>
      <c r="J236" s="5" t="str">
        <f>IF(H236&lt;B236, "Invalid","Okay")</f>
        <v>Okay</v>
      </c>
      <c r="K236" s="16">
        <f>I236-C236</f>
        <v>16</v>
      </c>
      <c r="L236" s="16" t="str">
        <f t="shared" si="40"/>
        <v>Target Not Met</v>
      </c>
      <c r="M236" s="2" t="s">
        <v>646</v>
      </c>
      <c r="N236" s="2" t="s">
        <v>661</v>
      </c>
      <c r="O236" s="2" t="s">
        <v>695</v>
      </c>
      <c r="P236" s="29" t="str">
        <f t="shared" si="41"/>
        <v>Africa→South Africa→Cape Town</v>
      </c>
      <c r="Q236" s="2" t="s">
        <v>704</v>
      </c>
      <c r="R236" s="2" t="s">
        <v>710</v>
      </c>
      <c r="S236" s="2" t="s">
        <v>723</v>
      </c>
      <c r="T236" s="2" t="s">
        <v>727</v>
      </c>
      <c r="U236" t="e">
        <f>(AE236/#REF!)*100</f>
        <v>#REF!</v>
      </c>
      <c r="V236" s="2" t="s">
        <v>968</v>
      </c>
      <c r="W236" s="7">
        <v>1309.77</v>
      </c>
      <c r="X236" s="7">
        <v>1589.07</v>
      </c>
      <c r="Y236" s="7">
        <f t="shared" si="42"/>
        <v>1589.07</v>
      </c>
      <c r="Z236" s="7" t="str">
        <f t="shared" si="43"/>
        <v>Medium</v>
      </c>
      <c r="AA236" s="13">
        <v>0.10199999999999999</v>
      </c>
      <c r="AB236" s="13">
        <f t="shared" si="44"/>
        <v>0.10199999999999999</v>
      </c>
      <c r="AC236" s="13" t="str">
        <f t="shared" si="45"/>
        <v>OK</v>
      </c>
      <c r="AD236" s="7">
        <v>10</v>
      </c>
      <c r="AE236" s="7">
        <f>Y236*AD236*(1-AB236)</f>
        <v>14269.848599999999</v>
      </c>
      <c r="AF236" s="7">
        <f>W236*AD236</f>
        <v>13097.7</v>
      </c>
      <c r="AG236" s="7">
        <f t="shared" si="46"/>
        <v>1172.1485999999986</v>
      </c>
      <c r="AH236" s="13">
        <f t="shared" si="47"/>
        <v>8.2141628328137886E-2</v>
      </c>
    </row>
    <row r="237" spans="1:34" x14ac:dyDescent="0.35">
      <c r="A237" s="2" t="s">
        <v>249</v>
      </c>
      <c r="B237" s="5">
        <v>45302</v>
      </c>
      <c r="C237" s="5">
        <f>IF(H237&lt;B237,H237,B237)</f>
        <v>45302</v>
      </c>
      <c r="D237" s="5" t="str">
        <f t="shared" si="36"/>
        <v>Jan-2024</v>
      </c>
      <c r="E237" s="5" t="str">
        <f t="shared" si="37"/>
        <v>Jan</v>
      </c>
      <c r="F237" s="5" t="str">
        <f t="shared" si="38"/>
        <v>2024</v>
      </c>
      <c r="G237" s="5" t="str">
        <f t="shared" si="39"/>
        <v>Q1-2024</v>
      </c>
      <c r="H237" s="5">
        <v>45324</v>
      </c>
      <c r="I237" s="5">
        <f>IF(H237&lt;B237, B237+7, H237)</f>
        <v>45324</v>
      </c>
      <c r="J237" s="5" t="str">
        <f>IF(H237&lt;B237, "Invalid","Okay")</f>
        <v>Okay</v>
      </c>
      <c r="K237" s="16">
        <f>I237-C237</f>
        <v>22</v>
      </c>
      <c r="L237" s="16" t="str">
        <f t="shared" si="40"/>
        <v>Target Not Met</v>
      </c>
      <c r="M237" s="2" t="s">
        <v>647</v>
      </c>
      <c r="N237" s="2" t="s">
        <v>652</v>
      </c>
      <c r="O237" s="2" t="s">
        <v>694</v>
      </c>
      <c r="P237" s="29" t="str">
        <f t="shared" si="41"/>
        <v>Asia→Japan→Nagoya</v>
      </c>
      <c r="Q237" s="2" t="s">
        <v>705</v>
      </c>
      <c r="R237" s="2" t="s">
        <v>708</v>
      </c>
      <c r="S237" s="2" t="s">
        <v>1423</v>
      </c>
      <c r="T237" s="2" t="s">
        <v>728</v>
      </c>
      <c r="U237" t="e">
        <f>(AE237/#REF!)*100</f>
        <v>#REF!</v>
      </c>
      <c r="V237" s="2" t="s">
        <v>969</v>
      </c>
      <c r="W237" s="7">
        <v>1237.68</v>
      </c>
      <c r="X237" s="7">
        <v>1432.8</v>
      </c>
      <c r="Y237" s="7">
        <f t="shared" si="42"/>
        <v>1432.8</v>
      </c>
      <c r="Z237" s="7" t="str">
        <f t="shared" si="43"/>
        <v>Medium</v>
      </c>
      <c r="AA237" s="13">
        <v>6.8000000000000005E-2</v>
      </c>
      <c r="AB237" s="13">
        <f t="shared" si="44"/>
        <v>6.8000000000000005E-2</v>
      </c>
      <c r="AC237" s="13" t="str">
        <f t="shared" si="45"/>
        <v>OK</v>
      </c>
      <c r="AD237" s="7">
        <v>13</v>
      </c>
      <c r="AE237" s="7">
        <f>Y237*AD237*(1-AB237)</f>
        <v>17359.804799999998</v>
      </c>
      <c r="AF237" s="7">
        <f>W237*AD237</f>
        <v>16089.84</v>
      </c>
      <c r="AG237" s="7">
        <f t="shared" si="46"/>
        <v>1269.9647999999979</v>
      </c>
      <c r="AH237" s="13">
        <f t="shared" si="47"/>
        <v>7.315547695559331E-2</v>
      </c>
    </row>
    <row r="238" spans="1:34" x14ac:dyDescent="0.35">
      <c r="A238" s="2" t="s">
        <v>250</v>
      </c>
      <c r="B238" s="5">
        <v>45548</v>
      </c>
      <c r="C238" s="5">
        <f>IF(H238&lt;B238,H238,B238)</f>
        <v>45548</v>
      </c>
      <c r="D238" s="5" t="str">
        <f t="shared" si="36"/>
        <v>Sep-2024</v>
      </c>
      <c r="E238" s="5" t="str">
        <f t="shared" si="37"/>
        <v>Sep</v>
      </c>
      <c r="F238" s="5" t="str">
        <f t="shared" si="38"/>
        <v>2024</v>
      </c>
      <c r="G238" s="5" t="str">
        <f t="shared" si="39"/>
        <v>Q3-2024</v>
      </c>
      <c r="H238" s="5">
        <v>45567</v>
      </c>
      <c r="I238" s="5">
        <f>IF(H238&lt;B238, B238+7, H238)</f>
        <v>45567</v>
      </c>
      <c r="J238" s="5" t="str">
        <f>IF(H238&lt;B238, "Invalid","Okay")</f>
        <v>Okay</v>
      </c>
      <c r="K238" s="16">
        <f>I238-C238</f>
        <v>19</v>
      </c>
      <c r="L238" s="16" t="str">
        <f t="shared" si="40"/>
        <v>Target Not Met</v>
      </c>
      <c r="M238" s="2" t="s">
        <v>646</v>
      </c>
      <c r="N238" s="2" t="s">
        <v>650</v>
      </c>
      <c r="O238" s="2" t="s">
        <v>675</v>
      </c>
      <c r="P238" s="29" t="str">
        <f t="shared" si="41"/>
        <v>Africa→Kenya→Mombasa</v>
      </c>
      <c r="Q238" s="2" t="s">
        <v>705</v>
      </c>
      <c r="R238" s="2" t="s">
        <v>707</v>
      </c>
      <c r="S238" s="2" t="s">
        <v>724</v>
      </c>
      <c r="T238" s="2" t="s">
        <v>730</v>
      </c>
      <c r="U238" t="e">
        <f>(AE238/#REF!)*100</f>
        <v>#REF!</v>
      </c>
      <c r="V238" s="2" t="s">
        <v>970</v>
      </c>
      <c r="W238" s="7">
        <v>1338.99</v>
      </c>
      <c r="X238" s="7">
        <v>1765.76</v>
      </c>
      <c r="Y238" s="7">
        <f t="shared" si="42"/>
        <v>1765.76</v>
      </c>
      <c r="Z238" s="7" t="str">
        <f t="shared" si="43"/>
        <v>Medium</v>
      </c>
      <c r="AA238" s="13">
        <v>0.126</v>
      </c>
      <c r="AB238" s="13">
        <f t="shared" si="44"/>
        <v>0.126</v>
      </c>
      <c r="AC238" s="13" t="str">
        <f t="shared" si="45"/>
        <v>OK</v>
      </c>
      <c r="AD238" s="7">
        <v>24</v>
      </c>
      <c r="AE238" s="7">
        <f>Y238*AD238*(1-AB238)</f>
        <v>37038.581760000001</v>
      </c>
      <c r="AF238" s="7">
        <f>W238*AD238</f>
        <v>32135.760000000002</v>
      </c>
      <c r="AG238" s="7">
        <f t="shared" si="46"/>
        <v>4902.8217599999989</v>
      </c>
      <c r="AH238" s="13">
        <f t="shared" si="47"/>
        <v>0.1323706666677725</v>
      </c>
    </row>
    <row r="239" spans="1:34" x14ac:dyDescent="0.35">
      <c r="A239" s="2" t="s">
        <v>251</v>
      </c>
      <c r="B239" s="5">
        <v>45855</v>
      </c>
      <c r="C239" s="5">
        <f>IF(H239&lt;B239,H239,B239)</f>
        <v>45855</v>
      </c>
      <c r="D239" s="5" t="str">
        <f t="shared" si="36"/>
        <v>Jul-2025</v>
      </c>
      <c r="E239" s="5" t="str">
        <f t="shared" si="37"/>
        <v>Jul</v>
      </c>
      <c r="F239" s="5" t="str">
        <f t="shared" si="38"/>
        <v>2025</v>
      </c>
      <c r="G239" s="5" t="str">
        <f t="shared" si="39"/>
        <v>Q3-2025</v>
      </c>
      <c r="H239" s="5">
        <v>45861</v>
      </c>
      <c r="I239" s="5">
        <f>IF(H239&lt;B239, B239+7, H239)</f>
        <v>45861</v>
      </c>
      <c r="J239" s="5" t="str">
        <f>IF(H239&lt;B239, "Invalid","Okay")</f>
        <v>Okay</v>
      </c>
      <c r="K239" s="16">
        <f>I239-C239</f>
        <v>6</v>
      </c>
      <c r="L239" s="16" t="str">
        <f t="shared" si="40"/>
        <v>Target Met</v>
      </c>
      <c r="M239" s="2" t="s">
        <v>648</v>
      </c>
      <c r="N239" s="2" t="s">
        <v>653</v>
      </c>
      <c r="O239" s="2" t="s">
        <v>688</v>
      </c>
      <c r="P239" s="29" t="str">
        <f t="shared" si="41"/>
        <v>Americas→Canada→Vancouver</v>
      </c>
      <c r="Q239" s="2" t="s">
        <v>704</v>
      </c>
      <c r="R239" s="2" t="s">
        <v>708</v>
      </c>
      <c r="S239" s="2" t="s">
        <v>722</v>
      </c>
      <c r="T239" s="2" t="s">
        <v>727</v>
      </c>
      <c r="U239" t="e">
        <f>(AE239/#REF!)*100</f>
        <v>#REF!</v>
      </c>
      <c r="V239" s="2" t="s">
        <v>971</v>
      </c>
      <c r="W239" s="7">
        <v>1364.89</v>
      </c>
      <c r="X239" s="7">
        <v>2757.54</v>
      </c>
      <c r="Y239" s="7">
        <f t="shared" si="42"/>
        <v>2757.54</v>
      </c>
      <c r="Z239" s="7" t="str">
        <f t="shared" si="43"/>
        <v>High</v>
      </c>
      <c r="AA239" s="13">
        <v>0.17199999999999999</v>
      </c>
      <c r="AB239" s="13">
        <f t="shared" si="44"/>
        <v>0.17199999999999999</v>
      </c>
      <c r="AC239" s="13" t="str">
        <f t="shared" si="45"/>
        <v>OK</v>
      </c>
      <c r="AD239" s="7">
        <v>61</v>
      </c>
      <c r="AE239" s="7">
        <f>Y239*AD239*(1-AB239)</f>
        <v>139277.83032000001</v>
      </c>
      <c r="AF239" s="7">
        <f>W239*AD239</f>
        <v>83258.290000000008</v>
      </c>
      <c r="AG239" s="7">
        <f t="shared" si="46"/>
        <v>56019.54032</v>
      </c>
      <c r="AH239" s="13">
        <f t="shared" si="47"/>
        <v>0.4022143379983118</v>
      </c>
    </row>
    <row r="240" spans="1:34" x14ac:dyDescent="0.35">
      <c r="A240" s="2" t="s">
        <v>252</v>
      </c>
      <c r="B240" s="5">
        <v>45258</v>
      </c>
      <c r="C240" s="5">
        <f>IF(H240&lt;B240,H240,B240)</f>
        <v>45258</v>
      </c>
      <c r="D240" s="5" t="str">
        <f t="shared" si="36"/>
        <v>Nov-2023</v>
      </c>
      <c r="E240" s="5" t="str">
        <f t="shared" si="37"/>
        <v>Nov</v>
      </c>
      <c r="F240" s="5" t="str">
        <f t="shared" si="38"/>
        <v>2023</v>
      </c>
      <c r="G240" s="5" t="str">
        <f t="shared" si="39"/>
        <v>Q4-2023</v>
      </c>
      <c r="H240" s="5">
        <v>45267</v>
      </c>
      <c r="I240" s="5">
        <f>IF(H240&lt;B240, B240+7, H240)</f>
        <v>45267</v>
      </c>
      <c r="J240" s="5" t="str">
        <f>IF(H240&lt;B240, "Invalid","Okay")</f>
        <v>Okay</v>
      </c>
      <c r="K240" s="16">
        <f>I240-C240</f>
        <v>9</v>
      </c>
      <c r="L240" s="16" t="str">
        <f t="shared" si="40"/>
        <v>Target Not Met</v>
      </c>
      <c r="M240" s="2" t="s">
        <v>647</v>
      </c>
      <c r="N240" s="2" t="s">
        <v>654</v>
      </c>
      <c r="O240" s="2" t="s">
        <v>680</v>
      </c>
      <c r="P240" s="29" t="str">
        <f t="shared" si="41"/>
        <v>Asia→India→Delhi</v>
      </c>
      <c r="Q240" s="2" t="s">
        <v>706</v>
      </c>
      <c r="R240" s="2" t="s">
        <v>709</v>
      </c>
      <c r="S240" s="2" t="s">
        <v>716</v>
      </c>
      <c r="T240" s="2" t="s">
        <v>730</v>
      </c>
      <c r="U240" t="e">
        <f>(AE240/#REF!)*100</f>
        <v>#REF!</v>
      </c>
      <c r="V240" s="2" t="s">
        <v>972</v>
      </c>
      <c r="W240" s="7">
        <v>699.33</v>
      </c>
      <c r="X240" s="7">
        <v>873.75</v>
      </c>
      <c r="Y240" s="7">
        <f t="shared" si="42"/>
        <v>873.75</v>
      </c>
      <c r="Z240" s="7" t="str">
        <f t="shared" si="43"/>
        <v>Low</v>
      </c>
      <c r="AA240" s="13">
        <v>0.23499999999999999</v>
      </c>
      <c r="AB240" s="13">
        <f t="shared" si="44"/>
        <v>0.23499999999999999</v>
      </c>
      <c r="AC240" s="13" t="str">
        <f t="shared" si="45"/>
        <v>OK</v>
      </c>
      <c r="AD240" s="7">
        <v>10</v>
      </c>
      <c r="AE240" s="7">
        <f>Y240*AD240*(1-AB240)</f>
        <v>6684.1875</v>
      </c>
      <c r="AF240" s="7">
        <f>W240*AD240</f>
        <v>6993.3</v>
      </c>
      <c r="AG240" s="7">
        <f t="shared" si="46"/>
        <v>-309.11250000000018</v>
      </c>
      <c r="AH240" s="13">
        <f t="shared" si="47"/>
        <v>-4.6245336475076469E-2</v>
      </c>
    </row>
    <row r="241" spans="1:34" x14ac:dyDescent="0.35">
      <c r="A241" s="2" t="s">
        <v>253</v>
      </c>
      <c r="B241" s="5">
        <v>45381</v>
      </c>
      <c r="C241" s="5">
        <f>IF(H241&lt;B241,H241,B241)</f>
        <v>45381</v>
      </c>
      <c r="D241" s="5" t="str">
        <f t="shared" si="36"/>
        <v>Mar-2024</v>
      </c>
      <c r="E241" s="5" t="str">
        <f t="shared" si="37"/>
        <v>Mar</v>
      </c>
      <c r="F241" s="5" t="str">
        <f t="shared" si="38"/>
        <v>2024</v>
      </c>
      <c r="G241" s="5" t="str">
        <f t="shared" si="39"/>
        <v>Q1-2024</v>
      </c>
      <c r="H241" s="5">
        <v>45406</v>
      </c>
      <c r="I241" s="5">
        <f>IF(H241&lt;B241, B241+7, H241)</f>
        <v>45406</v>
      </c>
      <c r="J241" s="5" t="str">
        <f>IF(H241&lt;B241, "Invalid","Okay")</f>
        <v>Okay</v>
      </c>
      <c r="K241" s="16">
        <f>I241-C241</f>
        <v>25</v>
      </c>
      <c r="L241" s="16" t="str">
        <f t="shared" si="40"/>
        <v>Target Not Met</v>
      </c>
      <c r="M241" s="2" t="s">
        <v>648</v>
      </c>
      <c r="N241" s="2" t="s">
        <v>660</v>
      </c>
      <c r="O241" s="2" t="s">
        <v>697</v>
      </c>
      <c r="P241" s="29" t="str">
        <f t="shared" si="41"/>
        <v>Americas→USA→Austin</v>
      </c>
      <c r="Q241" s="2" t="s">
        <v>703</v>
      </c>
      <c r="R241" s="2" t="s">
        <v>708</v>
      </c>
      <c r="S241" s="2" t="s">
        <v>715</v>
      </c>
      <c r="T241" s="2" t="s">
        <v>731</v>
      </c>
      <c r="U241" t="e">
        <f>(AE241/#REF!)*100</f>
        <v>#REF!</v>
      </c>
      <c r="V241" s="2" t="s">
        <v>973</v>
      </c>
      <c r="W241" s="7">
        <v>160.82</v>
      </c>
      <c r="X241" s="7">
        <v>258.52</v>
      </c>
      <c r="Y241" s="7">
        <f t="shared" si="42"/>
        <v>258.52</v>
      </c>
      <c r="Z241" s="7" t="str">
        <f t="shared" si="43"/>
        <v>Low</v>
      </c>
      <c r="AA241" s="13">
        <v>0.13</v>
      </c>
      <c r="AB241" s="13">
        <f t="shared" si="44"/>
        <v>0.13</v>
      </c>
      <c r="AC241" s="13" t="str">
        <f t="shared" si="45"/>
        <v>OK</v>
      </c>
      <c r="AD241" s="7">
        <v>17</v>
      </c>
      <c r="AE241" s="7">
        <f>Y241*AD241*(1-AB241)</f>
        <v>3823.5108</v>
      </c>
      <c r="AF241" s="7">
        <f>W241*AD241</f>
        <v>2733.94</v>
      </c>
      <c r="AG241" s="7">
        <f t="shared" si="46"/>
        <v>1089.5708</v>
      </c>
      <c r="AH241" s="13">
        <f t="shared" si="47"/>
        <v>0.28496605789631874</v>
      </c>
    </row>
    <row r="242" spans="1:34" x14ac:dyDescent="0.35">
      <c r="A242" s="2" t="s">
        <v>254</v>
      </c>
      <c r="B242" s="5">
        <v>45188</v>
      </c>
      <c r="C242" s="5">
        <f>IF(H242&lt;B242,H242,B242)</f>
        <v>45188</v>
      </c>
      <c r="D242" s="5" t="str">
        <f t="shared" si="36"/>
        <v>Sep-2023</v>
      </c>
      <c r="E242" s="5" t="str">
        <f t="shared" si="37"/>
        <v>Sep</v>
      </c>
      <c r="F242" s="5" t="str">
        <f t="shared" si="38"/>
        <v>2023</v>
      </c>
      <c r="G242" s="5" t="str">
        <f t="shared" si="39"/>
        <v>Q3-2023</v>
      </c>
      <c r="H242" s="5">
        <v>45207</v>
      </c>
      <c r="I242" s="5">
        <f>IF(H242&lt;B242, B242+7, H242)</f>
        <v>45207</v>
      </c>
      <c r="J242" s="5" t="str">
        <f>IF(H242&lt;B242, "Invalid","Okay")</f>
        <v>Okay</v>
      </c>
      <c r="K242" s="16">
        <f>I242-C242</f>
        <v>19</v>
      </c>
      <c r="L242" s="16" t="str">
        <f t="shared" si="40"/>
        <v>Target Not Met</v>
      </c>
      <c r="M242" s="2" t="s">
        <v>647</v>
      </c>
      <c r="N242" s="2" t="s">
        <v>654</v>
      </c>
      <c r="O242" s="2" t="s">
        <v>668</v>
      </c>
      <c r="P242" s="29" t="str">
        <f t="shared" si="41"/>
        <v>Asia→India→Bengaluru</v>
      </c>
      <c r="Q242" s="2" t="s">
        <v>702</v>
      </c>
      <c r="R242" s="2" t="s">
        <v>711</v>
      </c>
      <c r="S242" s="2" t="s">
        <v>713</v>
      </c>
      <c r="T242" s="2" t="s">
        <v>728</v>
      </c>
      <c r="U242" t="e">
        <f>(AE242/#REF!)*100</f>
        <v>#REF!</v>
      </c>
      <c r="V242" s="2" t="s">
        <v>974</v>
      </c>
      <c r="W242" s="7">
        <v>385.32</v>
      </c>
      <c r="X242" s="7">
        <v>606.76</v>
      </c>
      <c r="Y242" s="7">
        <f t="shared" si="42"/>
        <v>606.76</v>
      </c>
      <c r="Z242" s="7" t="str">
        <f t="shared" si="43"/>
        <v>Low</v>
      </c>
      <c r="AA242" s="13">
        <v>8.5999999999999993E-2</v>
      </c>
      <c r="AB242" s="13">
        <f t="shared" si="44"/>
        <v>8.5999999999999993E-2</v>
      </c>
      <c r="AC242" s="13" t="str">
        <f t="shared" si="45"/>
        <v>OK</v>
      </c>
      <c r="AD242" s="7">
        <v>8</v>
      </c>
      <c r="AE242" s="7">
        <f>Y242*AD242*(1-AB242)</f>
        <v>4436.6291200000005</v>
      </c>
      <c r="AF242" s="7">
        <f>W242*AD242</f>
        <v>3082.56</v>
      </c>
      <c r="AG242" s="7">
        <f t="shared" si="46"/>
        <v>1354.0691200000006</v>
      </c>
      <c r="AH242" s="13">
        <f t="shared" si="47"/>
        <v>0.30520223425842735</v>
      </c>
    </row>
    <row r="243" spans="1:34" x14ac:dyDescent="0.35">
      <c r="A243" s="2" t="s">
        <v>255</v>
      </c>
      <c r="B243" s="5">
        <v>45793</v>
      </c>
      <c r="C243" s="5">
        <f>IF(H243&lt;B243,H243,B243)</f>
        <v>45793</v>
      </c>
      <c r="D243" s="5" t="str">
        <f t="shared" si="36"/>
        <v>May-2025</v>
      </c>
      <c r="E243" s="5" t="str">
        <f t="shared" si="37"/>
        <v>May</v>
      </c>
      <c r="F243" s="5" t="str">
        <f t="shared" si="38"/>
        <v>2025</v>
      </c>
      <c r="G243" s="5" t="str">
        <f t="shared" si="39"/>
        <v>Q2-2025</v>
      </c>
      <c r="H243" s="5">
        <v>45804</v>
      </c>
      <c r="I243" s="5">
        <f>IF(H243&lt;B243, B243+7, H243)</f>
        <v>45804</v>
      </c>
      <c r="J243" s="5" t="str">
        <f>IF(H243&lt;B243, "Invalid","Okay")</f>
        <v>Okay</v>
      </c>
      <c r="K243" s="16">
        <f>I243-C243</f>
        <v>11</v>
      </c>
      <c r="L243" s="16" t="str">
        <f t="shared" si="40"/>
        <v>Target Not Met</v>
      </c>
      <c r="M243" s="2" t="s">
        <v>647</v>
      </c>
      <c r="N243" s="2" t="s">
        <v>659</v>
      </c>
      <c r="O243" s="2" t="s">
        <v>699</v>
      </c>
      <c r="P243" s="29" t="str">
        <f t="shared" si="41"/>
        <v>Asia→China→Beijing</v>
      </c>
      <c r="Q243" s="2" t="s">
        <v>706</v>
      </c>
      <c r="R243" s="2" t="s">
        <v>708</v>
      </c>
      <c r="S243" s="2" t="s">
        <v>721</v>
      </c>
      <c r="T243" s="2" t="s">
        <v>730</v>
      </c>
      <c r="U243" t="e">
        <f>(AE243/#REF!)*100</f>
        <v>#REF!</v>
      </c>
      <c r="V243" s="2" t="s">
        <v>975</v>
      </c>
      <c r="W243" s="7">
        <v>918.12</v>
      </c>
      <c r="X243" s="7">
        <v>1337.69</v>
      </c>
      <c r="Y243" s="7">
        <f t="shared" si="42"/>
        <v>1337.69</v>
      </c>
      <c r="Z243" s="7" t="str">
        <f t="shared" si="43"/>
        <v>Medium</v>
      </c>
      <c r="AA243" s="13">
        <v>9.5000000000000001E-2</v>
      </c>
      <c r="AB243" s="13">
        <f t="shared" si="44"/>
        <v>9.5000000000000001E-2</v>
      </c>
      <c r="AC243" s="13" t="str">
        <f t="shared" si="45"/>
        <v>OK</v>
      </c>
      <c r="AD243" s="7">
        <v>8</v>
      </c>
      <c r="AE243" s="7">
        <f>Y243*AD243*(1-AB243)</f>
        <v>9684.8756000000012</v>
      </c>
      <c r="AF243" s="7">
        <f>W243*AD243</f>
        <v>7344.96</v>
      </c>
      <c r="AG243" s="7">
        <f t="shared" si="46"/>
        <v>2339.9156000000012</v>
      </c>
      <c r="AH243" s="13">
        <f t="shared" si="47"/>
        <v>0.24160512707050164</v>
      </c>
    </row>
    <row r="244" spans="1:34" x14ac:dyDescent="0.35">
      <c r="A244" s="2" t="s">
        <v>256</v>
      </c>
      <c r="B244" s="5">
        <v>45871</v>
      </c>
      <c r="C244" s="5">
        <f>IF(H244&lt;B244,H244,B244)</f>
        <v>45871</v>
      </c>
      <c r="D244" s="5" t="str">
        <f t="shared" si="36"/>
        <v>Aug-2025</v>
      </c>
      <c r="E244" s="5" t="str">
        <f t="shared" si="37"/>
        <v>Aug</v>
      </c>
      <c r="F244" s="5" t="str">
        <f t="shared" si="38"/>
        <v>2025</v>
      </c>
      <c r="G244" s="5" t="str">
        <f t="shared" si="39"/>
        <v>Q3-2025</v>
      </c>
      <c r="H244" s="5">
        <v>45877</v>
      </c>
      <c r="I244" s="5">
        <f>IF(H244&lt;B244, B244+7, H244)</f>
        <v>45877</v>
      </c>
      <c r="J244" s="5" t="str">
        <f>IF(H244&lt;B244, "Invalid","Okay")</f>
        <v>Okay</v>
      </c>
      <c r="K244" s="16">
        <f>I244-C244</f>
        <v>6</v>
      </c>
      <c r="L244" s="16" t="str">
        <f t="shared" si="40"/>
        <v>Target Met</v>
      </c>
      <c r="M244" s="2" t="s">
        <v>647</v>
      </c>
      <c r="N244" s="2" t="s">
        <v>652</v>
      </c>
      <c r="O244" s="2" t="s">
        <v>666</v>
      </c>
      <c r="P244" s="29" t="str">
        <f t="shared" si="41"/>
        <v>Asia→Japan→Osaka</v>
      </c>
      <c r="Q244" s="2" t="s">
        <v>704</v>
      </c>
      <c r="R244" s="2" t="s">
        <v>711</v>
      </c>
      <c r="S244" s="2" t="s">
        <v>725</v>
      </c>
      <c r="T244" s="2" t="s">
        <v>731</v>
      </c>
      <c r="U244" t="e">
        <f>(AE244/#REF!)*100</f>
        <v>#REF!</v>
      </c>
      <c r="V244" s="2" t="s">
        <v>976</v>
      </c>
      <c r="W244" s="7">
        <v>1225.94</v>
      </c>
      <c r="X244" s="7">
        <v>1793.08</v>
      </c>
      <c r="Y244" s="7">
        <f t="shared" si="42"/>
        <v>1793.08</v>
      </c>
      <c r="Z244" s="7" t="str">
        <f t="shared" si="43"/>
        <v>Medium</v>
      </c>
      <c r="AA244" s="13">
        <v>0.13600000000000001</v>
      </c>
      <c r="AB244" s="13">
        <f t="shared" si="44"/>
        <v>0.13600000000000001</v>
      </c>
      <c r="AC244" s="13" t="str">
        <f t="shared" si="45"/>
        <v>OK</v>
      </c>
      <c r="AD244" s="7">
        <v>22</v>
      </c>
      <c r="AE244" s="7">
        <f>Y244*AD244*(1-AB244)</f>
        <v>34082.864639999993</v>
      </c>
      <c r="AF244" s="7">
        <f>W244*AD244</f>
        <v>26970.68</v>
      </c>
      <c r="AG244" s="7">
        <f t="shared" si="46"/>
        <v>7112.1846399999922</v>
      </c>
      <c r="AH244" s="13">
        <f t="shared" si="47"/>
        <v>0.20867332353434462</v>
      </c>
    </row>
    <row r="245" spans="1:34" x14ac:dyDescent="0.35">
      <c r="A245" s="2" t="s">
        <v>257</v>
      </c>
      <c r="B245" s="5">
        <v>45630</v>
      </c>
      <c r="C245" s="5">
        <f>IF(H245&lt;B245,H245,B245)</f>
        <v>45630</v>
      </c>
      <c r="D245" s="5" t="str">
        <f t="shared" si="36"/>
        <v>Dec-2024</v>
      </c>
      <c r="E245" s="5" t="str">
        <f t="shared" si="37"/>
        <v>Dec</v>
      </c>
      <c r="F245" s="5" t="str">
        <f t="shared" si="38"/>
        <v>2024</v>
      </c>
      <c r="G245" s="5" t="str">
        <f t="shared" si="39"/>
        <v>Q4-2024</v>
      </c>
      <c r="H245" s="5">
        <v>45638</v>
      </c>
      <c r="I245" s="5">
        <f>IF(H245&lt;B245, B245+7, H245)</f>
        <v>45638</v>
      </c>
      <c r="J245" s="5" t="str">
        <f>IF(H245&lt;B245, "Invalid","Okay")</f>
        <v>Okay</v>
      </c>
      <c r="K245" s="16">
        <f>I245-C245</f>
        <v>8</v>
      </c>
      <c r="L245" s="16" t="str">
        <f t="shared" si="40"/>
        <v>Target Not Met</v>
      </c>
      <c r="M245" s="2" t="s">
        <v>649</v>
      </c>
      <c r="N245" s="2" t="s">
        <v>656</v>
      </c>
      <c r="O245" s="2" t="s">
        <v>698</v>
      </c>
      <c r="P245" s="29" t="str">
        <f t="shared" si="41"/>
        <v>Europe→Germany→Frankfurt</v>
      </c>
      <c r="Q245" s="2" t="s">
        <v>706</v>
      </c>
      <c r="R245" s="2" t="s">
        <v>709</v>
      </c>
      <c r="S245" s="2" t="s">
        <v>717</v>
      </c>
      <c r="T245" s="2" t="s">
        <v>728</v>
      </c>
      <c r="U245" t="e">
        <f>(AE245/#REF!)*100</f>
        <v>#REF!</v>
      </c>
      <c r="V245" s="2" t="s">
        <v>977</v>
      </c>
      <c r="W245" s="7">
        <v>72.06</v>
      </c>
      <c r="X245" s="7">
        <v>122.74</v>
      </c>
      <c r="Y245" s="7">
        <f t="shared" si="42"/>
        <v>122.74</v>
      </c>
      <c r="Z245" s="7" t="str">
        <f t="shared" si="43"/>
        <v>Low</v>
      </c>
      <c r="AA245" s="13">
        <v>0.23799999999999999</v>
      </c>
      <c r="AB245" s="13">
        <f t="shared" si="44"/>
        <v>0.23799999999999999</v>
      </c>
      <c r="AC245" s="13" t="str">
        <f t="shared" si="45"/>
        <v>OK</v>
      </c>
      <c r="AD245" s="7">
        <v>8</v>
      </c>
      <c r="AE245" s="7">
        <f>Y245*AD245*(1-AB245)</f>
        <v>748.22303999999997</v>
      </c>
      <c r="AF245" s="7">
        <f>W245*AD245</f>
        <v>576.48</v>
      </c>
      <c r="AG245" s="7">
        <f t="shared" si="46"/>
        <v>171.74303999999995</v>
      </c>
      <c r="AH245" s="13">
        <f t="shared" si="47"/>
        <v>0.22953455162246802</v>
      </c>
    </row>
    <row r="246" spans="1:34" x14ac:dyDescent="0.35">
      <c r="A246" s="2" t="s">
        <v>258</v>
      </c>
      <c r="B246" s="5">
        <v>45035</v>
      </c>
      <c r="C246" s="5">
        <f>IF(H246&lt;B246,H246,B246)</f>
        <v>45035</v>
      </c>
      <c r="D246" s="5" t="str">
        <f t="shared" si="36"/>
        <v>Apr-2023</v>
      </c>
      <c r="E246" s="5" t="str">
        <f t="shared" si="37"/>
        <v>Apr</v>
      </c>
      <c r="F246" s="5" t="str">
        <f t="shared" si="38"/>
        <v>2023</v>
      </c>
      <c r="G246" s="5" t="str">
        <f t="shared" si="39"/>
        <v>Q2-2023</v>
      </c>
      <c r="H246" s="5">
        <v>45044</v>
      </c>
      <c r="I246" s="5">
        <f>IF(H246&lt;B246, B246+7, H246)</f>
        <v>45044</v>
      </c>
      <c r="J246" s="5" t="str">
        <f>IF(H246&lt;B246, "Invalid","Okay")</f>
        <v>Okay</v>
      </c>
      <c r="K246" s="16">
        <f>I246-C246</f>
        <v>9</v>
      </c>
      <c r="L246" s="16" t="str">
        <f t="shared" si="40"/>
        <v>Target Not Met</v>
      </c>
      <c r="M246" s="2" t="s">
        <v>648</v>
      </c>
      <c r="N246" s="2" t="s">
        <v>655</v>
      </c>
      <c r="O246" s="2" t="s">
        <v>692</v>
      </c>
      <c r="P246" s="29" t="str">
        <f t="shared" si="41"/>
        <v>Americas→Brazil→Rio de Janeiro</v>
      </c>
      <c r="Q246" s="2" t="s">
        <v>701</v>
      </c>
      <c r="R246" s="2" t="s">
        <v>710</v>
      </c>
      <c r="S246" s="2" t="s">
        <v>724</v>
      </c>
      <c r="T246" s="2" t="s">
        <v>730</v>
      </c>
      <c r="U246" t="e">
        <f>(AE246/#REF!)*100</f>
        <v>#REF!</v>
      </c>
      <c r="V246" s="2" t="s">
        <v>978</v>
      </c>
      <c r="W246" s="7">
        <v>1013.54</v>
      </c>
      <c r="X246" s="7">
        <v>927.93</v>
      </c>
      <c r="Y246" s="7">
        <f t="shared" si="42"/>
        <v>927.93</v>
      </c>
      <c r="Z246" s="7" t="str">
        <f t="shared" si="43"/>
        <v>Low</v>
      </c>
      <c r="AA246" s="13">
        <v>0.17499999999999999</v>
      </c>
      <c r="AB246" s="13">
        <f t="shared" si="44"/>
        <v>0.17499999999999999</v>
      </c>
      <c r="AC246" s="13" t="str">
        <f t="shared" si="45"/>
        <v>OK</v>
      </c>
      <c r="AD246" s="7">
        <v>16</v>
      </c>
      <c r="AE246" s="7">
        <f>Y246*AD246*(1-AB246)</f>
        <v>12248.675999999999</v>
      </c>
      <c r="AF246" s="7">
        <f>W246*AD246</f>
        <v>16216.64</v>
      </c>
      <c r="AG246" s="7">
        <f t="shared" si="46"/>
        <v>-3967.9639999999999</v>
      </c>
      <c r="AH246" s="13">
        <f t="shared" si="47"/>
        <v>-0.32395044166406234</v>
      </c>
    </row>
    <row r="247" spans="1:34" x14ac:dyDescent="0.35">
      <c r="A247" s="2" t="s">
        <v>259</v>
      </c>
      <c r="B247" s="5">
        <v>45357</v>
      </c>
      <c r="C247" s="5">
        <f>IF(H247&lt;B247,H247,B247)</f>
        <v>45357</v>
      </c>
      <c r="D247" s="5" t="str">
        <f t="shared" si="36"/>
        <v>Mar-2024</v>
      </c>
      <c r="E247" s="5" t="str">
        <f t="shared" si="37"/>
        <v>Mar</v>
      </c>
      <c r="F247" s="5" t="str">
        <f t="shared" si="38"/>
        <v>2024</v>
      </c>
      <c r="G247" s="5" t="str">
        <f t="shared" si="39"/>
        <v>Q1-2024</v>
      </c>
      <c r="H247" s="5">
        <v>45377</v>
      </c>
      <c r="I247" s="5">
        <f>IF(H247&lt;B247, B247+7, H247)</f>
        <v>45377</v>
      </c>
      <c r="J247" s="5" t="str">
        <f>IF(H247&lt;B247, "Invalid","Okay")</f>
        <v>Okay</v>
      </c>
      <c r="K247" s="16">
        <f>I247-C247</f>
        <v>20</v>
      </c>
      <c r="L247" s="16" t="str">
        <f t="shared" si="40"/>
        <v>Target Not Met</v>
      </c>
      <c r="M247" s="2" t="s">
        <v>646</v>
      </c>
      <c r="N247" s="2" t="s">
        <v>651</v>
      </c>
      <c r="O247" s="2" t="s">
        <v>663</v>
      </c>
      <c r="P247" s="29" t="str">
        <f t="shared" si="41"/>
        <v>Africa→Nigeria→Port Harcourt</v>
      </c>
      <c r="Q247" s="2" t="s">
        <v>704</v>
      </c>
      <c r="R247" s="2" t="s">
        <v>709</v>
      </c>
      <c r="S247" s="2" t="s">
        <v>714</v>
      </c>
      <c r="T247" s="2" t="s">
        <v>730</v>
      </c>
      <c r="U247" t="e">
        <f>(AE247/#REF!)*100</f>
        <v>#REF!</v>
      </c>
      <c r="V247" s="2" t="s">
        <v>979</v>
      </c>
      <c r="W247" s="7">
        <v>65.64</v>
      </c>
      <c r="X247" s="7">
        <v>151.88</v>
      </c>
      <c r="Y247" s="7">
        <f t="shared" si="42"/>
        <v>151.88</v>
      </c>
      <c r="Z247" s="7" t="str">
        <f t="shared" si="43"/>
        <v>Low</v>
      </c>
      <c r="AA247" s="13">
        <v>0.16700000000000001</v>
      </c>
      <c r="AB247" s="13">
        <f t="shared" si="44"/>
        <v>0.16700000000000001</v>
      </c>
      <c r="AC247" s="13" t="str">
        <f t="shared" si="45"/>
        <v>OK</v>
      </c>
      <c r="AD247" s="7">
        <v>23</v>
      </c>
      <c r="AE247" s="7">
        <f>Y247*AD247*(1-AB247)</f>
        <v>2909.8689199999999</v>
      </c>
      <c r="AF247" s="7">
        <f>W247*AD247</f>
        <v>1509.72</v>
      </c>
      <c r="AG247" s="7">
        <f t="shared" si="46"/>
        <v>1400.1489199999999</v>
      </c>
      <c r="AH247" s="13">
        <f t="shared" si="47"/>
        <v>0.48117250587356353</v>
      </c>
    </row>
    <row r="248" spans="1:34" x14ac:dyDescent="0.35">
      <c r="A248" s="2" t="s">
        <v>260</v>
      </c>
      <c r="B248" s="5">
        <v>45338</v>
      </c>
      <c r="C248" s="5">
        <f>IF(H248&lt;B248,H248,B248)</f>
        <v>45338</v>
      </c>
      <c r="D248" s="5" t="str">
        <f t="shared" si="36"/>
        <v>Feb-2024</v>
      </c>
      <c r="E248" s="5" t="str">
        <f t="shared" si="37"/>
        <v>Feb</v>
      </c>
      <c r="F248" s="5" t="str">
        <f t="shared" si="38"/>
        <v>2024</v>
      </c>
      <c r="G248" s="5" t="str">
        <f t="shared" si="39"/>
        <v>Q1-2024</v>
      </c>
      <c r="H248" s="5">
        <v>45355</v>
      </c>
      <c r="I248" s="5">
        <f>IF(H248&lt;B248, B248+7, H248)</f>
        <v>45355</v>
      </c>
      <c r="J248" s="5" t="str">
        <f>IF(H248&lt;B248, "Invalid","Okay")</f>
        <v>Okay</v>
      </c>
      <c r="K248" s="16">
        <f>I248-C248</f>
        <v>17</v>
      </c>
      <c r="L248" s="16" t="str">
        <f t="shared" si="40"/>
        <v>Target Not Met</v>
      </c>
      <c r="M248" s="2" t="s">
        <v>648</v>
      </c>
      <c r="N248" s="2" t="s">
        <v>653</v>
      </c>
      <c r="O248" s="2" t="s">
        <v>681</v>
      </c>
      <c r="P248" s="29" t="str">
        <f t="shared" si="41"/>
        <v>Americas→Canada→Montreal</v>
      </c>
      <c r="Q248" s="2" t="s">
        <v>703</v>
      </c>
      <c r="R248" s="2" t="s">
        <v>707</v>
      </c>
      <c r="S248" s="2" t="s">
        <v>726</v>
      </c>
      <c r="T248" s="2" t="s">
        <v>731</v>
      </c>
      <c r="U248" t="e">
        <f>(AE248/#REF!)*100</f>
        <v>#REF!</v>
      </c>
      <c r="V248" s="2" t="s">
        <v>980</v>
      </c>
      <c r="W248" s="7">
        <v>1350.98</v>
      </c>
      <c r="X248" s="7">
        <v>2210.4</v>
      </c>
      <c r="Y248" s="7">
        <f t="shared" si="42"/>
        <v>2210.4</v>
      </c>
      <c r="Z248" s="7" t="str">
        <f t="shared" si="43"/>
        <v>High</v>
      </c>
      <c r="AA248" s="13">
        <v>0.26300000000000001</v>
      </c>
      <c r="AB248" s="13">
        <f t="shared" si="44"/>
        <v>0.26300000000000001</v>
      </c>
      <c r="AC248" s="13" t="str">
        <f t="shared" si="45"/>
        <v>OK</v>
      </c>
      <c r="AD248" s="7">
        <v>6</v>
      </c>
      <c r="AE248" s="7">
        <f>Y248*AD248*(1-AB248)</f>
        <v>9774.3888000000006</v>
      </c>
      <c r="AF248" s="7">
        <f>W248*AD248</f>
        <v>8105.88</v>
      </c>
      <c r="AG248" s="7">
        <f t="shared" si="46"/>
        <v>1668.5088000000005</v>
      </c>
      <c r="AH248" s="13">
        <f t="shared" si="47"/>
        <v>0.17070211080615091</v>
      </c>
    </row>
    <row r="249" spans="1:34" x14ac:dyDescent="0.35">
      <c r="A249" s="2" t="s">
        <v>261</v>
      </c>
      <c r="B249" s="5">
        <v>45769</v>
      </c>
      <c r="C249" s="5">
        <f>IF(H249&lt;B249,H249,B249)</f>
        <v>45769</v>
      </c>
      <c r="D249" s="5" t="str">
        <f t="shared" si="36"/>
        <v>Apr-2025</v>
      </c>
      <c r="E249" s="5" t="str">
        <f t="shared" si="37"/>
        <v>Apr</v>
      </c>
      <c r="F249" s="5" t="str">
        <f t="shared" si="38"/>
        <v>2025</v>
      </c>
      <c r="G249" s="5" t="str">
        <f t="shared" si="39"/>
        <v>Q2-2025</v>
      </c>
      <c r="H249" s="5">
        <v>45779</v>
      </c>
      <c r="I249" s="5">
        <f>IF(H249&lt;B249, B249+7, H249)</f>
        <v>45779</v>
      </c>
      <c r="J249" s="5" t="str">
        <f>IF(H249&lt;B249, "Invalid","Okay")</f>
        <v>Okay</v>
      </c>
      <c r="K249" s="16">
        <f>I249-C249</f>
        <v>10</v>
      </c>
      <c r="L249" s="16" t="str">
        <f t="shared" si="40"/>
        <v>Target Not Met</v>
      </c>
      <c r="M249" s="2" t="s">
        <v>649</v>
      </c>
      <c r="N249" s="2" t="s">
        <v>656</v>
      </c>
      <c r="O249" s="2" t="s">
        <v>671</v>
      </c>
      <c r="P249" s="29" t="str">
        <f t="shared" si="41"/>
        <v>Europe→Germany→Berlin</v>
      </c>
      <c r="Q249" s="2" t="s">
        <v>701</v>
      </c>
      <c r="R249" s="2" t="s">
        <v>709</v>
      </c>
      <c r="S249" s="2" t="s">
        <v>712</v>
      </c>
      <c r="T249" s="2" t="s">
        <v>732</v>
      </c>
      <c r="U249" t="e">
        <f>(AE249/#REF!)*100</f>
        <v>#REF!</v>
      </c>
      <c r="V249" s="2" t="s">
        <v>981</v>
      </c>
      <c r="W249" s="7">
        <v>20.149999999999999</v>
      </c>
      <c r="X249" s="7">
        <v>39.74</v>
      </c>
      <c r="Y249" s="7">
        <f t="shared" si="42"/>
        <v>39.74</v>
      </c>
      <c r="Z249" s="7" t="str">
        <f t="shared" si="43"/>
        <v>Low</v>
      </c>
      <c r="AA249" s="13">
        <v>0.151</v>
      </c>
      <c r="AB249" s="13">
        <f t="shared" si="44"/>
        <v>0.151</v>
      </c>
      <c r="AC249" s="13" t="str">
        <f t="shared" si="45"/>
        <v>OK</v>
      </c>
      <c r="AD249" s="7">
        <v>18</v>
      </c>
      <c r="AE249" s="7">
        <f>Y249*AD249*(1-AB249)</f>
        <v>607.30668000000003</v>
      </c>
      <c r="AF249" s="7">
        <f>W249*AD249</f>
        <v>362.7</v>
      </c>
      <c r="AG249" s="7">
        <f t="shared" si="46"/>
        <v>244.60668000000004</v>
      </c>
      <c r="AH249" s="13">
        <f t="shared" si="47"/>
        <v>0.4027729120318585</v>
      </c>
    </row>
    <row r="250" spans="1:34" x14ac:dyDescent="0.35">
      <c r="A250" s="2" t="s">
        <v>262</v>
      </c>
      <c r="B250" s="5">
        <v>45604</v>
      </c>
      <c r="C250" s="5">
        <f>IF(H250&lt;B250,H250,B250)</f>
        <v>45604</v>
      </c>
      <c r="D250" s="5" t="str">
        <f t="shared" si="36"/>
        <v>Nov-2024</v>
      </c>
      <c r="E250" s="5" t="str">
        <f t="shared" si="37"/>
        <v>Nov</v>
      </c>
      <c r="F250" s="5" t="str">
        <f t="shared" si="38"/>
        <v>2024</v>
      </c>
      <c r="G250" s="5" t="str">
        <f t="shared" si="39"/>
        <v>Q4-2024</v>
      </c>
      <c r="H250" s="5">
        <v>45604</v>
      </c>
      <c r="I250" s="5">
        <f>IF(H250&lt;B250, B250+7, H250)</f>
        <v>45604</v>
      </c>
      <c r="J250" s="5" t="str">
        <f>IF(H250&lt;B250, "Invalid","Okay")</f>
        <v>Okay</v>
      </c>
      <c r="K250" s="16">
        <f>I250-C250</f>
        <v>0</v>
      </c>
      <c r="L250" s="16" t="str">
        <f t="shared" si="40"/>
        <v>Target Met</v>
      </c>
      <c r="M250" s="2" t="s">
        <v>646</v>
      </c>
      <c r="N250" s="2" t="s">
        <v>650</v>
      </c>
      <c r="O250" s="2" t="s">
        <v>678</v>
      </c>
      <c r="P250" s="29" t="str">
        <f t="shared" si="41"/>
        <v>Africa→Kenya→Nakuru</v>
      </c>
      <c r="Q250" s="2" t="s">
        <v>706</v>
      </c>
      <c r="R250" s="2" t="s">
        <v>709</v>
      </c>
      <c r="S250" s="2" t="s">
        <v>724</v>
      </c>
      <c r="T250" s="2" t="s">
        <v>729</v>
      </c>
      <c r="U250" t="e">
        <f>(AE250/#REF!)*100</f>
        <v>#REF!</v>
      </c>
      <c r="V250" s="2" t="s">
        <v>982</v>
      </c>
      <c r="W250" s="7">
        <v>803.28</v>
      </c>
      <c r="X250" s="7">
        <v>1009</v>
      </c>
      <c r="Y250" s="7">
        <f t="shared" si="42"/>
        <v>1009</v>
      </c>
      <c r="Z250" s="7" t="str">
        <f t="shared" si="43"/>
        <v>Low</v>
      </c>
      <c r="AA250" s="13">
        <v>0.11</v>
      </c>
      <c r="AB250" s="13">
        <f t="shared" si="44"/>
        <v>0.11</v>
      </c>
      <c r="AC250" s="13" t="str">
        <f t="shared" si="45"/>
        <v>OK</v>
      </c>
      <c r="AD250" s="7">
        <v>4</v>
      </c>
      <c r="AE250" s="7">
        <f>Y250*AD250*(1-AB250)</f>
        <v>3592.04</v>
      </c>
      <c r="AF250" s="7">
        <f>W250*AD250</f>
        <v>3213.12</v>
      </c>
      <c r="AG250" s="7">
        <f t="shared" si="46"/>
        <v>378.92000000000007</v>
      </c>
      <c r="AH250" s="13">
        <f t="shared" si="47"/>
        <v>0.10548880302001093</v>
      </c>
    </row>
    <row r="251" spans="1:34" x14ac:dyDescent="0.35">
      <c r="A251" s="2" t="s">
        <v>263</v>
      </c>
      <c r="B251" s="5">
        <v>45912</v>
      </c>
      <c r="C251" s="5">
        <f>IF(H251&lt;B251,H251,B251)</f>
        <v>45912</v>
      </c>
      <c r="D251" s="5" t="str">
        <f t="shared" si="36"/>
        <v>Sep-2025</v>
      </c>
      <c r="E251" s="5" t="str">
        <f t="shared" si="37"/>
        <v>Sep</v>
      </c>
      <c r="F251" s="5" t="str">
        <f t="shared" si="38"/>
        <v>2025</v>
      </c>
      <c r="G251" s="5" t="str">
        <f t="shared" si="39"/>
        <v>Q3-2025</v>
      </c>
      <c r="H251" s="5">
        <v>45930</v>
      </c>
      <c r="I251" s="5">
        <f>IF(H251&lt;B251, B251+7, H251)</f>
        <v>45930</v>
      </c>
      <c r="J251" s="5" t="str">
        <f>IF(H251&lt;B251, "Invalid","Okay")</f>
        <v>Okay</v>
      </c>
      <c r="K251" s="16">
        <f>I251-C251</f>
        <v>18</v>
      </c>
      <c r="L251" s="16" t="str">
        <f t="shared" si="40"/>
        <v>Target Not Met</v>
      </c>
      <c r="M251" s="2" t="s">
        <v>647</v>
      </c>
      <c r="N251" s="2" t="s">
        <v>652</v>
      </c>
      <c r="O251" s="2" t="s">
        <v>694</v>
      </c>
      <c r="P251" s="29" t="str">
        <f t="shared" si="41"/>
        <v>Asia→Japan→Nagoya</v>
      </c>
      <c r="Q251" s="2" t="s">
        <v>703</v>
      </c>
      <c r="R251" s="2" t="s">
        <v>709</v>
      </c>
      <c r="S251" s="2" t="s">
        <v>721</v>
      </c>
      <c r="T251" s="2" t="s">
        <v>732</v>
      </c>
      <c r="U251" t="e">
        <f>(AE251/#REF!)*100</f>
        <v>#REF!</v>
      </c>
      <c r="V251" s="2" t="s">
        <v>983</v>
      </c>
      <c r="W251" s="7">
        <v>1212.99</v>
      </c>
      <c r="X251" s="7">
        <v>1653.64</v>
      </c>
      <c r="Y251" s="7">
        <f t="shared" si="42"/>
        <v>1653.64</v>
      </c>
      <c r="Z251" s="7" t="str">
        <f t="shared" si="43"/>
        <v>Medium</v>
      </c>
      <c r="AA251" s="13">
        <v>0.107</v>
      </c>
      <c r="AB251" s="13">
        <f t="shared" si="44"/>
        <v>0.107</v>
      </c>
      <c r="AC251" s="13" t="str">
        <f t="shared" si="45"/>
        <v>OK</v>
      </c>
      <c r="AD251" s="7">
        <v>8</v>
      </c>
      <c r="AE251" s="7">
        <f>Y251*AD251*(1-AB251)</f>
        <v>11813.604160000001</v>
      </c>
      <c r="AF251" s="7">
        <f>W251*AD251</f>
        <v>9703.92</v>
      </c>
      <c r="AG251" s="7">
        <f t="shared" si="46"/>
        <v>2109.6841600000007</v>
      </c>
      <c r="AH251" s="13">
        <f t="shared" si="47"/>
        <v>0.17858090819931455</v>
      </c>
    </row>
    <row r="252" spans="1:34" x14ac:dyDescent="0.35">
      <c r="A252" s="2" t="s">
        <v>264</v>
      </c>
      <c r="B252" s="5">
        <v>45537</v>
      </c>
      <c r="C252" s="5">
        <f>IF(H252&lt;B252,H252,B252)</f>
        <v>45537</v>
      </c>
      <c r="D252" s="5" t="str">
        <f t="shared" si="36"/>
        <v>Sep-2024</v>
      </c>
      <c r="E252" s="5" t="str">
        <f t="shared" si="37"/>
        <v>Sep</v>
      </c>
      <c r="F252" s="5" t="str">
        <f t="shared" si="38"/>
        <v>2024</v>
      </c>
      <c r="G252" s="5" t="str">
        <f t="shared" si="39"/>
        <v>Q3-2024</v>
      </c>
      <c r="H252" s="5">
        <v>45543</v>
      </c>
      <c r="I252" s="5">
        <f>IF(H252&lt;B252, B252+7, H252)</f>
        <v>45543</v>
      </c>
      <c r="J252" s="5" t="str">
        <f>IF(H252&lt;B252, "Invalid","Okay")</f>
        <v>Okay</v>
      </c>
      <c r="K252" s="16">
        <f>I252-C252</f>
        <v>6</v>
      </c>
      <c r="L252" s="16" t="str">
        <f t="shared" si="40"/>
        <v>Target Met</v>
      </c>
      <c r="M252" s="2" t="s">
        <v>648</v>
      </c>
      <c r="N252" s="2" t="s">
        <v>660</v>
      </c>
      <c r="O252" s="2" t="s">
        <v>697</v>
      </c>
      <c r="P252" s="29" t="str">
        <f t="shared" si="41"/>
        <v>Americas→USA→Austin</v>
      </c>
      <c r="Q252" s="2" t="s">
        <v>704</v>
      </c>
      <c r="R252" s="2" t="s">
        <v>711</v>
      </c>
      <c r="S252" s="2" t="s">
        <v>722</v>
      </c>
      <c r="T252" s="2" t="s">
        <v>727</v>
      </c>
      <c r="U252" t="e">
        <f>(AE252/#REF!)*100</f>
        <v>#REF!</v>
      </c>
      <c r="V252" s="2" t="s">
        <v>984</v>
      </c>
      <c r="W252" s="7">
        <v>462.94</v>
      </c>
      <c r="X252" s="7">
        <v>1015.7</v>
      </c>
      <c r="Y252" s="7">
        <f t="shared" si="42"/>
        <v>1015.7</v>
      </c>
      <c r="Z252" s="7" t="str">
        <f t="shared" si="43"/>
        <v>Low</v>
      </c>
      <c r="AA252" s="13">
        <v>0.14299999999999999</v>
      </c>
      <c r="AB252" s="13">
        <f t="shared" si="44"/>
        <v>0.14299999999999999</v>
      </c>
      <c r="AC252" s="13" t="str">
        <f t="shared" si="45"/>
        <v>OK</v>
      </c>
      <c r="AD252" s="7">
        <v>14</v>
      </c>
      <c r="AE252" s="7">
        <f>Y252*AD252*(1-AB252)</f>
        <v>12186.368600000002</v>
      </c>
      <c r="AF252" s="7">
        <f>W252*AD252</f>
        <v>6481.16</v>
      </c>
      <c r="AG252" s="7">
        <f t="shared" si="46"/>
        <v>5705.2086000000018</v>
      </c>
      <c r="AH252" s="13">
        <f t="shared" si="47"/>
        <v>0.46816314090483041</v>
      </c>
    </row>
    <row r="253" spans="1:34" x14ac:dyDescent="0.35">
      <c r="A253" s="2" t="s">
        <v>265</v>
      </c>
      <c r="B253" s="5">
        <v>44989</v>
      </c>
      <c r="C253" s="5">
        <f>IF(H253&lt;B253,H253,B253)</f>
        <v>44989</v>
      </c>
      <c r="D253" s="5" t="str">
        <f t="shared" si="36"/>
        <v>Mar-2023</v>
      </c>
      <c r="E253" s="5" t="str">
        <f t="shared" si="37"/>
        <v>Mar</v>
      </c>
      <c r="F253" s="5" t="str">
        <f t="shared" si="38"/>
        <v>2023</v>
      </c>
      <c r="G253" s="5" t="str">
        <f t="shared" si="39"/>
        <v>Q1-2023</v>
      </c>
      <c r="H253" s="5">
        <v>45009</v>
      </c>
      <c r="I253" s="5">
        <f>IF(H253&lt;B253, B253+7, H253)</f>
        <v>45009</v>
      </c>
      <c r="J253" s="5" t="str">
        <f>IF(H253&lt;B253, "Invalid","Okay")</f>
        <v>Okay</v>
      </c>
      <c r="K253" s="16">
        <f>I253-C253</f>
        <v>20</v>
      </c>
      <c r="L253" s="16" t="str">
        <f t="shared" si="40"/>
        <v>Target Not Met</v>
      </c>
      <c r="M253" s="2" t="s">
        <v>648</v>
      </c>
      <c r="N253" s="2" t="s">
        <v>653</v>
      </c>
      <c r="O253" s="2" t="s">
        <v>681</v>
      </c>
      <c r="P253" s="29" t="str">
        <f t="shared" si="41"/>
        <v>Americas→Canada→Montreal</v>
      </c>
      <c r="Q253" s="2" t="s">
        <v>704</v>
      </c>
      <c r="R253" s="2" t="s">
        <v>710</v>
      </c>
      <c r="S253" s="2" t="s">
        <v>714</v>
      </c>
      <c r="T253" s="2" t="s">
        <v>731</v>
      </c>
      <c r="U253" t="e">
        <f>(AE253/#REF!)*100</f>
        <v>#REF!</v>
      </c>
      <c r="V253" s="2" t="s">
        <v>985</v>
      </c>
      <c r="W253" s="7">
        <v>481.71</v>
      </c>
      <c r="X253" s="7">
        <v>912.45</v>
      </c>
      <c r="Y253" s="7">
        <f t="shared" si="42"/>
        <v>912.45</v>
      </c>
      <c r="Z253" s="7" t="str">
        <f t="shared" si="43"/>
        <v>Low</v>
      </c>
      <c r="AA253" s="13">
        <v>0.20300000000000001</v>
      </c>
      <c r="AB253" s="13">
        <f t="shared" si="44"/>
        <v>0.20300000000000001</v>
      </c>
      <c r="AC253" s="13" t="str">
        <f t="shared" si="45"/>
        <v>OK</v>
      </c>
      <c r="AD253" s="7">
        <v>24</v>
      </c>
      <c r="AE253" s="7">
        <f>Y253*AD253*(1-AB253)</f>
        <v>17453.3436</v>
      </c>
      <c r="AF253" s="7">
        <f>W253*AD253</f>
        <v>11561.039999999999</v>
      </c>
      <c r="AG253" s="7">
        <f t="shared" si="46"/>
        <v>5892.3036000000011</v>
      </c>
      <c r="AH253" s="13">
        <f t="shared" si="47"/>
        <v>0.33760313983619739</v>
      </c>
    </row>
    <row r="254" spans="1:34" x14ac:dyDescent="0.35">
      <c r="A254" s="2" t="s">
        <v>266</v>
      </c>
      <c r="B254" s="5">
        <v>45366</v>
      </c>
      <c r="C254" s="5">
        <f>IF(H254&lt;B254,H254,B254)</f>
        <v>45366</v>
      </c>
      <c r="D254" s="5" t="str">
        <f t="shared" si="36"/>
        <v>Mar-2024</v>
      </c>
      <c r="E254" s="5" t="str">
        <f t="shared" si="37"/>
        <v>Mar</v>
      </c>
      <c r="F254" s="5" t="str">
        <f t="shared" si="38"/>
        <v>2024</v>
      </c>
      <c r="G254" s="5" t="str">
        <f t="shared" si="39"/>
        <v>Q1-2024</v>
      </c>
      <c r="H254" s="5">
        <v>45391</v>
      </c>
      <c r="I254" s="5">
        <f>IF(H254&lt;B254, B254+7, H254)</f>
        <v>45391</v>
      </c>
      <c r="J254" s="5" t="str">
        <f>IF(H254&lt;B254, "Invalid","Okay")</f>
        <v>Okay</v>
      </c>
      <c r="K254" s="16">
        <f>I254-C254</f>
        <v>25</v>
      </c>
      <c r="L254" s="16" t="str">
        <f t="shared" si="40"/>
        <v>Target Not Met</v>
      </c>
      <c r="M254" s="2" t="s">
        <v>648</v>
      </c>
      <c r="N254" s="2" t="s">
        <v>653</v>
      </c>
      <c r="O254" s="2" t="s">
        <v>688</v>
      </c>
      <c r="P254" s="29" t="str">
        <f t="shared" si="41"/>
        <v>Americas→Canada→Vancouver</v>
      </c>
      <c r="Q254" s="2" t="s">
        <v>704</v>
      </c>
      <c r="R254" s="2" t="s">
        <v>708</v>
      </c>
      <c r="S254" s="2" t="s">
        <v>721</v>
      </c>
      <c r="T254" s="2" t="s">
        <v>732</v>
      </c>
      <c r="U254" t="e">
        <f>(AE254/#REF!)*100</f>
        <v>#REF!</v>
      </c>
      <c r="V254" s="2" t="s">
        <v>986</v>
      </c>
      <c r="W254" s="7">
        <v>648.64</v>
      </c>
      <c r="X254" s="7">
        <v>815.19</v>
      </c>
      <c r="Y254" s="7">
        <f t="shared" si="42"/>
        <v>815.19</v>
      </c>
      <c r="Z254" s="7" t="str">
        <f t="shared" si="43"/>
        <v>Low</v>
      </c>
      <c r="AA254" s="13">
        <v>0.22500000000000001</v>
      </c>
      <c r="AB254" s="13">
        <f t="shared" si="44"/>
        <v>0.22500000000000001</v>
      </c>
      <c r="AC254" s="13" t="str">
        <f t="shared" si="45"/>
        <v>OK</v>
      </c>
      <c r="AD254" s="7">
        <v>28</v>
      </c>
      <c r="AE254" s="7">
        <f>Y254*AD254*(1-AB254)</f>
        <v>17689.623</v>
      </c>
      <c r="AF254" s="7">
        <f>W254*AD254</f>
        <v>18161.919999999998</v>
      </c>
      <c r="AG254" s="7">
        <f t="shared" si="46"/>
        <v>-472.29699999999866</v>
      </c>
      <c r="AH254" s="13">
        <f t="shared" si="47"/>
        <v>-2.6699099240272032E-2</v>
      </c>
    </row>
    <row r="255" spans="1:34" x14ac:dyDescent="0.35">
      <c r="A255" s="2" t="s">
        <v>267</v>
      </c>
      <c r="B255" s="5">
        <v>45502</v>
      </c>
      <c r="C255" s="5">
        <f>IF(H255&lt;B255,H255,B255)</f>
        <v>45502</v>
      </c>
      <c r="D255" s="5" t="str">
        <f t="shared" si="36"/>
        <v>Jul-2024</v>
      </c>
      <c r="E255" s="5" t="str">
        <f t="shared" si="37"/>
        <v>Jul</v>
      </c>
      <c r="F255" s="5" t="str">
        <f t="shared" si="38"/>
        <v>2024</v>
      </c>
      <c r="G255" s="5" t="str">
        <f t="shared" si="39"/>
        <v>Q3-2024</v>
      </c>
      <c r="H255" s="5">
        <v>45504</v>
      </c>
      <c r="I255" s="5">
        <f>IF(H255&lt;B255, B255+7, H255)</f>
        <v>45504</v>
      </c>
      <c r="J255" s="5" t="str">
        <f>IF(H255&lt;B255, "Invalid","Okay")</f>
        <v>Okay</v>
      </c>
      <c r="K255" s="16">
        <f>I255-C255</f>
        <v>2</v>
      </c>
      <c r="L255" s="16" t="str">
        <f t="shared" si="40"/>
        <v>Target Met</v>
      </c>
      <c r="M255" s="2" t="s">
        <v>648</v>
      </c>
      <c r="N255" s="2" t="s">
        <v>660</v>
      </c>
      <c r="O255" s="2" t="s">
        <v>700</v>
      </c>
      <c r="P255" s="29" t="str">
        <f t="shared" si="41"/>
        <v>Americas→USA→New York</v>
      </c>
      <c r="Q255" s="2" t="s">
        <v>702</v>
      </c>
      <c r="R255" s="2" t="s">
        <v>709</v>
      </c>
      <c r="S255" s="2" t="s">
        <v>714</v>
      </c>
      <c r="T255" s="2" t="s">
        <v>728</v>
      </c>
      <c r="U255" t="e">
        <f>(AE255/#REF!)*100</f>
        <v>#REF!</v>
      </c>
      <c r="V255" s="2" t="s">
        <v>987</v>
      </c>
      <c r="W255" s="7">
        <v>798.97</v>
      </c>
      <c r="X255" s="7">
        <v>1814.06</v>
      </c>
      <c r="Y255" s="7">
        <f t="shared" si="42"/>
        <v>1814.06</v>
      </c>
      <c r="Z255" s="7" t="str">
        <f t="shared" si="43"/>
        <v>Medium</v>
      </c>
      <c r="AA255" s="13">
        <v>0.122</v>
      </c>
      <c r="AB255" s="13">
        <f t="shared" si="44"/>
        <v>0.122</v>
      </c>
      <c r="AC255" s="13" t="str">
        <f t="shared" si="45"/>
        <v>OK</v>
      </c>
      <c r="AD255" s="7">
        <v>16</v>
      </c>
      <c r="AE255" s="7">
        <f>Y255*AD255*(1-AB255)</f>
        <v>25483.91488</v>
      </c>
      <c r="AF255" s="7">
        <f>W255*AD255</f>
        <v>12783.52</v>
      </c>
      <c r="AG255" s="7">
        <f t="shared" si="46"/>
        <v>12700.39488</v>
      </c>
      <c r="AH255" s="13">
        <f t="shared" si="47"/>
        <v>0.49836906691159061</v>
      </c>
    </row>
    <row r="256" spans="1:34" x14ac:dyDescent="0.35">
      <c r="A256" s="2" t="s">
        <v>268</v>
      </c>
      <c r="B256" s="5">
        <v>45592</v>
      </c>
      <c r="C256" s="5">
        <f>IF(H256&lt;B256,H256,B256)</f>
        <v>45592</v>
      </c>
      <c r="D256" s="5" t="str">
        <f t="shared" si="36"/>
        <v>Oct-2024</v>
      </c>
      <c r="E256" s="5" t="str">
        <f t="shared" si="37"/>
        <v>Oct</v>
      </c>
      <c r="F256" s="5" t="str">
        <f t="shared" si="38"/>
        <v>2024</v>
      </c>
      <c r="G256" s="5" t="str">
        <f t="shared" si="39"/>
        <v>Q4-2024</v>
      </c>
      <c r="H256" s="5">
        <v>45616</v>
      </c>
      <c r="I256" s="5">
        <f>IF(H256&lt;B256, B256+7, H256)</f>
        <v>45616</v>
      </c>
      <c r="J256" s="5" t="str">
        <f>IF(H256&lt;B256, "Invalid","Okay")</f>
        <v>Okay</v>
      </c>
      <c r="K256" s="16">
        <f>I256-C256</f>
        <v>24</v>
      </c>
      <c r="L256" s="16" t="str">
        <f t="shared" si="40"/>
        <v>Target Not Met</v>
      </c>
      <c r="M256" s="2" t="s">
        <v>647</v>
      </c>
      <c r="N256" s="2" t="s">
        <v>652</v>
      </c>
      <c r="O256" s="2" t="s">
        <v>694</v>
      </c>
      <c r="P256" s="29" t="str">
        <f t="shared" si="41"/>
        <v>Asia→Japan→Nagoya</v>
      </c>
      <c r="Q256" s="2" t="s">
        <v>703</v>
      </c>
      <c r="R256" s="2" t="s">
        <v>708</v>
      </c>
      <c r="S256" s="2" t="s">
        <v>722</v>
      </c>
      <c r="T256" s="2" t="s">
        <v>732</v>
      </c>
      <c r="U256" t="e">
        <f>(AE256/#REF!)*100</f>
        <v>#REF!</v>
      </c>
      <c r="V256" s="2" t="s">
        <v>988</v>
      </c>
      <c r="W256" s="7">
        <v>317.25</v>
      </c>
      <c r="X256" s="7">
        <v>758.92</v>
      </c>
      <c r="Y256" s="7">
        <f t="shared" si="42"/>
        <v>758.92</v>
      </c>
      <c r="Z256" s="7" t="str">
        <f t="shared" si="43"/>
        <v>Low</v>
      </c>
      <c r="AA256" s="13">
        <v>5.2999999999999999E-2</v>
      </c>
      <c r="AB256" s="13">
        <f t="shared" si="44"/>
        <v>5.2999999999999999E-2</v>
      </c>
      <c r="AC256" s="13" t="str">
        <f t="shared" si="45"/>
        <v>OK</v>
      </c>
      <c r="AD256" s="7">
        <v>9</v>
      </c>
      <c r="AE256" s="7">
        <f>Y256*AD256*(1-AB256)</f>
        <v>6468.2751599999992</v>
      </c>
      <c r="AF256" s="7">
        <f>W256*AD256</f>
        <v>2855.25</v>
      </c>
      <c r="AG256" s="7">
        <f t="shared" si="46"/>
        <v>3613.0251599999992</v>
      </c>
      <c r="AH256" s="13">
        <f t="shared" si="47"/>
        <v>0.5585762928489888</v>
      </c>
    </row>
    <row r="257" spans="1:34" x14ac:dyDescent="0.35">
      <c r="A257" s="2" t="s">
        <v>269</v>
      </c>
      <c r="B257" s="5">
        <v>45411</v>
      </c>
      <c r="C257" s="5">
        <f>IF(H257&lt;B257,H257,B257)</f>
        <v>45411</v>
      </c>
      <c r="D257" s="5" t="str">
        <f t="shared" si="36"/>
        <v>Apr-2024</v>
      </c>
      <c r="E257" s="5" t="str">
        <f t="shared" si="37"/>
        <v>Apr</v>
      </c>
      <c r="F257" s="5" t="str">
        <f t="shared" si="38"/>
        <v>2024</v>
      </c>
      <c r="G257" s="5" t="str">
        <f t="shared" si="39"/>
        <v>Q2-2024</v>
      </c>
      <c r="H257" s="5">
        <v>45431</v>
      </c>
      <c r="I257" s="5">
        <f>IF(H257&lt;B257, B257+7, H257)</f>
        <v>45431</v>
      </c>
      <c r="J257" s="5" t="str">
        <f>IF(H257&lt;B257, "Invalid","Okay")</f>
        <v>Okay</v>
      </c>
      <c r="K257" s="16">
        <f>I257-C257</f>
        <v>20</v>
      </c>
      <c r="L257" s="16" t="str">
        <f t="shared" si="40"/>
        <v>Target Not Met</v>
      </c>
      <c r="M257" s="2" t="s">
        <v>649</v>
      </c>
      <c r="N257" s="2" t="s">
        <v>656</v>
      </c>
      <c r="O257" s="2" t="s">
        <v>698</v>
      </c>
      <c r="P257" s="29" t="str">
        <f t="shared" si="41"/>
        <v>Europe→Germany→Frankfurt</v>
      </c>
      <c r="Q257" s="2" t="s">
        <v>706</v>
      </c>
      <c r="R257" s="2" t="s">
        <v>709</v>
      </c>
      <c r="S257" s="2" t="s">
        <v>712</v>
      </c>
      <c r="T257" s="2" t="s">
        <v>731</v>
      </c>
      <c r="U257" t="e">
        <f>(AE257/#REF!)*100</f>
        <v>#REF!</v>
      </c>
      <c r="V257" s="2" t="s">
        <v>989</v>
      </c>
      <c r="W257" s="7">
        <v>668.97</v>
      </c>
      <c r="X257" s="7">
        <v>1667.44</v>
      </c>
      <c r="Y257" s="7">
        <f t="shared" si="42"/>
        <v>1667.44</v>
      </c>
      <c r="Z257" s="7" t="str">
        <f t="shared" si="43"/>
        <v>Medium</v>
      </c>
      <c r="AA257" s="13">
        <v>3.4000000000000002E-2</v>
      </c>
      <c r="AB257" s="13">
        <f t="shared" si="44"/>
        <v>3.4000000000000002E-2</v>
      </c>
      <c r="AC257" s="13" t="str">
        <f t="shared" si="45"/>
        <v>OK</v>
      </c>
      <c r="AD257" s="7">
        <v>15</v>
      </c>
      <c r="AE257" s="7">
        <f>Y257*AD257*(1-AB257)</f>
        <v>24161.205600000001</v>
      </c>
      <c r="AF257" s="7">
        <f>W257*AD257</f>
        <v>10034.550000000001</v>
      </c>
      <c r="AG257" s="7">
        <f t="shared" si="46"/>
        <v>14126.6556</v>
      </c>
      <c r="AH257" s="13">
        <f t="shared" si="47"/>
        <v>0.58468339013679016</v>
      </c>
    </row>
    <row r="258" spans="1:34" x14ac:dyDescent="0.35">
      <c r="A258" s="2" t="s">
        <v>270</v>
      </c>
      <c r="B258" s="5">
        <v>45204</v>
      </c>
      <c r="C258" s="5">
        <f>IF(H258&lt;B258,H258,B258)</f>
        <v>45204</v>
      </c>
      <c r="D258" s="5" t="str">
        <f t="shared" si="36"/>
        <v>Oct-2023</v>
      </c>
      <c r="E258" s="5" t="str">
        <f t="shared" si="37"/>
        <v>Oct</v>
      </c>
      <c r="F258" s="5" t="str">
        <f t="shared" si="38"/>
        <v>2023</v>
      </c>
      <c r="G258" s="5" t="str">
        <f t="shared" si="39"/>
        <v>Q4-2023</v>
      </c>
      <c r="H258" s="5">
        <v>45205</v>
      </c>
      <c r="I258" s="5">
        <f>IF(H258&lt;B258, B258+7, H258)</f>
        <v>45205</v>
      </c>
      <c r="J258" s="5" t="str">
        <f>IF(H258&lt;B258, "Invalid","Okay")</f>
        <v>Okay</v>
      </c>
      <c r="K258" s="16">
        <f>I258-C258</f>
        <v>1</v>
      </c>
      <c r="L258" s="16" t="str">
        <f t="shared" si="40"/>
        <v>Target Met</v>
      </c>
      <c r="M258" s="2" t="s">
        <v>647</v>
      </c>
      <c r="N258" s="2" t="s">
        <v>654</v>
      </c>
      <c r="O258" s="2" t="s">
        <v>668</v>
      </c>
      <c r="P258" s="29" t="str">
        <f t="shared" si="41"/>
        <v>Asia→India→Bengaluru</v>
      </c>
      <c r="Q258" s="2" t="s">
        <v>703</v>
      </c>
      <c r="R258" s="2" t="s">
        <v>708</v>
      </c>
      <c r="S258" s="2" t="s">
        <v>714</v>
      </c>
      <c r="T258" s="2" t="s">
        <v>727</v>
      </c>
      <c r="U258" t="e">
        <f>(AE258/#REF!)*100</f>
        <v>#REF!</v>
      </c>
      <c r="V258" s="2" t="s">
        <v>990</v>
      </c>
      <c r="W258" s="7">
        <v>1470.26</v>
      </c>
      <c r="X258" s="7">
        <v>2562.5500000000002</v>
      </c>
      <c r="Y258" s="7">
        <f t="shared" si="42"/>
        <v>2562.5500000000002</v>
      </c>
      <c r="Z258" s="7" t="str">
        <f t="shared" si="43"/>
        <v>High</v>
      </c>
      <c r="AA258" s="13">
        <v>0.17299999999999999</v>
      </c>
      <c r="AB258" s="13">
        <f t="shared" si="44"/>
        <v>0.17299999999999999</v>
      </c>
      <c r="AC258" s="13" t="str">
        <f t="shared" si="45"/>
        <v>OK</v>
      </c>
      <c r="AD258" s="7">
        <v>9</v>
      </c>
      <c r="AE258" s="7">
        <f>Y258*AD258*(1-AB258)</f>
        <v>19073.059649999999</v>
      </c>
      <c r="AF258" s="7">
        <f>W258*AD258</f>
        <v>13232.34</v>
      </c>
      <c r="AG258" s="7">
        <f t="shared" si="46"/>
        <v>5840.7196499999991</v>
      </c>
      <c r="AH258" s="13">
        <f t="shared" si="47"/>
        <v>0.30622877279157462</v>
      </c>
    </row>
    <row r="259" spans="1:34" x14ac:dyDescent="0.35">
      <c r="A259" s="2" t="s">
        <v>271</v>
      </c>
      <c r="B259" s="5">
        <v>45035</v>
      </c>
      <c r="C259" s="5">
        <f>IF(H259&lt;B259,H259,B259)</f>
        <v>45035</v>
      </c>
      <c r="D259" s="5" t="str">
        <f t="shared" ref="D259:D322" si="48">TEXT(B259,"MMM-YYYY")</f>
        <v>Apr-2023</v>
      </c>
      <c r="E259" s="5" t="str">
        <f t="shared" ref="E259:E322" si="49">TEXT(C259,"MMM")</f>
        <v>Apr</v>
      </c>
      <c r="F259" s="5" t="str">
        <f t="shared" ref="F259:F322" si="50">TEXT(C259,"YYYY")</f>
        <v>2023</v>
      </c>
      <c r="G259" s="5" t="str">
        <f t="shared" ref="G259:G322" si="51">IF(MONTH(D259)&lt;=3,"Q1",IF(MONTH(D259)&lt;=6,"Q2",IF(MONTH(D259)&lt;=9,"Q3","Q4")))&amp;"-"&amp;YEAR(C259)</f>
        <v>Q2-2023</v>
      </c>
      <c r="H259" s="5">
        <v>45053</v>
      </c>
      <c r="I259" s="5">
        <f>IF(H259&lt;B259, B259+7, H259)</f>
        <v>45053</v>
      </c>
      <c r="J259" s="5" t="str">
        <f>IF(H259&lt;B259, "Invalid","Okay")</f>
        <v>Okay</v>
      </c>
      <c r="K259" s="16">
        <f>I259-C259</f>
        <v>18</v>
      </c>
      <c r="L259" s="16" t="str">
        <f t="shared" ref="L259:L322" si="52">IF(K259&lt;=7,"Target Met","Target Not Met")</f>
        <v>Target Not Met</v>
      </c>
      <c r="M259" s="2" t="s">
        <v>649</v>
      </c>
      <c r="N259" s="2" t="s">
        <v>658</v>
      </c>
      <c r="O259" s="2" t="s">
        <v>683</v>
      </c>
      <c r="P259" s="29" t="str">
        <f t="shared" ref="P259:P322" si="53">_xlfn.CONCAT(M259,"→",N259,"→",O259)</f>
        <v>Europe→United Kingdom→London</v>
      </c>
      <c r="Q259" s="2" t="s">
        <v>703</v>
      </c>
      <c r="R259" s="2" t="s">
        <v>711</v>
      </c>
      <c r="S259" s="2" t="s">
        <v>722</v>
      </c>
      <c r="T259" s="2" t="s">
        <v>729</v>
      </c>
      <c r="U259" t="e">
        <f>(AE259/#REF!)*100</f>
        <v>#REF!</v>
      </c>
      <c r="V259" s="2" t="s">
        <v>991</v>
      </c>
      <c r="W259" s="7">
        <v>516.96</v>
      </c>
      <c r="X259" s="7">
        <v>745.38</v>
      </c>
      <c r="Y259" s="7">
        <f t="shared" ref="Y259:Y322" si="54">ABS(X259)</f>
        <v>745.38</v>
      </c>
      <c r="Z259" s="7" t="str">
        <f t="shared" ref="Z259:Z322" si="55">IF(Y259&lt;1193.97,"Low",IF(Y259&lt;1912.05,"Medium","High"))</f>
        <v>Low</v>
      </c>
      <c r="AA259" s="13">
        <v>0.19700000000000001</v>
      </c>
      <c r="AB259" s="13">
        <f t="shared" ref="AB259:AB322" si="56">IF(AA259&gt;30%,"12.14%", AA259)</f>
        <v>0.19700000000000001</v>
      </c>
      <c r="AC259" s="13" t="str">
        <f t="shared" ref="AC259:AC322" si="57">IF(AA259&gt;30%, "High", "OK")</f>
        <v>OK</v>
      </c>
      <c r="AD259" s="7">
        <v>4</v>
      </c>
      <c r="AE259" s="7">
        <f>Y259*AD259*(1-AB259)</f>
        <v>2394.1605599999998</v>
      </c>
      <c r="AF259" s="7">
        <f>W259*AD259</f>
        <v>2067.84</v>
      </c>
      <c r="AG259" s="7">
        <f t="shared" ref="AG259:AG322" si="58">AE259-AF259</f>
        <v>326.32055999999966</v>
      </c>
      <c r="AH259" s="13">
        <f t="shared" ref="AH259:AH322" si="59">IF(AE259=0,0,AG259/AE259)</f>
        <v>0.13629852794835101</v>
      </c>
    </row>
    <row r="260" spans="1:34" x14ac:dyDescent="0.35">
      <c r="A260" s="2" t="s">
        <v>272</v>
      </c>
      <c r="B260" s="5">
        <v>45835</v>
      </c>
      <c r="C260" s="5">
        <f>IF(H260&lt;B260,H260,B260)</f>
        <v>45835</v>
      </c>
      <c r="D260" s="5" t="str">
        <f t="shared" si="48"/>
        <v>Jun-2025</v>
      </c>
      <c r="E260" s="5" t="str">
        <f t="shared" si="49"/>
        <v>Jun</v>
      </c>
      <c r="F260" s="5" t="str">
        <f t="shared" si="50"/>
        <v>2025</v>
      </c>
      <c r="G260" s="5" t="str">
        <f t="shared" si="51"/>
        <v>Q2-2025</v>
      </c>
      <c r="H260" s="5">
        <v>45843</v>
      </c>
      <c r="I260" s="5">
        <f>IF(H260&lt;B260, B260+7, H260)</f>
        <v>45843</v>
      </c>
      <c r="J260" s="5" t="str">
        <f>IF(H260&lt;B260, "Invalid","Okay")</f>
        <v>Okay</v>
      </c>
      <c r="K260" s="16">
        <f>I260-C260</f>
        <v>8</v>
      </c>
      <c r="L260" s="16" t="str">
        <f t="shared" si="52"/>
        <v>Target Not Met</v>
      </c>
      <c r="M260" s="2" t="s">
        <v>649</v>
      </c>
      <c r="N260" s="2" t="s">
        <v>656</v>
      </c>
      <c r="O260" s="2" t="s">
        <v>684</v>
      </c>
      <c r="P260" s="29" t="str">
        <f t="shared" si="53"/>
        <v>Europe→Germany→Munich</v>
      </c>
      <c r="Q260" s="2" t="s">
        <v>705</v>
      </c>
      <c r="R260" s="2" t="s">
        <v>711</v>
      </c>
      <c r="S260" s="2" t="s">
        <v>715</v>
      </c>
      <c r="T260" s="2" t="s">
        <v>732</v>
      </c>
      <c r="U260" t="e">
        <f>(AE260/#REF!)*100</f>
        <v>#REF!</v>
      </c>
      <c r="V260" s="2" t="s">
        <v>992</v>
      </c>
      <c r="W260" s="7">
        <v>314.93</v>
      </c>
      <c r="X260" s="7">
        <v>687.95</v>
      </c>
      <c r="Y260" s="7">
        <f t="shared" si="54"/>
        <v>687.95</v>
      </c>
      <c r="Z260" s="7" t="str">
        <f t="shared" si="55"/>
        <v>Low</v>
      </c>
      <c r="AA260" s="13">
        <v>0.20499999999999999</v>
      </c>
      <c r="AB260" s="13">
        <f t="shared" si="56"/>
        <v>0.20499999999999999</v>
      </c>
      <c r="AC260" s="13" t="str">
        <f t="shared" si="57"/>
        <v>OK</v>
      </c>
      <c r="AD260" s="7">
        <v>8</v>
      </c>
      <c r="AE260" s="7">
        <f>Y260*AD260*(1-AB260)</f>
        <v>4375.3620000000001</v>
      </c>
      <c r="AF260" s="7">
        <f>W260*AD260</f>
        <v>2519.44</v>
      </c>
      <c r="AG260" s="7">
        <f t="shared" si="58"/>
        <v>1855.922</v>
      </c>
      <c r="AH260" s="13">
        <f t="shared" si="59"/>
        <v>0.424175645352316</v>
      </c>
    </row>
    <row r="261" spans="1:34" x14ac:dyDescent="0.35">
      <c r="A261" s="2" t="s">
        <v>273</v>
      </c>
      <c r="B261" s="5">
        <v>45210</v>
      </c>
      <c r="C261" s="5">
        <f>IF(H261&lt;B261,H261,B261)</f>
        <v>45210</v>
      </c>
      <c r="D261" s="5" t="str">
        <f t="shared" si="48"/>
        <v>Oct-2023</v>
      </c>
      <c r="E261" s="5" t="str">
        <f t="shared" si="49"/>
        <v>Oct</v>
      </c>
      <c r="F261" s="5" t="str">
        <f t="shared" si="50"/>
        <v>2023</v>
      </c>
      <c r="G261" s="5" t="str">
        <f t="shared" si="51"/>
        <v>Q4-2023</v>
      </c>
      <c r="H261" s="5">
        <v>45212</v>
      </c>
      <c r="I261" s="5">
        <f>IF(H261&lt;B261, B261+7, H261)</f>
        <v>45212</v>
      </c>
      <c r="J261" s="5" t="str">
        <f>IF(H261&lt;B261, "Invalid","Okay")</f>
        <v>Okay</v>
      </c>
      <c r="K261" s="16">
        <f>I261-C261</f>
        <v>2</v>
      </c>
      <c r="L261" s="16" t="str">
        <f t="shared" si="52"/>
        <v>Target Met</v>
      </c>
      <c r="M261" s="2" t="s">
        <v>648</v>
      </c>
      <c r="N261" s="2" t="s">
        <v>655</v>
      </c>
      <c r="O261" s="2" t="s">
        <v>672</v>
      </c>
      <c r="P261" s="29" t="str">
        <f t="shared" si="53"/>
        <v>Americas→Brazil→Brasília</v>
      </c>
      <c r="Q261" s="2" t="s">
        <v>704</v>
      </c>
      <c r="R261" s="2" t="s">
        <v>710</v>
      </c>
      <c r="S261" s="2" t="s">
        <v>1423</v>
      </c>
      <c r="T261" s="2" t="s">
        <v>733</v>
      </c>
      <c r="U261" t="e">
        <f>(AE261/#REF!)*100</f>
        <v>#REF!</v>
      </c>
      <c r="V261" s="2" t="s">
        <v>993</v>
      </c>
      <c r="W261" s="7">
        <v>715.94</v>
      </c>
      <c r="X261" s="7">
        <v>550.07000000000005</v>
      </c>
      <c r="Y261" s="7">
        <f t="shared" si="54"/>
        <v>550.07000000000005</v>
      </c>
      <c r="Z261" s="7" t="str">
        <f t="shared" si="55"/>
        <v>Low</v>
      </c>
      <c r="AA261" s="13">
        <v>0.14000000000000001</v>
      </c>
      <c r="AB261" s="13">
        <f t="shared" si="56"/>
        <v>0.14000000000000001</v>
      </c>
      <c r="AC261" s="13" t="str">
        <f t="shared" si="57"/>
        <v>OK</v>
      </c>
      <c r="AD261" s="7">
        <v>16</v>
      </c>
      <c r="AE261" s="7">
        <f>Y261*AD261*(1-AB261)</f>
        <v>7568.9632000000001</v>
      </c>
      <c r="AF261" s="7">
        <f>W261*AD261</f>
        <v>11455.04</v>
      </c>
      <c r="AG261" s="7">
        <f t="shared" si="58"/>
        <v>-3886.0768000000007</v>
      </c>
      <c r="AH261" s="13">
        <f t="shared" si="59"/>
        <v>-0.51342260456491595</v>
      </c>
    </row>
    <row r="262" spans="1:34" x14ac:dyDescent="0.35">
      <c r="A262" s="2" t="s">
        <v>274</v>
      </c>
      <c r="B262" s="5">
        <v>45066</v>
      </c>
      <c r="C262" s="5">
        <f>IF(H262&lt;B262,H262,B262)</f>
        <v>45066</v>
      </c>
      <c r="D262" s="5" t="str">
        <f t="shared" si="48"/>
        <v>May-2023</v>
      </c>
      <c r="E262" s="5" t="str">
        <f t="shared" si="49"/>
        <v>May</v>
      </c>
      <c r="F262" s="5" t="str">
        <f t="shared" si="50"/>
        <v>2023</v>
      </c>
      <c r="G262" s="5" t="str">
        <f t="shared" si="51"/>
        <v>Q2-2023</v>
      </c>
      <c r="H262" s="5">
        <v>45084</v>
      </c>
      <c r="I262" s="5">
        <f>IF(H262&lt;B262, B262+7, H262)</f>
        <v>45084</v>
      </c>
      <c r="J262" s="5" t="str">
        <f>IF(H262&lt;B262, "Invalid","Okay")</f>
        <v>Okay</v>
      </c>
      <c r="K262" s="16">
        <f>I262-C262</f>
        <v>18</v>
      </c>
      <c r="L262" s="16" t="str">
        <f t="shared" si="52"/>
        <v>Target Not Met</v>
      </c>
      <c r="M262" s="2" t="s">
        <v>646</v>
      </c>
      <c r="N262" s="2" t="s">
        <v>651</v>
      </c>
      <c r="O262" s="2" t="s">
        <v>663</v>
      </c>
      <c r="P262" s="29" t="str">
        <f t="shared" si="53"/>
        <v>Africa→Nigeria→Port Harcourt</v>
      </c>
      <c r="Q262" s="2" t="s">
        <v>706</v>
      </c>
      <c r="R262" s="2" t="s">
        <v>710</v>
      </c>
      <c r="S262" s="2" t="s">
        <v>718</v>
      </c>
      <c r="T262" s="2" t="s">
        <v>727</v>
      </c>
      <c r="U262" t="e">
        <f>(AE262/#REF!)*100</f>
        <v>#REF!</v>
      </c>
      <c r="V262" s="2" t="s">
        <v>994</v>
      </c>
      <c r="W262" s="7">
        <v>1120.06</v>
      </c>
      <c r="X262" s="7">
        <v>2068.21</v>
      </c>
      <c r="Y262" s="7">
        <f t="shared" si="54"/>
        <v>2068.21</v>
      </c>
      <c r="Z262" s="7" t="str">
        <f t="shared" si="55"/>
        <v>High</v>
      </c>
      <c r="AA262" s="13">
        <v>7.8E-2</v>
      </c>
      <c r="AB262" s="13">
        <f t="shared" si="56"/>
        <v>7.8E-2</v>
      </c>
      <c r="AC262" s="13" t="str">
        <f t="shared" si="57"/>
        <v>OK</v>
      </c>
      <c r="AD262" s="7">
        <v>12</v>
      </c>
      <c r="AE262" s="7">
        <f>Y262*AD262*(1-AB262)</f>
        <v>22882.675440000003</v>
      </c>
      <c r="AF262" s="7">
        <f>W262*AD262</f>
        <v>13440.72</v>
      </c>
      <c r="AG262" s="7">
        <f t="shared" si="58"/>
        <v>9441.9554400000034</v>
      </c>
      <c r="AH262" s="13">
        <f t="shared" si="59"/>
        <v>0.41262462795303284</v>
      </c>
    </row>
    <row r="263" spans="1:34" x14ac:dyDescent="0.35">
      <c r="A263" s="2" t="s">
        <v>275</v>
      </c>
      <c r="B263" s="5">
        <v>45073</v>
      </c>
      <c r="C263" s="5">
        <f>IF(H263&lt;B263,H263,B263)</f>
        <v>45073</v>
      </c>
      <c r="D263" s="5" t="str">
        <f t="shared" si="48"/>
        <v>May-2023</v>
      </c>
      <c r="E263" s="5" t="str">
        <f t="shared" si="49"/>
        <v>May</v>
      </c>
      <c r="F263" s="5" t="str">
        <f t="shared" si="50"/>
        <v>2023</v>
      </c>
      <c r="G263" s="5" t="str">
        <f t="shared" si="51"/>
        <v>Q2-2023</v>
      </c>
      <c r="H263" s="5">
        <v>45096</v>
      </c>
      <c r="I263" s="5">
        <f>IF(H263&lt;B263, B263+7, H263)</f>
        <v>45096</v>
      </c>
      <c r="J263" s="5" t="str">
        <f>IF(H263&lt;B263, "Invalid","Okay")</f>
        <v>Okay</v>
      </c>
      <c r="K263" s="16">
        <f>I263-C263</f>
        <v>23</v>
      </c>
      <c r="L263" s="16" t="str">
        <f t="shared" si="52"/>
        <v>Target Not Met</v>
      </c>
      <c r="M263" s="2" t="s">
        <v>649</v>
      </c>
      <c r="N263" s="2" t="s">
        <v>656</v>
      </c>
      <c r="O263" s="2" t="s">
        <v>671</v>
      </c>
      <c r="P263" s="29" t="str">
        <f t="shared" si="53"/>
        <v>Europe→Germany→Berlin</v>
      </c>
      <c r="Q263" s="2" t="s">
        <v>702</v>
      </c>
      <c r="R263" s="2" t="s">
        <v>707</v>
      </c>
      <c r="S263" s="2" t="s">
        <v>719</v>
      </c>
      <c r="T263" s="2" t="s">
        <v>733</v>
      </c>
      <c r="U263" t="e">
        <f>(AE263/#REF!)*100</f>
        <v>#REF!</v>
      </c>
      <c r="V263" s="2" t="s">
        <v>995</v>
      </c>
      <c r="W263" s="7">
        <v>1471.58</v>
      </c>
      <c r="X263" s="7">
        <v>2576.65</v>
      </c>
      <c r="Y263" s="7">
        <f t="shared" si="54"/>
        <v>2576.65</v>
      </c>
      <c r="Z263" s="7" t="str">
        <f t="shared" si="55"/>
        <v>High</v>
      </c>
      <c r="AA263" s="13">
        <v>4.0000000000000001E-3</v>
      </c>
      <c r="AB263" s="13">
        <f t="shared" si="56"/>
        <v>4.0000000000000001E-3</v>
      </c>
      <c r="AC263" s="13" t="str">
        <f t="shared" si="57"/>
        <v>OK</v>
      </c>
      <c r="AD263" s="7">
        <v>7</v>
      </c>
      <c r="AE263" s="7">
        <f>Y263*AD263*(1-AB263)</f>
        <v>17964.4038</v>
      </c>
      <c r="AF263" s="7">
        <f>W263*AD263</f>
        <v>10301.06</v>
      </c>
      <c r="AG263" s="7">
        <f t="shared" si="58"/>
        <v>7663.3438000000006</v>
      </c>
      <c r="AH263" s="13">
        <f t="shared" si="59"/>
        <v>0.4265849223451546</v>
      </c>
    </row>
    <row r="264" spans="1:34" x14ac:dyDescent="0.35">
      <c r="A264" s="2" t="s">
        <v>276</v>
      </c>
      <c r="B264" s="5">
        <v>45142</v>
      </c>
      <c r="C264" s="5">
        <f>IF(H264&lt;B264,H264,B264)</f>
        <v>45142</v>
      </c>
      <c r="D264" s="5" t="str">
        <f t="shared" si="48"/>
        <v>Aug-2023</v>
      </c>
      <c r="E264" s="5" t="str">
        <f t="shared" si="49"/>
        <v>Aug</v>
      </c>
      <c r="F264" s="5" t="str">
        <f t="shared" si="50"/>
        <v>2023</v>
      </c>
      <c r="G264" s="5" t="str">
        <f t="shared" si="51"/>
        <v>Q3-2023</v>
      </c>
      <c r="H264" s="5">
        <v>45162</v>
      </c>
      <c r="I264" s="5">
        <f>IF(H264&lt;B264, B264+7, H264)</f>
        <v>45162</v>
      </c>
      <c r="J264" s="5" t="str">
        <f>IF(H264&lt;B264, "Invalid","Okay")</f>
        <v>Okay</v>
      </c>
      <c r="K264" s="16">
        <f>I264-C264</f>
        <v>20</v>
      </c>
      <c r="L264" s="16" t="str">
        <f t="shared" si="52"/>
        <v>Target Not Met</v>
      </c>
      <c r="M264" s="2" t="s">
        <v>648</v>
      </c>
      <c r="N264" s="2" t="s">
        <v>655</v>
      </c>
      <c r="O264" s="2" t="s">
        <v>672</v>
      </c>
      <c r="P264" s="29" t="str">
        <f t="shared" si="53"/>
        <v>Americas→Brazil→Brasília</v>
      </c>
      <c r="Q264" s="2" t="s">
        <v>703</v>
      </c>
      <c r="R264" s="2" t="s">
        <v>711</v>
      </c>
      <c r="S264" s="2" t="s">
        <v>1423</v>
      </c>
      <c r="T264" s="2" t="s">
        <v>729</v>
      </c>
      <c r="U264" t="e">
        <f>(AE264/#REF!)*100</f>
        <v>#REF!</v>
      </c>
      <c r="V264" s="2" t="s">
        <v>996</v>
      </c>
      <c r="W264" s="7">
        <v>582.88</v>
      </c>
      <c r="X264" s="7">
        <v>1044.1400000000001</v>
      </c>
      <c r="Y264" s="7">
        <f t="shared" si="54"/>
        <v>1044.1400000000001</v>
      </c>
      <c r="Z264" s="7" t="str">
        <f t="shared" si="55"/>
        <v>Low</v>
      </c>
      <c r="AA264" s="13">
        <v>0.216</v>
      </c>
      <c r="AB264" s="13">
        <f t="shared" si="56"/>
        <v>0.216</v>
      </c>
      <c r="AC264" s="13" t="str">
        <f t="shared" si="57"/>
        <v>OK</v>
      </c>
      <c r="AD264" s="7">
        <v>10</v>
      </c>
      <c r="AE264" s="7">
        <f>Y264*AD264*(1-AB264)</f>
        <v>8186.057600000001</v>
      </c>
      <c r="AF264" s="7">
        <f>W264*AD264</f>
        <v>5828.8</v>
      </c>
      <c r="AG264" s="7">
        <f t="shared" si="58"/>
        <v>2357.2576000000008</v>
      </c>
      <c r="AH264" s="13">
        <f t="shared" si="59"/>
        <v>0.28796005539956138</v>
      </c>
    </row>
    <row r="265" spans="1:34" x14ac:dyDescent="0.35">
      <c r="A265" s="2" t="s">
        <v>277</v>
      </c>
      <c r="B265" s="5">
        <v>45829</v>
      </c>
      <c r="C265" s="5">
        <f>IF(H265&lt;B265,H265,B265)</f>
        <v>45829</v>
      </c>
      <c r="D265" s="5" t="str">
        <f t="shared" si="48"/>
        <v>Jun-2025</v>
      </c>
      <c r="E265" s="5" t="str">
        <f t="shared" si="49"/>
        <v>Jun</v>
      </c>
      <c r="F265" s="5" t="str">
        <f t="shared" si="50"/>
        <v>2025</v>
      </c>
      <c r="G265" s="5" t="str">
        <f t="shared" si="51"/>
        <v>Q2-2025</v>
      </c>
      <c r="H265" s="5">
        <v>45835</v>
      </c>
      <c r="I265" s="5">
        <f>IF(H265&lt;B265, B265+7, H265)</f>
        <v>45835</v>
      </c>
      <c r="J265" s="5" t="str">
        <f>IF(H265&lt;B265, "Invalid","Okay")</f>
        <v>Okay</v>
      </c>
      <c r="K265" s="16">
        <f>I265-C265</f>
        <v>6</v>
      </c>
      <c r="L265" s="16" t="str">
        <f t="shared" si="52"/>
        <v>Target Met</v>
      </c>
      <c r="M265" s="2" t="s">
        <v>646</v>
      </c>
      <c r="N265" s="2" t="s">
        <v>661</v>
      </c>
      <c r="O265" s="2" t="s">
        <v>687</v>
      </c>
      <c r="P265" s="29" t="str">
        <f t="shared" si="53"/>
        <v>Africa→South Africa→Durban</v>
      </c>
      <c r="Q265" s="2" t="s">
        <v>706</v>
      </c>
      <c r="R265" s="2" t="s">
        <v>710</v>
      </c>
      <c r="S265" s="2" t="s">
        <v>725</v>
      </c>
      <c r="T265" s="2" t="s">
        <v>730</v>
      </c>
      <c r="U265" t="e">
        <f>(AE265/#REF!)*100</f>
        <v>#REF!</v>
      </c>
      <c r="V265" s="2" t="s">
        <v>997</v>
      </c>
      <c r="W265" s="7">
        <v>93.91</v>
      </c>
      <c r="X265" s="7">
        <v>99.04</v>
      </c>
      <c r="Y265" s="7">
        <f t="shared" si="54"/>
        <v>99.04</v>
      </c>
      <c r="Z265" s="7" t="str">
        <f t="shared" si="55"/>
        <v>Low</v>
      </c>
      <c r="AA265" s="13">
        <v>5.7000000000000002E-2</v>
      </c>
      <c r="AB265" s="13">
        <f t="shared" si="56"/>
        <v>5.7000000000000002E-2</v>
      </c>
      <c r="AC265" s="13" t="str">
        <f t="shared" si="57"/>
        <v>OK</v>
      </c>
      <c r="AD265" s="7">
        <v>6</v>
      </c>
      <c r="AE265" s="7">
        <f>Y265*AD265*(1-AB265)</f>
        <v>560.36831999999993</v>
      </c>
      <c r="AF265" s="7">
        <f>W265*AD265</f>
        <v>563.46</v>
      </c>
      <c r="AG265" s="7">
        <f t="shared" si="58"/>
        <v>-3.0916800000001103</v>
      </c>
      <c r="AH265" s="13">
        <f t="shared" si="59"/>
        <v>-5.5172283829323376E-3</v>
      </c>
    </row>
    <row r="266" spans="1:34" x14ac:dyDescent="0.35">
      <c r="A266" s="2" t="s">
        <v>278</v>
      </c>
      <c r="B266" s="5">
        <v>45763</v>
      </c>
      <c r="C266" s="5">
        <f>IF(H266&lt;B266,H266,B266)</f>
        <v>45763</v>
      </c>
      <c r="D266" s="5" t="str">
        <f t="shared" si="48"/>
        <v>Apr-2025</v>
      </c>
      <c r="E266" s="5" t="str">
        <f t="shared" si="49"/>
        <v>Apr</v>
      </c>
      <c r="F266" s="5" t="str">
        <f t="shared" si="50"/>
        <v>2025</v>
      </c>
      <c r="G266" s="5" t="str">
        <f t="shared" si="51"/>
        <v>Q2-2025</v>
      </c>
      <c r="H266" s="5">
        <v>45773</v>
      </c>
      <c r="I266" s="5">
        <f>IF(H266&lt;B266, B266+7, H266)</f>
        <v>45773</v>
      </c>
      <c r="J266" s="5" t="str">
        <f>IF(H266&lt;B266, "Invalid","Okay")</f>
        <v>Okay</v>
      </c>
      <c r="K266" s="16">
        <f>I266-C266</f>
        <v>10</v>
      </c>
      <c r="L266" s="16" t="str">
        <f t="shared" si="52"/>
        <v>Target Not Met</v>
      </c>
      <c r="M266" s="2" t="s">
        <v>646</v>
      </c>
      <c r="N266" s="2" t="s">
        <v>651</v>
      </c>
      <c r="O266" s="2" t="s">
        <v>663</v>
      </c>
      <c r="P266" s="29" t="str">
        <f t="shared" si="53"/>
        <v>Africa→Nigeria→Port Harcourt</v>
      </c>
      <c r="Q266" s="2" t="s">
        <v>706</v>
      </c>
      <c r="R266" s="2" t="s">
        <v>709</v>
      </c>
      <c r="S266" s="2" t="s">
        <v>721</v>
      </c>
      <c r="T266" s="2" t="s">
        <v>731</v>
      </c>
      <c r="U266" t="e">
        <f>(AE266/#REF!)*100</f>
        <v>#REF!</v>
      </c>
      <c r="V266" s="2" t="s">
        <v>998</v>
      </c>
      <c r="W266" s="7">
        <v>1457.44</v>
      </c>
      <c r="X266" s="7">
        <v>1996.81</v>
      </c>
      <c r="Y266" s="7">
        <f t="shared" si="54"/>
        <v>1996.81</v>
      </c>
      <c r="Z266" s="7" t="str">
        <f t="shared" si="55"/>
        <v>High</v>
      </c>
      <c r="AA266" s="13">
        <v>0.126</v>
      </c>
      <c r="AB266" s="13">
        <f t="shared" si="56"/>
        <v>0.126</v>
      </c>
      <c r="AC266" s="13" t="str">
        <f t="shared" si="57"/>
        <v>OK</v>
      </c>
      <c r="AD266" s="7">
        <v>23</v>
      </c>
      <c r="AE266" s="7">
        <f>Y266*AD266*(1-AB266)</f>
        <v>40139.874619999995</v>
      </c>
      <c r="AF266" s="7">
        <f>W266*AD266</f>
        <v>33521.120000000003</v>
      </c>
      <c r="AG266" s="7">
        <f t="shared" si="58"/>
        <v>6618.7546199999924</v>
      </c>
      <c r="AH266" s="13">
        <f t="shared" si="59"/>
        <v>0.16489225944672353</v>
      </c>
    </row>
    <row r="267" spans="1:34" x14ac:dyDescent="0.35">
      <c r="A267" s="2" t="s">
        <v>279</v>
      </c>
      <c r="B267" s="5">
        <v>45902</v>
      </c>
      <c r="C267" s="5">
        <f>IF(H267&lt;B267,H267,B267)</f>
        <v>45902</v>
      </c>
      <c r="D267" s="5" t="str">
        <f t="shared" si="48"/>
        <v>Sep-2025</v>
      </c>
      <c r="E267" s="5" t="str">
        <f t="shared" si="49"/>
        <v>Sep</v>
      </c>
      <c r="F267" s="5" t="str">
        <f t="shared" si="50"/>
        <v>2025</v>
      </c>
      <c r="G267" s="5" t="str">
        <f t="shared" si="51"/>
        <v>Q3-2025</v>
      </c>
      <c r="H267" s="5">
        <v>45911</v>
      </c>
      <c r="I267" s="5">
        <f>IF(H267&lt;B267, B267+7, H267)</f>
        <v>45911</v>
      </c>
      <c r="J267" s="5" t="str">
        <f>IF(H267&lt;B267, "Invalid","Okay")</f>
        <v>Okay</v>
      </c>
      <c r="K267" s="16">
        <f>I267-C267</f>
        <v>9</v>
      </c>
      <c r="L267" s="16" t="str">
        <f t="shared" si="52"/>
        <v>Target Not Met</v>
      </c>
      <c r="M267" s="2" t="s">
        <v>648</v>
      </c>
      <c r="N267" s="2" t="s">
        <v>653</v>
      </c>
      <c r="O267" s="2" t="s">
        <v>667</v>
      </c>
      <c r="P267" s="29" t="str">
        <f t="shared" si="53"/>
        <v>Americas→Canada→Toronto</v>
      </c>
      <c r="Q267" s="2" t="s">
        <v>701</v>
      </c>
      <c r="R267" s="2" t="s">
        <v>710</v>
      </c>
      <c r="S267" s="2" t="s">
        <v>724</v>
      </c>
      <c r="T267" s="2" t="s">
        <v>728</v>
      </c>
      <c r="U267" t="e">
        <f>(AE267/#REF!)*100</f>
        <v>#REF!</v>
      </c>
      <c r="V267" s="2" t="s">
        <v>999</v>
      </c>
      <c r="W267" s="7">
        <v>1207.6300000000001</v>
      </c>
      <c r="X267" s="7">
        <v>921.68</v>
      </c>
      <c r="Y267" s="7">
        <f t="shared" si="54"/>
        <v>921.68</v>
      </c>
      <c r="Z267" s="7" t="str">
        <f t="shared" si="55"/>
        <v>Low</v>
      </c>
      <c r="AA267" s="13">
        <v>0.19600000000000001</v>
      </c>
      <c r="AB267" s="13">
        <f t="shared" si="56"/>
        <v>0.19600000000000001</v>
      </c>
      <c r="AC267" s="13" t="str">
        <f t="shared" si="57"/>
        <v>OK</v>
      </c>
      <c r="AD267" s="7">
        <v>17</v>
      </c>
      <c r="AE267" s="7">
        <f>Y267*AD267*(1-AB267)</f>
        <v>12597.52224</v>
      </c>
      <c r="AF267" s="7">
        <f>W267*AD267</f>
        <v>20529.710000000003</v>
      </c>
      <c r="AG267" s="7">
        <f t="shared" si="58"/>
        <v>-7932.1877600000025</v>
      </c>
      <c r="AH267" s="13">
        <f t="shared" si="59"/>
        <v>-0.62966253274897988</v>
      </c>
    </row>
    <row r="268" spans="1:34" x14ac:dyDescent="0.35">
      <c r="A268" s="2" t="s">
        <v>280</v>
      </c>
      <c r="B268" s="5">
        <v>45573</v>
      </c>
      <c r="C268" s="5">
        <f>IF(H268&lt;B268,H268,B268)</f>
        <v>45573</v>
      </c>
      <c r="D268" s="5" t="str">
        <f t="shared" si="48"/>
        <v>Oct-2024</v>
      </c>
      <c r="E268" s="5" t="str">
        <f t="shared" si="49"/>
        <v>Oct</v>
      </c>
      <c r="F268" s="5" t="str">
        <f t="shared" si="50"/>
        <v>2024</v>
      </c>
      <c r="G268" s="5" t="str">
        <f t="shared" si="51"/>
        <v>Q4-2024</v>
      </c>
      <c r="H268" s="5">
        <v>45573</v>
      </c>
      <c r="I268" s="5">
        <f>IF(H268&lt;B268, B268+7, H268)</f>
        <v>45573</v>
      </c>
      <c r="J268" s="5" t="str">
        <f>IF(H268&lt;B268, "Invalid","Okay")</f>
        <v>Okay</v>
      </c>
      <c r="K268" s="16">
        <f>I268-C268</f>
        <v>0</v>
      </c>
      <c r="L268" s="16" t="str">
        <f t="shared" si="52"/>
        <v>Target Met</v>
      </c>
      <c r="M268" s="2" t="s">
        <v>649</v>
      </c>
      <c r="N268" s="2" t="s">
        <v>658</v>
      </c>
      <c r="O268" s="2" t="s">
        <v>683</v>
      </c>
      <c r="P268" s="29" t="str">
        <f t="shared" si="53"/>
        <v>Europe→United Kingdom→London</v>
      </c>
      <c r="Q268" s="2" t="s">
        <v>701</v>
      </c>
      <c r="R268" s="2" t="s">
        <v>708</v>
      </c>
      <c r="S268" s="2" t="s">
        <v>718</v>
      </c>
      <c r="T268" s="2" t="s">
        <v>732</v>
      </c>
      <c r="U268" t="e">
        <f>(AE268/#REF!)*100</f>
        <v>#REF!</v>
      </c>
      <c r="V268" s="2" t="s">
        <v>1000</v>
      </c>
      <c r="W268" s="7">
        <v>1108.1099999999999</v>
      </c>
      <c r="X268" s="7">
        <v>2503.79</v>
      </c>
      <c r="Y268" s="7">
        <f t="shared" si="54"/>
        <v>2503.79</v>
      </c>
      <c r="Z268" s="7" t="str">
        <f t="shared" si="55"/>
        <v>High</v>
      </c>
      <c r="AA268" s="13">
        <v>0.184</v>
      </c>
      <c r="AB268" s="13">
        <f t="shared" si="56"/>
        <v>0.184</v>
      </c>
      <c r="AC268" s="13" t="str">
        <f t="shared" si="57"/>
        <v>OK</v>
      </c>
      <c r="AD268" s="7">
        <v>19</v>
      </c>
      <c r="AE268" s="7">
        <f>Y268*AD268*(1-AB268)</f>
        <v>38818.760160000005</v>
      </c>
      <c r="AF268" s="7">
        <f>W268*AD268</f>
        <v>21054.089999999997</v>
      </c>
      <c r="AG268" s="7">
        <f t="shared" si="58"/>
        <v>17764.670160000009</v>
      </c>
      <c r="AH268" s="13">
        <f t="shared" si="59"/>
        <v>0.45763105485025896</v>
      </c>
    </row>
    <row r="269" spans="1:34" x14ac:dyDescent="0.35">
      <c r="A269" s="2" t="s">
        <v>281</v>
      </c>
      <c r="B269" s="5">
        <v>45053</v>
      </c>
      <c r="C269" s="5">
        <f>IF(H269&lt;B269,H269,B269)</f>
        <v>45051</v>
      </c>
      <c r="D269" s="5" t="str">
        <f t="shared" si="48"/>
        <v>May-2023</v>
      </c>
      <c r="E269" s="5" t="str">
        <f t="shared" si="49"/>
        <v>May</v>
      </c>
      <c r="F269" s="5" t="str">
        <f t="shared" si="50"/>
        <v>2023</v>
      </c>
      <c r="G269" s="5" t="str">
        <f t="shared" si="51"/>
        <v>Q2-2023</v>
      </c>
      <c r="H269" s="5">
        <v>45051</v>
      </c>
      <c r="I269" s="5">
        <f>IF(H269&lt;B269, B269+7, H269)</f>
        <v>45060</v>
      </c>
      <c r="J269" s="5" t="str">
        <f>IF(H269&lt;B269, "Invalid","Okay")</f>
        <v>Invalid</v>
      </c>
      <c r="K269" s="16">
        <f>I269-C269</f>
        <v>9</v>
      </c>
      <c r="L269" s="16" t="str">
        <f t="shared" si="52"/>
        <v>Target Not Met</v>
      </c>
      <c r="M269" s="2" t="s">
        <v>646</v>
      </c>
      <c r="N269" s="2" t="s">
        <v>651</v>
      </c>
      <c r="O269" s="2" t="s">
        <v>663</v>
      </c>
      <c r="P269" s="29" t="str">
        <f t="shared" si="53"/>
        <v>Africa→Nigeria→Port Harcourt</v>
      </c>
      <c r="Q269" s="2" t="s">
        <v>703</v>
      </c>
      <c r="R269" s="2" t="s">
        <v>709</v>
      </c>
      <c r="S269" s="2" t="s">
        <v>720</v>
      </c>
      <c r="T269" s="2" t="s">
        <v>727</v>
      </c>
      <c r="U269" t="e">
        <f>(AE269/#REF!)*100</f>
        <v>#REF!</v>
      </c>
      <c r="V269" s="2" t="s">
        <v>1001</v>
      </c>
      <c r="W269" s="7">
        <v>1269.6500000000001</v>
      </c>
      <c r="X269" s="7">
        <v>2462.77</v>
      </c>
      <c r="Y269" s="7">
        <f t="shared" si="54"/>
        <v>2462.77</v>
      </c>
      <c r="Z269" s="7" t="str">
        <f t="shared" si="55"/>
        <v>High</v>
      </c>
      <c r="AA269" s="13">
        <v>0.107</v>
      </c>
      <c r="AB269" s="13">
        <f t="shared" si="56"/>
        <v>0.107</v>
      </c>
      <c r="AC269" s="13" t="str">
        <f t="shared" si="57"/>
        <v>OK</v>
      </c>
      <c r="AD269" s="7">
        <v>8</v>
      </c>
      <c r="AE269" s="7">
        <f>Y269*AD269*(1-AB269)</f>
        <v>17594.028880000002</v>
      </c>
      <c r="AF269" s="7">
        <f>W269*AD269</f>
        <v>10157.200000000001</v>
      </c>
      <c r="AG269" s="7">
        <f t="shared" si="58"/>
        <v>7436.8288800000009</v>
      </c>
      <c r="AH269" s="13">
        <f t="shared" si="59"/>
        <v>0.42269050089225502</v>
      </c>
    </row>
    <row r="270" spans="1:34" x14ac:dyDescent="0.35">
      <c r="A270" s="2" t="s">
        <v>282</v>
      </c>
      <c r="B270" s="5">
        <v>45284</v>
      </c>
      <c r="C270" s="5">
        <f>IF(H270&lt;B270,H270,B270)</f>
        <v>45284</v>
      </c>
      <c r="D270" s="5" t="str">
        <f t="shared" si="48"/>
        <v>Dec-2023</v>
      </c>
      <c r="E270" s="5" t="str">
        <f t="shared" si="49"/>
        <v>Dec</v>
      </c>
      <c r="F270" s="5" t="str">
        <f t="shared" si="50"/>
        <v>2023</v>
      </c>
      <c r="G270" s="5" t="str">
        <f t="shared" si="51"/>
        <v>Q4-2023</v>
      </c>
      <c r="H270" s="5">
        <v>45292</v>
      </c>
      <c r="I270" s="5">
        <f>IF(H270&lt;B270, B270+7, H270)</f>
        <v>45292</v>
      </c>
      <c r="J270" s="5" t="str">
        <f>IF(H270&lt;B270, "Invalid","Okay")</f>
        <v>Okay</v>
      </c>
      <c r="K270" s="16">
        <f>I270-C270</f>
        <v>8</v>
      </c>
      <c r="L270" s="16" t="str">
        <f t="shared" si="52"/>
        <v>Target Not Met</v>
      </c>
      <c r="M270" s="2" t="s">
        <v>648</v>
      </c>
      <c r="N270" s="2" t="s">
        <v>655</v>
      </c>
      <c r="O270" s="2" t="s">
        <v>670</v>
      </c>
      <c r="P270" s="29" t="str">
        <f t="shared" si="53"/>
        <v>Americas→Brazil→São Paulo</v>
      </c>
      <c r="Q270" s="2" t="s">
        <v>702</v>
      </c>
      <c r="R270" s="2" t="s">
        <v>711</v>
      </c>
      <c r="S270" s="2" t="s">
        <v>712</v>
      </c>
      <c r="T270" s="2" t="s">
        <v>730</v>
      </c>
      <c r="U270" t="e">
        <f>(AE270/#REF!)*100</f>
        <v>#REF!</v>
      </c>
      <c r="V270" s="2" t="s">
        <v>1002</v>
      </c>
      <c r="W270" s="7">
        <v>526.49</v>
      </c>
      <c r="X270" s="7">
        <v>496.2</v>
      </c>
      <c r="Y270" s="7">
        <f t="shared" si="54"/>
        <v>496.2</v>
      </c>
      <c r="Z270" s="7" t="str">
        <f t="shared" si="55"/>
        <v>Low</v>
      </c>
      <c r="AA270" s="13">
        <v>0</v>
      </c>
      <c r="AB270" s="13">
        <f t="shared" si="56"/>
        <v>0</v>
      </c>
      <c r="AC270" s="13" t="str">
        <f t="shared" si="57"/>
        <v>OK</v>
      </c>
      <c r="AD270" s="7">
        <v>14</v>
      </c>
      <c r="AE270" s="7">
        <f>Y270*AD270*(1-AB270)</f>
        <v>6946.8</v>
      </c>
      <c r="AF270" s="7">
        <f>W270*AD270</f>
        <v>7370.8600000000006</v>
      </c>
      <c r="AG270" s="7">
        <f t="shared" si="58"/>
        <v>-424.0600000000004</v>
      </c>
      <c r="AH270" s="13">
        <f t="shared" si="59"/>
        <v>-6.1043933897621985E-2</v>
      </c>
    </row>
    <row r="271" spans="1:34" x14ac:dyDescent="0.35">
      <c r="A271" s="2" t="s">
        <v>283</v>
      </c>
      <c r="B271" s="5">
        <v>45301</v>
      </c>
      <c r="C271" s="5">
        <f>IF(H271&lt;B271,H271,B271)</f>
        <v>45301</v>
      </c>
      <c r="D271" s="5" t="str">
        <f t="shared" si="48"/>
        <v>Jan-2024</v>
      </c>
      <c r="E271" s="5" t="str">
        <f t="shared" si="49"/>
        <v>Jan</v>
      </c>
      <c r="F271" s="5" t="str">
        <f t="shared" si="50"/>
        <v>2024</v>
      </c>
      <c r="G271" s="5" t="str">
        <f t="shared" si="51"/>
        <v>Q1-2024</v>
      </c>
      <c r="H271" s="5">
        <v>45314</v>
      </c>
      <c r="I271" s="5">
        <f>IF(H271&lt;B271, B271+7, H271)</f>
        <v>45314</v>
      </c>
      <c r="J271" s="5" t="str">
        <f>IF(H271&lt;B271, "Invalid","Okay")</f>
        <v>Okay</v>
      </c>
      <c r="K271" s="16">
        <f>I271-C271</f>
        <v>13</v>
      </c>
      <c r="L271" s="16" t="str">
        <f t="shared" si="52"/>
        <v>Target Not Met</v>
      </c>
      <c r="M271" s="2" t="s">
        <v>649</v>
      </c>
      <c r="N271" s="2" t="s">
        <v>657</v>
      </c>
      <c r="O271" s="2" t="s">
        <v>673</v>
      </c>
      <c r="P271" s="29" t="str">
        <f t="shared" si="53"/>
        <v>Europe→France→Marseille</v>
      </c>
      <c r="Q271" s="2" t="s">
        <v>701</v>
      </c>
      <c r="R271" s="2" t="s">
        <v>711</v>
      </c>
      <c r="S271" s="2" t="s">
        <v>720</v>
      </c>
      <c r="T271" s="2" t="s">
        <v>728</v>
      </c>
      <c r="U271" t="e">
        <f>(AE271/#REF!)*100</f>
        <v>#REF!</v>
      </c>
      <c r="V271" s="2" t="s">
        <v>1003</v>
      </c>
      <c r="W271" s="7">
        <v>720</v>
      </c>
      <c r="X271" s="7">
        <v>907.59</v>
      </c>
      <c r="Y271" s="7">
        <f t="shared" si="54"/>
        <v>907.59</v>
      </c>
      <c r="Z271" s="7" t="str">
        <f t="shared" si="55"/>
        <v>Low</v>
      </c>
      <c r="AA271" s="13">
        <v>0.154</v>
      </c>
      <c r="AB271" s="13">
        <f t="shared" si="56"/>
        <v>0.154</v>
      </c>
      <c r="AC271" s="13" t="str">
        <f t="shared" si="57"/>
        <v>OK</v>
      </c>
      <c r="AD271" s="7">
        <v>10</v>
      </c>
      <c r="AE271" s="7">
        <f>Y271*AD271*(1-AB271)</f>
        <v>7678.2113999999992</v>
      </c>
      <c r="AF271" s="7">
        <f>W271*AD271</f>
        <v>7200</v>
      </c>
      <c r="AG271" s="7">
        <f t="shared" si="58"/>
        <v>478.21139999999923</v>
      </c>
      <c r="AH271" s="13">
        <f t="shared" si="59"/>
        <v>6.2281614179052078E-2</v>
      </c>
    </row>
    <row r="272" spans="1:34" x14ac:dyDescent="0.35">
      <c r="A272" s="2" t="s">
        <v>284</v>
      </c>
      <c r="B272" s="5">
        <v>45141</v>
      </c>
      <c r="C272" s="5">
        <f>IF(H272&lt;B272,H272,B272)</f>
        <v>45141</v>
      </c>
      <c r="D272" s="5" t="str">
        <f t="shared" si="48"/>
        <v>Aug-2023</v>
      </c>
      <c r="E272" s="5" t="str">
        <f t="shared" si="49"/>
        <v>Aug</v>
      </c>
      <c r="F272" s="5" t="str">
        <f t="shared" si="50"/>
        <v>2023</v>
      </c>
      <c r="G272" s="5" t="str">
        <f t="shared" si="51"/>
        <v>Q3-2023</v>
      </c>
      <c r="H272" s="5">
        <v>45152</v>
      </c>
      <c r="I272" s="5">
        <f>IF(H272&lt;B272, B272+7, H272)</f>
        <v>45152</v>
      </c>
      <c r="J272" s="5" t="str">
        <f>IF(H272&lt;B272, "Invalid","Okay")</f>
        <v>Okay</v>
      </c>
      <c r="K272" s="16">
        <f>I272-C272</f>
        <v>11</v>
      </c>
      <c r="L272" s="16" t="str">
        <f t="shared" si="52"/>
        <v>Target Not Met</v>
      </c>
      <c r="M272" s="2" t="s">
        <v>648</v>
      </c>
      <c r="N272" s="2" t="s">
        <v>655</v>
      </c>
      <c r="O272" s="2" t="s">
        <v>672</v>
      </c>
      <c r="P272" s="29" t="str">
        <f t="shared" si="53"/>
        <v>Americas→Brazil→Brasília</v>
      </c>
      <c r="Q272" s="2" t="s">
        <v>701</v>
      </c>
      <c r="R272" s="2" t="s">
        <v>711</v>
      </c>
      <c r="S272" s="2" t="s">
        <v>713</v>
      </c>
      <c r="T272" s="2" t="s">
        <v>733</v>
      </c>
      <c r="U272" t="e">
        <f>(AE272/#REF!)*100</f>
        <v>#REF!</v>
      </c>
      <c r="V272" s="2" t="s">
        <v>1004</v>
      </c>
      <c r="W272" s="7">
        <v>232.73</v>
      </c>
      <c r="X272" s="7">
        <v>334.19</v>
      </c>
      <c r="Y272" s="7">
        <f t="shared" si="54"/>
        <v>334.19</v>
      </c>
      <c r="Z272" s="7" t="str">
        <f t="shared" si="55"/>
        <v>Low</v>
      </c>
      <c r="AA272" s="13">
        <v>0.13400000000000001</v>
      </c>
      <c r="AB272" s="13">
        <f t="shared" si="56"/>
        <v>0.13400000000000001</v>
      </c>
      <c r="AC272" s="13" t="str">
        <f t="shared" si="57"/>
        <v>OK</v>
      </c>
      <c r="AD272" s="7">
        <v>25</v>
      </c>
      <c r="AE272" s="7">
        <f>Y272*AD272*(1-AB272)</f>
        <v>7235.2134999999998</v>
      </c>
      <c r="AF272" s="7">
        <f>W272*AD272</f>
        <v>5818.25</v>
      </c>
      <c r="AG272" s="7">
        <f t="shared" si="58"/>
        <v>1416.9634999999998</v>
      </c>
      <c r="AH272" s="13">
        <f t="shared" si="59"/>
        <v>0.1958426658729559</v>
      </c>
    </row>
    <row r="273" spans="1:34" x14ac:dyDescent="0.35">
      <c r="A273" s="2" t="s">
        <v>285</v>
      </c>
      <c r="B273" s="5">
        <v>45707</v>
      </c>
      <c r="C273" s="5">
        <f>IF(H273&lt;B273,H273,B273)</f>
        <v>45707</v>
      </c>
      <c r="D273" s="5" t="str">
        <f t="shared" si="48"/>
        <v>Feb-2025</v>
      </c>
      <c r="E273" s="5" t="str">
        <f t="shared" si="49"/>
        <v>Feb</v>
      </c>
      <c r="F273" s="5" t="str">
        <f t="shared" si="50"/>
        <v>2025</v>
      </c>
      <c r="G273" s="5" t="str">
        <f t="shared" si="51"/>
        <v>Q1-2025</v>
      </c>
      <c r="H273" s="5">
        <v>45725</v>
      </c>
      <c r="I273" s="5">
        <f>IF(H273&lt;B273, B273+7, H273)</f>
        <v>45725</v>
      </c>
      <c r="J273" s="5" t="str">
        <f>IF(H273&lt;B273, "Invalid","Okay")</f>
        <v>Okay</v>
      </c>
      <c r="K273" s="16">
        <f>I273-C273</f>
        <v>18</v>
      </c>
      <c r="L273" s="16" t="str">
        <f t="shared" si="52"/>
        <v>Target Not Met</v>
      </c>
      <c r="M273" s="2" t="s">
        <v>647</v>
      </c>
      <c r="N273" s="2" t="s">
        <v>654</v>
      </c>
      <c r="O273" s="2" t="s">
        <v>680</v>
      </c>
      <c r="P273" s="29" t="str">
        <f t="shared" si="53"/>
        <v>Asia→India→Delhi</v>
      </c>
      <c r="Q273" s="2" t="s">
        <v>705</v>
      </c>
      <c r="R273" s="2" t="s">
        <v>711</v>
      </c>
      <c r="S273" s="2" t="s">
        <v>719</v>
      </c>
      <c r="T273" s="2" t="s">
        <v>732</v>
      </c>
      <c r="U273" t="e">
        <f>(AE273/#REF!)*100</f>
        <v>#REF!</v>
      </c>
      <c r="V273" s="2" t="s">
        <v>1005</v>
      </c>
      <c r="W273" s="7">
        <v>325.87</v>
      </c>
      <c r="X273" s="7">
        <v>538.79</v>
      </c>
      <c r="Y273" s="7">
        <f t="shared" si="54"/>
        <v>538.79</v>
      </c>
      <c r="Z273" s="7" t="str">
        <f t="shared" si="55"/>
        <v>Low</v>
      </c>
      <c r="AA273" s="13">
        <v>0.17399999999999999</v>
      </c>
      <c r="AB273" s="13">
        <f t="shared" si="56"/>
        <v>0.17399999999999999</v>
      </c>
      <c r="AC273" s="13" t="str">
        <f t="shared" si="57"/>
        <v>OK</v>
      </c>
      <c r="AD273" s="7">
        <v>16</v>
      </c>
      <c r="AE273" s="7">
        <f>Y273*AD273*(1-AB273)</f>
        <v>7120.6486400000003</v>
      </c>
      <c r="AF273" s="7">
        <f>W273*AD273</f>
        <v>5213.92</v>
      </c>
      <c r="AG273" s="7">
        <f t="shared" si="58"/>
        <v>1906.7286400000003</v>
      </c>
      <c r="AH273" s="13">
        <f t="shared" si="59"/>
        <v>0.26777457172778013</v>
      </c>
    </row>
    <row r="274" spans="1:34" x14ac:dyDescent="0.35">
      <c r="A274" s="2" t="s">
        <v>286</v>
      </c>
      <c r="B274" s="5">
        <v>45382</v>
      </c>
      <c r="C274" s="5">
        <f>IF(H274&lt;B274,H274,B274)</f>
        <v>45382</v>
      </c>
      <c r="D274" s="5" t="str">
        <f t="shared" si="48"/>
        <v>Mar-2024</v>
      </c>
      <c r="E274" s="5" t="str">
        <f t="shared" si="49"/>
        <v>Mar</v>
      </c>
      <c r="F274" s="5" t="str">
        <f t="shared" si="50"/>
        <v>2024</v>
      </c>
      <c r="G274" s="5" t="str">
        <f t="shared" si="51"/>
        <v>Q1-2024</v>
      </c>
      <c r="H274" s="5">
        <v>45399</v>
      </c>
      <c r="I274" s="5">
        <f>IF(H274&lt;B274, B274+7, H274)</f>
        <v>45399</v>
      </c>
      <c r="J274" s="5" t="str">
        <f>IF(H274&lt;B274, "Invalid","Okay")</f>
        <v>Okay</v>
      </c>
      <c r="K274" s="16">
        <f>I274-C274</f>
        <v>17</v>
      </c>
      <c r="L274" s="16" t="str">
        <f t="shared" si="52"/>
        <v>Target Not Met</v>
      </c>
      <c r="M274" s="2" t="s">
        <v>649</v>
      </c>
      <c r="N274" s="2" t="s">
        <v>656</v>
      </c>
      <c r="O274" s="2" t="s">
        <v>698</v>
      </c>
      <c r="P274" s="29" t="str">
        <f t="shared" si="53"/>
        <v>Europe→Germany→Frankfurt</v>
      </c>
      <c r="Q274" s="2" t="s">
        <v>702</v>
      </c>
      <c r="R274" s="2" t="s">
        <v>711</v>
      </c>
      <c r="S274" s="2" t="s">
        <v>722</v>
      </c>
      <c r="T274" s="2" t="s">
        <v>732</v>
      </c>
      <c r="U274" t="e">
        <f>(AE274/#REF!)*100</f>
        <v>#REF!</v>
      </c>
      <c r="V274" s="2" t="s">
        <v>1006</v>
      </c>
      <c r="W274" s="7">
        <v>1025.51</v>
      </c>
      <c r="X274" s="7">
        <v>1436.54</v>
      </c>
      <c r="Y274" s="7">
        <f t="shared" si="54"/>
        <v>1436.54</v>
      </c>
      <c r="Z274" s="7" t="str">
        <f t="shared" si="55"/>
        <v>Medium</v>
      </c>
      <c r="AA274" s="13">
        <v>0.13900000000000001</v>
      </c>
      <c r="AB274" s="13">
        <f t="shared" si="56"/>
        <v>0.13900000000000001</v>
      </c>
      <c r="AC274" s="13" t="str">
        <f t="shared" si="57"/>
        <v>OK</v>
      </c>
      <c r="AD274" s="7">
        <v>28</v>
      </c>
      <c r="AE274" s="7">
        <f>Y274*AD274*(1-AB274)</f>
        <v>34632.106319999999</v>
      </c>
      <c r="AF274" s="7">
        <f>W274*AD274</f>
        <v>28714.28</v>
      </c>
      <c r="AG274" s="7">
        <f t="shared" si="58"/>
        <v>5917.8263200000001</v>
      </c>
      <c r="AH274" s="13">
        <f t="shared" si="59"/>
        <v>0.17087688127656453</v>
      </c>
    </row>
    <row r="275" spans="1:34" x14ac:dyDescent="0.35">
      <c r="A275" s="2" t="s">
        <v>287</v>
      </c>
      <c r="B275" s="5">
        <v>45131</v>
      </c>
      <c r="C275" s="5">
        <f>IF(H275&lt;B275,H275,B275)</f>
        <v>45131</v>
      </c>
      <c r="D275" s="5" t="str">
        <f t="shared" si="48"/>
        <v>Jul-2023</v>
      </c>
      <c r="E275" s="5" t="str">
        <f t="shared" si="49"/>
        <v>Jul</v>
      </c>
      <c r="F275" s="5" t="str">
        <f t="shared" si="50"/>
        <v>2023</v>
      </c>
      <c r="G275" s="5" t="str">
        <f t="shared" si="51"/>
        <v>Q3-2023</v>
      </c>
      <c r="H275" s="5">
        <v>45151</v>
      </c>
      <c r="I275" s="5">
        <f>IF(H275&lt;B275, B275+7, H275)</f>
        <v>45151</v>
      </c>
      <c r="J275" s="5" t="str">
        <f>IF(H275&lt;B275, "Invalid","Okay")</f>
        <v>Okay</v>
      </c>
      <c r="K275" s="16">
        <f>I275-C275</f>
        <v>20</v>
      </c>
      <c r="L275" s="16" t="str">
        <f t="shared" si="52"/>
        <v>Target Not Met</v>
      </c>
      <c r="M275" s="2" t="s">
        <v>648</v>
      </c>
      <c r="N275" s="2" t="s">
        <v>653</v>
      </c>
      <c r="O275" s="2" t="s">
        <v>681</v>
      </c>
      <c r="P275" s="29" t="str">
        <f t="shared" si="53"/>
        <v>Americas→Canada→Montreal</v>
      </c>
      <c r="Q275" s="2" t="s">
        <v>702</v>
      </c>
      <c r="R275" s="2" t="s">
        <v>711</v>
      </c>
      <c r="S275" s="2" t="s">
        <v>712</v>
      </c>
      <c r="T275" s="2" t="s">
        <v>732</v>
      </c>
      <c r="U275" t="e">
        <f>(AE275/#REF!)*100</f>
        <v>#REF!</v>
      </c>
      <c r="V275" s="2" t="s">
        <v>1007</v>
      </c>
      <c r="W275" s="7">
        <v>1082.3800000000001</v>
      </c>
      <c r="X275" s="7">
        <v>1766.55</v>
      </c>
      <c r="Y275" s="7">
        <f t="shared" si="54"/>
        <v>1766.55</v>
      </c>
      <c r="Z275" s="7" t="str">
        <f t="shared" si="55"/>
        <v>Medium</v>
      </c>
      <c r="AA275" s="13">
        <v>0.16400000000000001</v>
      </c>
      <c r="AB275" s="13">
        <f t="shared" si="56"/>
        <v>0.16400000000000001</v>
      </c>
      <c r="AC275" s="13" t="str">
        <f t="shared" si="57"/>
        <v>OK</v>
      </c>
      <c r="AD275" s="7">
        <v>20</v>
      </c>
      <c r="AE275" s="7">
        <f>Y275*AD275*(1-AB275)</f>
        <v>29536.716</v>
      </c>
      <c r="AF275" s="7">
        <f>W275*AD275</f>
        <v>21647.600000000002</v>
      </c>
      <c r="AG275" s="7">
        <f t="shared" si="58"/>
        <v>7889.1159999999982</v>
      </c>
      <c r="AH275" s="13">
        <f t="shared" si="59"/>
        <v>0.26709523157550752</v>
      </c>
    </row>
    <row r="276" spans="1:34" x14ac:dyDescent="0.35">
      <c r="A276" s="2" t="s">
        <v>288</v>
      </c>
      <c r="B276" s="5">
        <v>45367</v>
      </c>
      <c r="C276" s="5">
        <f>IF(H276&lt;B276,H276,B276)</f>
        <v>45367</v>
      </c>
      <c r="D276" s="5" t="str">
        <f t="shared" si="48"/>
        <v>Mar-2024</v>
      </c>
      <c r="E276" s="5" t="str">
        <f t="shared" si="49"/>
        <v>Mar</v>
      </c>
      <c r="F276" s="5" t="str">
        <f t="shared" si="50"/>
        <v>2024</v>
      </c>
      <c r="G276" s="5" t="str">
        <f t="shared" si="51"/>
        <v>Q1-2024</v>
      </c>
      <c r="H276" s="5">
        <v>45395</v>
      </c>
      <c r="I276" s="5">
        <f>IF(H276&lt;B276, B276+7, H276)</f>
        <v>45395</v>
      </c>
      <c r="J276" s="5" t="str">
        <f>IF(H276&lt;B276, "Invalid","Okay")</f>
        <v>Okay</v>
      </c>
      <c r="K276" s="16">
        <f>I276-C276</f>
        <v>28</v>
      </c>
      <c r="L276" s="16" t="str">
        <f t="shared" si="52"/>
        <v>Target Not Met</v>
      </c>
      <c r="M276" s="2" t="s">
        <v>649</v>
      </c>
      <c r="N276" s="2" t="s">
        <v>657</v>
      </c>
      <c r="O276" s="2" t="s">
        <v>690</v>
      </c>
      <c r="P276" s="29" t="str">
        <f t="shared" si="53"/>
        <v>Europe→France→Paris</v>
      </c>
      <c r="Q276" s="2" t="s">
        <v>705</v>
      </c>
      <c r="R276" s="2" t="s">
        <v>708</v>
      </c>
      <c r="S276" s="2" t="s">
        <v>723</v>
      </c>
      <c r="T276" s="2" t="s">
        <v>728</v>
      </c>
      <c r="U276" t="e">
        <f>(AE276/#REF!)*100</f>
        <v>#REF!</v>
      </c>
      <c r="V276" s="2" t="s">
        <v>1008</v>
      </c>
      <c r="W276" s="7">
        <v>287.61</v>
      </c>
      <c r="X276" s="7">
        <v>628.54</v>
      </c>
      <c r="Y276" s="7">
        <f t="shared" si="54"/>
        <v>628.54</v>
      </c>
      <c r="Z276" s="7" t="str">
        <f t="shared" si="55"/>
        <v>Low</v>
      </c>
      <c r="AA276" s="13">
        <v>0.13500000000000001</v>
      </c>
      <c r="AB276" s="13">
        <f t="shared" si="56"/>
        <v>0.13500000000000001</v>
      </c>
      <c r="AC276" s="13" t="str">
        <f t="shared" si="57"/>
        <v>OK</v>
      </c>
      <c r="AD276" s="7">
        <v>21</v>
      </c>
      <c r="AE276" s="7">
        <f>Y276*AD276*(1-AB276)</f>
        <v>11417.429099999999</v>
      </c>
      <c r="AF276" s="7">
        <f>W276*AD276</f>
        <v>6039.81</v>
      </c>
      <c r="AG276" s="7">
        <f t="shared" si="58"/>
        <v>5377.619099999999</v>
      </c>
      <c r="AH276" s="13">
        <f t="shared" si="59"/>
        <v>0.47100087531964613</v>
      </c>
    </row>
    <row r="277" spans="1:34" x14ac:dyDescent="0.35">
      <c r="A277" s="2" t="s">
        <v>289</v>
      </c>
      <c r="B277" s="5">
        <v>45316</v>
      </c>
      <c r="C277" s="5">
        <f>IF(H277&lt;B277,H277,B277)</f>
        <v>45316</v>
      </c>
      <c r="D277" s="5" t="str">
        <f t="shared" si="48"/>
        <v>Jan-2024</v>
      </c>
      <c r="E277" s="5" t="str">
        <f t="shared" si="49"/>
        <v>Jan</v>
      </c>
      <c r="F277" s="5" t="str">
        <f t="shared" si="50"/>
        <v>2024</v>
      </c>
      <c r="G277" s="5" t="str">
        <f t="shared" si="51"/>
        <v>Q1-2024</v>
      </c>
      <c r="H277" s="5">
        <v>45318</v>
      </c>
      <c r="I277" s="5">
        <f>IF(H277&lt;B277, B277+7, H277)</f>
        <v>45318</v>
      </c>
      <c r="J277" s="5" t="str">
        <f>IF(H277&lt;B277, "Invalid","Okay")</f>
        <v>Okay</v>
      </c>
      <c r="K277" s="16">
        <f>I277-C277</f>
        <v>2</v>
      </c>
      <c r="L277" s="16" t="str">
        <f t="shared" si="52"/>
        <v>Target Met</v>
      </c>
      <c r="M277" s="2" t="s">
        <v>648</v>
      </c>
      <c r="N277" s="2" t="s">
        <v>655</v>
      </c>
      <c r="O277" s="2" t="s">
        <v>670</v>
      </c>
      <c r="P277" s="29" t="str">
        <f t="shared" si="53"/>
        <v>Americas→Brazil→São Paulo</v>
      </c>
      <c r="Q277" s="2" t="s">
        <v>703</v>
      </c>
      <c r="R277" s="2" t="s">
        <v>709</v>
      </c>
      <c r="S277" s="2" t="s">
        <v>725</v>
      </c>
      <c r="T277" s="2" t="s">
        <v>731</v>
      </c>
      <c r="U277" t="e">
        <f>(AE277/#REF!)*100</f>
        <v>#REF!</v>
      </c>
      <c r="V277" s="2" t="s">
        <v>1009</v>
      </c>
      <c r="W277" s="7">
        <v>1410.97</v>
      </c>
      <c r="X277" s="7">
        <v>1650.75</v>
      </c>
      <c r="Y277" s="7">
        <f t="shared" si="54"/>
        <v>1650.75</v>
      </c>
      <c r="Z277" s="7" t="str">
        <f t="shared" si="55"/>
        <v>Medium</v>
      </c>
      <c r="AA277" s="13">
        <v>0.13500000000000001</v>
      </c>
      <c r="AB277" s="13">
        <f t="shared" si="56"/>
        <v>0.13500000000000001</v>
      </c>
      <c r="AC277" s="13" t="str">
        <f t="shared" si="57"/>
        <v>OK</v>
      </c>
      <c r="AD277" s="7">
        <v>6</v>
      </c>
      <c r="AE277" s="7">
        <f>Y277*AD277*(1-AB277)</f>
        <v>8567.3924999999999</v>
      </c>
      <c r="AF277" s="7">
        <f>W277*AD277</f>
        <v>8465.82</v>
      </c>
      <c r="AG277" s="7">
        <f t="shared" si="58"/>
        <v>101.57250000000022</v>
      </c>
      <c r="AH277" s="13">
        <f t="shared" si="59"/>
        <v>1.1855707556295596E-2</v>
      </c>
    </row>
    <row r="278" spans="1:34" x14ac:dyDescent="0.35">
      <c r="A278" s="2" t="s">
        <v>290</v>
      </c>
      <c r="B278" s="5">
        <v>45378</v>
      </c>
      <c r="C278" s="5">
        <f>IF(H278&lt;B278,H278,B278)</f>
        <v>45378</v>
      </c>
      <c r="D278" s="5" t="str">
        <f t="shared" si="48"/>
        <v>Mar-2024</v>
      </c>
      <c r="E278" s="5" t="str">
        <f t="shared" si="49"/>
        <v>Mar</v>
      </c>
      <c r="F278" s="5" t="str">
        <f t="shared" si="50"/>
        <v>2024</v>
      </c>
      <c r="G278" s="5" t="str">
        <f t="shared" si="51"/>
        <v>Q1-2024</v>
      </c>
      <c r="H278" s="5">
        <v>45393</v>
      </c>
      <c r="I278" s="5">
        <f>IF(H278&lt;B278, B278+7, H278)</f>
        <v>45393</v>
      </c>
      <c r="J278" s="5" t="str">
        <f>IF(H278&lt;B278, "Invalid","Okay")</f>
        <v>Okay</v>
      </c>
      <c r="K278" s="16">
        <f>I278-C278</f>
        <v>15</v>
      </c>
      <c r="L278" s="16" t="str">
        <f t="shared" si="52"/>
        <v>Target Not Met</v>
      </c>
      <c r="M278" s="2" t="s">
        <v>648</v>
      </c>
      <c r="N278" s="2" t="s">
        <v>660</v>
      </c>
      <c r="O278" s="2" t="s">
        <v>686</v>
      </c>
      <c r="P278" s="29" t="str">
        <f t="shared" si="53"/>
        <v>Americas→USA→San Francisco</v>
      </c>
      <c r="Q278" s="2" t="s">
        <v>705</v>
      </c>
      <c r="R278" s="2" t="s">
        <v>711</v>
      </c>
      <c r="S278" s="2" t="s">
        <v>719</v>
      </c>
      <c r="T278" s="2" t="s">
        <v>729</v>
      </c>
      <c r="U278" t="e">
        <f>(AE278/#REF!)*100</f>
        <v>#REF!</v>
      </c>
      <c r="V278" s="2" t="s">
        <v>1010</v>
      </c>
      <c r="W278" s="7">
        <v>1338.35</v>
      </c>
      <c r="X278" s="7">
        <v>2247.14</v>
      </c>
      <c r="Y278" s="7">
        <f t="shared" si="54"/>
        <v>2247.14</v>
      </c>
      <c r="Z278" s="7" t="str">
        <f t="shared" si="55"/>
        <v>High</v>
      </c>
      <c r="AA278" s="13">
        <v>0.115</v>
      </c>
      <c r="AB278" s="13">
        <f t="shared" si="56"/>
        <v>0.115</v>
      </c>
      <c r="AC278" s="13" t="str">
        <f t="shared" si="57"/>
        <v>OK</v>
      </c>
      <c r="AD278" s="7">
        <v>40</v>
      </c>
      <c r="AE278" s="7">
        <f>Y278*AD278*(1-AB278)</f>
        <v>79548.755999999994</v>
      </c>
      <c r="AF278" s="7">
        <f>W278*AD278</f>
        <v>53534</v>
      </c>
      <c r="AG278" s="7">
        <f t="shared" si="58"/>
        <v>26014.755999999994</v>
      </c>
      <c r="AH278" s="13">
        <f t="shared" si="59"/>
        <v>0.32702907384246205</v>
      </c>
    </row>
    <row r="279" spans="1:34" x14ac:dyDescent="0.35">
      <c r="A279" s="2" t="s">
        <v>291</v>
      </c>
      <c r="B279" s="5">
        <v>45832</v>
      </c>
      <c r="C279" s="5">
        <f>IF(H279&lt;B279,H279,B279)</f>
        <v>45832</v>
      </c>
      <c r="D279" s="5" t="str">
        <f t="shared" si="48"/>
        <v>Jun-2025</v>
      </c>
      <c r="E279" s="5" t="str">
        <f t="shared" si="49"/>
        <v>Jun</v>
      </c>
      <c r="F279" s="5" t="str">
        <f t="shared" si="50"/>
        <v>2025</v>
      </c>
      <c r="G279" s="5" t="str">
        <f t="shared" si="51"/>
        <v>Q2-2025</v>
      </c>
      <c r="H279" s="5">
        <v>45852</v>
      </c>
      <c r="I279" s="5">
        <f>IF(H279&lt;B279, B279+7, H279)</f>
        <v>45852</v>
      </c>
      <c r="J279" s="5" t="str">
        <f>IF(H279&lt;B279, "Invalid","Okay")</f>
        <v>Okay</v>
      </c>
      <c r="K279" s="16">
        <f>I279-C279</f>
        <v>20</v>
      </c>
      <c r="L279" s="16" t="str">
        <f t="shared" si="52"/>
        <v>Target Not Met</v>
      </c>
      <c r="M279" s="2" t="s">
        <v>649</v>
      </c>
      <c r="N279" s="2" t="s">
        <v>656</v>
      </c>
      <c r="O279" s="2" t="s">
        <v>671</v>
      </c>
      <c r="P279" s="29" t="str">
        <f t="shared" si="53"/>
        <v>Europe→Germany→Berlin</v>
      </c>
      <c r="Q279" s="2" t="s">
        <v>701</v>
      </c>
      <c r="R279" s="2" t="s">
        <v>711</v>
      </c>
      <c r="S279" s="2" t="s">
        <v>719</v>
      </c>
      <c r="T279" s="2" t="s">
        <v>733</v>
      </c>
      <c r="U279" t="e">
        <f>(AE279/#REF!)*100</f>
        <v>#REF!</v>
      </c>
      <c r="V279" s="2" t="s">
        <v>1011</v>
      </c>
      <c r="W279" s="7">
        <v>385.08</v>
      </c>
      <c r="X279" s="7">
        <v>893.19</v>
      </c>
      <c r="Y279" s="7">
        <f t="shared" si="54"/>
        <v>893.19</v>
      </c>
      <c r="Z279" s="7" t="str">
        <f t="shared" si="55"/>
        <v>Low</v>
      </c>
      <c r="AA279" s="13">
        <v>0.151</v>
      </c>
      <c r="AB279" s="13">
        <f t="shared" si="56"/>
        <v>0.151</v>
      </c>
      <c r="AC279" s="13" t="str">
        <f t="shared" si="57"/>
        <v>OK</v>
      </c>
      <c r="AD279" s="7">
        <v>8</v>
      </c>
      <c r="AE279" s="7">
        <f>Y279*AD279*(1-AB279)</f>
        <v>6066.54648</v>
      </c>
      <c r="AF279" s="7">
        <f>W279*AD279</f>
        <v>3080.64</v>
      </c>
      <c r="AG279" s="7">
        <f t="shared" si="58"/>
        <v>2985.9064800000001</v>
      </c>
      <c r="AH279" s="13">
        <f t="shared" si="59"/>
        <v>0.49219213762621666</v>
      </c>
    </row>
    <row r="280" spans="1:34" x14ac:dyDescent="0.35">
      <c r="A280" s="2" t="s">
        <v>292</v>
      </c>
      <c r="B280" s="5">
        <v>45459</v>
      </c>
      <c r="C280" s="5">
        <f>IF(H280&lt;B280,H280,B280)</f>
        <v>45459</v>
      </c>
      <c r="D280" s="5" t="str">
        <f t="shared" si="48"/>
        <v>Jun-2024</v>
      </c>
      <c r="E280" s="5" t="str">
        <f t="shared" si="49"/>
        <v>Jun</v>
      </c>
      <c r="F280" s="5" t="str">
        <f t="shared" si="50"/>
        <v>2024</v>
      </c>
      <c r="G280" s="5" t="str">
        <f t="shared" si="51"/>
        <v>Q2-2024</v>
      </c>
      <c r="H280" s="5">
        <v>45476</v>
      </c>
      <c r="I280" s="5">
        <f>IF(H280&lt;B280, B280+7, H280)</f>
        <v>45476</v>
      </c>
      <c r="J280" s="5" t="str">
        <f>IF(H280&lt;B280, "Invalid","Okay")</f>
        <v>Okay</v>
      </c>
      <c r="K280" s="16">
        <f>I280-C280</f>
        <v>17</v>
      </c>
      <c r="L280" s="16" t="str">
        <f t="shared" si="52"/>
        <v>Target Not Met</v>
      </c>
      <c r="M280" s="2" t="s">
        <v>646</v>
      </c>
      <c r="N280" s="2" t="s">
        <v>661</v>
      </c>
      <c r="O280" s="2" t="s">
        <v>682</v>
      </c>
      <c r="P280" s="29" t="str">
        <f t="shared" si="53"/>
        <v>Africa→South Africa→Johannesburg</v>
      </c>
      <c r="Q280" s="2" t="s">
        <v>706</v>
      </c>
      <c r="R280" s="2" t="s">
        <v>709</v>
      </c>
      <c r="S280" s="2" t="s">
        <v>721</v>
      </c>
      <c r="T280" s="2" t="s">
        <v>730</v>
      </c>
      <c r="U280" t="e">
        <f>(AE280/#REF!)*100</f>
        <v>#REF!</v>
      </c>
      <c r="V280" s="2" t="s">
        <v>1012</v>
      </c>
      <c r="W280" s="7">
        <v>1173.83</v>
      </c>
      <c r="X280" s="7">
        <v>2328.9</v>
      </c>
      <c r="Y280" s="7">
        <f t="shared" si="54"/>
        <v>2328.9</v>
      </c>
      <c r="Z280" s="7" t="str">
        <f t="shared" si="55"/>
        <v>High</v>
      </c>
      <c r="AA280" s="13">
        <v>0.12</v>
      </c>
      <c r="AB280" s="13">
        <f t="shared" si="56"/>
        <v>0.12</v>
      </c>
      <c r="AC280" s="13" t="str">
        <f t="shared" si="57"/>
        <v>OK</v>
      </c>
      <c r="AD280" s="7">
        <v>17</v>
      </c>
      <c r="AE280" s="7">
        <f>Y280*AD280*(1-AB280)</f>
        <v>34840.344000000005</v>
      </c>
      <c r="AF280" s="7">
        <f>W280*AD280</f>
        <v>19955.11</v>
      </c>
      <c r="AG280" s="7">
        <f t="shared" si="58"/>
        <v>14885.234000000004</v>
      </c>
      <c r="AH280" s="13">
        <f t="shared" si="59"/>
        <v>0.42724130393201637</v>
      </c>
    </row>
    <row r="281" spans="1:34" x14ac:dyDescent="0.35">
      <c r="A281" s="2" t="s">
        <v>293</v>
      </c>
      <c r="B281" s="5">
        <v>45229</v>
      </c>
      <c r="C281" s="5">
        <f>IF(H281&lt;B281,H281,B281)</f>
        <v>45229</v>
      </c>
      <c r="D281" s="5" t="str">
        <f t="shared" si="48"/>
        <v>Oct-2023</v>
      </c>
      <c r="E281" s="5" t="str">
        <f t="shared" si="49"/>
        <v>Oct</v>
      </c>
      <c r="F281" s="5" t="str">
        <f t="shared" si="50"/>
        <v>2023</v>
      </c>
      <c r="G281" s="5" t="str">
        <f t="shared" si="51"/>
        <v>Q4-2023</v>
      </c>
      <c r="H281" s="5">
        <v>45244</v>
      </c>
      <c r="I281" s="5">
        <f>IF(H281&lt;B281, B281+7, H281)</f>
        <v>45244</v>
      </c>
      <c r="J281" s="5" t="str">
        <f>IF(H281&lt;B281, "Invalid","Okay")</f>
        <v>Okay</v>
      </c>
      <c r="K281" s="16">
        <f>I281-C281</f>
        <v>15</v>
      </c>
      <c r="L281" s="16" t="str">
        <f t="shared" si="52"/>
        <v>Target Not Met</v>
      </c>
      <c r="M281" s="2" t="s">
        <v>647</v>
      </c>
      <c r="N281" s="2" t="s">
        <v>654</v>
      </c>
      <c r="O281" s="2" t="s">
        <v>668</v>
      </c>
      <c r="P281" s="29" t="str">
        <f t="shared" si="53"/>
        <v>Asia→India→Bengaluru</v>
      </c>
      <c r="Q281" s="2" t="s">
        <v>701</v>
      </c>
      <c r="R281" s="2" t="s">
        <v>708</v>
      </c>
      <c r="S281" s="2" t="s">
        <v>721</v>
      </c>
      <c r="T281" s="2" t="s">
        <v>731</v>
      </c>
      <c r="U281" t="e">
        <f>(AE281/#REF!)*100</f>
        <v>#REF!</v>
      </c>
      <c r="V281" s="2" t="s">
        <v>1013</v>
      </c>
      <c r="W281" s="7">
        <v>953.46</v>
      </c>
      <c r="X281" s="7">
        <v>2066.75</v>
      </c>
      <c r="Y281" s="7">
        <f t="shared" si="54"/>
        <v>2066.75</v>
      </c>
      <c r="Z281" s="7" t="str">
        <f t="shared" si="55"/>
        <v>High</v>
      </c>
      <c r="AA281" s="13">
        <v>0.13800000000000001</v>
      </c>
      <c r="AB281" s="13">
        <f t="shared" si="56"/>
        <v>0.13800000000000001</v>
      </c>
      <c r="AC281" s="13" t="str">
        <f t="shared" si="57"/>
        <v>OK</v>
      </c>
      <c r="AD281" s="7">
        <v>5</v>
      </c>
      <c r="AE281" s="7">
        <f>Y281*AD281*(1-AB281)</f>
        <v>8907.6924999999992</v>
      </c>
      <c r="AF281" s="7">
        <f>W281*AD281</f>
        <v>4767.3</v>
      </c>
      <c r="AG281" s="7">
        <f t="shared" si="58"/>
        <v>4140.392499999999</v>
      </c>
      <c r="AH281" s="13">
        <f t="shared" si="59"/>
        <v>0.46481089238318446</v>
      </c>
    </row>
    <row r="282" spans="1:34" x14ac:dyDescent="0.35">
      <c r="A282" s="2" t="s">
        <v>294</v>
      </c>
      <c r="B282" s="5">
        <v>45092</v>
      </c>
      <c r="C282" s="5">
        <f>IF(H282&lt;B282,H282,B282)</f>
        <v>45092</v>
      </c>
      <c r="D282" s="5" t="str">
        <f t="shared" si="48"/>
        <v>Jun-2023</v>
      </c>
      <c r="E282" s="5" t="str">
        <f t="shared" si="49"/>
        <v>Jun</v>
      </c>
      <c r="F282" s="5" t="str">
        <f t="shared" si="50"/>
        <v>2023</v>
      </c>
      <c r="G282" s="5" t="str">
        <f t="shared" si="51"/>
        <v>Q2-2023</v>
      </c>
      <c r="H282" s="5">
        <v>45100</v>
      </c>
      <c r="I282" s="5">
        <f>IF(H282&lt;B282, B282+7, H282)</f>
        <v>45100</v>
      </c>
      <c r="J282" s="5" t="str">
        <f>IF(H282&lt;B282, "Invalid","Okay")</f>
        <v>Okay</v>
      </c>
      <c r="K282" s="16">
        <f>I282-C282</f>
        <v>8</v>
      </c>
      <c r="L282" s="16" t="str">
        <f t="shared" si="52"/>
        <v>Target Not Met</v>
      </c>
      <c r="M282" s="2" t="s">
        <v>648</v>
      </c>
      <c r="N282" s="2" t="s">
        <v>660</v>
      </c>
      <c r="O282" s="2" t="s">
        <v>686</v>
      </c>
      <c r="P282" s="29" t="str">
        <f t="shared" si="53"/>
        <v>Americas→USA→San Francisco</v>
      </c>
      <c r="Q282" s="2" t="s">
        <v>704</v>
      </c>
      <c r="R282" s="2" t="s">
        <v>710</v>
      </c>
      <c r="S282" s="2" t="s">
        <v>719</v>
      </c>
      <c r="T282" s="2" t="s">
        <v>732</v>
      </c>
      <c r="U282" t="e">
        <f>(AE282/#REF!)*100</f>
        <v>#REF!</v>
      </c>
      <c r="V282" s="2" t="s">
        <v>1014</v>
      </c>
      <c r="W282" s="7">
        <v>1097.0899999999999</v>
      </c>
      <c r="X282" s="7">
        <v>2182.31</v>
      </c>
      <c r="Y282" s="7">
        <f t="shared" si="54"/>
        <v>2182.31</v>
      </c>
      <c r="Z282" s="7" t="str">
        <f t="shared" si="55"/>
        <v>High</v>
      </c>
      <c r="AA282" s="13">
        <v>0.112</v>
      </c>
      <c r="AB282" s="13">
        <f t="shared" si="56"/>
        <v>0.112</v>
      </c>
      <c r="AC282" s="13" t="str">
        <f t="shared" si="57"/>
        <v>OK</v>
      </c>
      <c r="AD282" s="7">
        <v>9</v>
      </c>
      <c r="AE282" s="7">
        <f>Y282*AD282*(1-AB282)</f>
        <v>17441.021520000002</v>
      </c>
      <c r="AF282" s="7">
        <f>W282*AD282</f>
        <v>9873.81</v>
      </c>
      <c r="AG282" s="7">
        <f t="shared" si="58"/>
        <v>7567.2115200000026</v>
      </c>
      <c r="AH282" s="13">
        <f t="shared" si="59"/>
        <v>0.43387432962699546</v>
      </c>
    </row>
    <row r="283" spans="1:34" x14ac:dyDescent="0.35">
      <c r="A283" s="2" t="s">
        <v>295</v>
      </c>
      <c r="B283" s="5">
        <v>45730</v>
      </c>
      <c r="C283" s="5">
        <f>IF(H283&lt;B283,H283,B283)</f>
        <v>45730</v>
      </c>
      <c r="D283" s="5" t="str">
        <f t="shared" si="48"/>
        <v>Mar-2025</v>
      </c>
      <c r="E283" s="5" t="str">
        <f t="shared" si="49"/>
        <v>Mar</v>
      </c>
      <c r="F283" s="5" t="str">
        <f t="shared" si="50"/>
        <v>2025</v>
      </c>
      <c r="G283" s="5" t="str">
        <f t="shared" si="51"/>
        <v>Q1-2025</v>
      </c>
      <c r="H283" s="5">
        <v>45745</v>
      </c>
      <c r="I283" s="5">
        <f>IF(H283&lt;B283, B283+7, H283)</f>
        <v>45745</v>
      </c>
      <c r="J283" s="5" t="str">
        <f>IF(H283&lt;B283, "Invalid","Okay")</f>
        <v>Okay</v>
      </c>
      <c r="K283" s="16">
        <f>I283-C283</f>
        <v>15</v>
      </c>
      <c r="L283" s="16" t="str">
        <f t="shared" si="52"/>
        <v>Target Not Met</v>
      </c>
      <c r="M283" s="2" t="s">
        <v>647</v>
      </c>
      <c r="N283" s="2" t="s">
        <v>652</v>
      </c>
      <c r="O283" s="2" t="s">
        <v>689</v>
      </c>
      <c r="P283" s="29" t="str">
        <f t="shared" si="53"/>
        <v>Asia→Japan→Tokyo</v>
      </c>
      <c r="Q283" s="2" t="s">
        <v>703</v>
      </c>
      <c r="R283" s="2" t="s">
        <v>711</v>
      </c>
      <c r="S283" s="2" t="s">
        <v>722</v>
      </c>
      <c r="T283" s="2" t="s">
        <v>729</v>
      </c>
      <c r="U283" t="e">
        <f>(AE283/#REF!)*100</f>
        <v>#REF!</v>
      </c>
      <c r="V283" s="2" t="s">
        <v>1015</v>
      </c>
      <c r="W283" s="7">
        <v>1106.96</v>
      </c>
      <c r="X283" s="7">
        <v>2726.62</v>
      </c>
      <c r="Y283" s="7">
        <f t="shared" si="54"/>
        <v>2726.62</v>
      </c>
      <c r="Z283" s="7" t="str">
        <f t="shared" si="55"/>
        <v>High</v>
      </c>
      <c r="AA283" s="13">
        <v>0.317</v>
      </c>
      <c r="AB283" s="13" t="str">
        <f t="shared" si="56"/>
        <v>12.14%</v>
      </c>
      <c r="AC283" s="13" t="str">
        <f t="shared" si="57"/>
        <v>High</v>
      </c>
      <c r="AD283" s="7">
        <v>7</v>
      </c>
      <c r="AE283" s="7">
        <f>Y283*AD283*(1-AB283)</f>
        <v>16769.258324000002</v>
      </c>
      <c r="AF283" s="7">
        <f>W283*AD283</f>
        <v>7748.72</v>
      </c>
      <c r="AG283" s="7">
        <f t="shared" si="58"/>
        <v>9020.538324000001</v>
      </c>
      <c r="AH283" s="13">
        <f t="shared" si="59"/>
        <v>0.53792112624861244</v>
      </c>
    </row>
    <row r="284" spans="1:34" x14ac:dyDescent="0.35">
      <c r="A284" s="2" t="s">
        <v>296</v>
      </c>
      <c r="B284" s="5">
        <v>45153</v>
      </c>
      <c r="C284" s="5">
        <f>IF(H284&lt;B284,H284,B284)</f>
        <v>45153</v>
      </c>
      <c r="D284" s="5" t="str">
        <f t="shared" si="48"/>
        <v>Aug-2023</v>
      </c>
      <c r="E284" s="5" t="str">
        <f t="shared" si="49"/>
        <v>Aug</v>
      </c>
      <c r="F284" s="5" t="str">
        <f t="shared" si="50"/>
        <v>2023</v>
      </c>
      <c r="G284" s="5" t="str">
        <f t="shared" si="51"/>
        <v>Q3-2023</v>
      </c>
      <c r="H284" s="5">
        <v>45163</v>
      </c>
      <c r="I284" s="5">
        <f>IF(H284&lt;B284, B284+7, H284)</f>
        <v>45163</v>
      </c>
      <c r="J284" s="5" t="str">
        <f>IF(H284&lt;B284, "Invalid","Okay")</f>
        <v>Okay</v>
      </c>
      <c r="K284" s="16">
        <f>I284-C284</f>
        <v>10</v>
      </c>
      <c r="L284" s="16" t="str">
        <f t="shared" si="52"/>
        <v>Target Not Met</v>
      </c>
      <c r="M284" s="2" t="s">
        <v>646</v>
      </c>
      <c r="N284" s="2" t="s">
        <v>650</v>
      </c>
      <c r="O284" s="2" t="s">
        <v>664</v>
      </c>
      <c r="P284" s="29" t="str">
        <f t="shared" si="53"/>
        <v>Africa→Kenya→Nairobi</v>
      </c>
      <c r="Q284" s="2" t="s">
        <v>705</v>
      </c>
      <c r="R284" s="2" t="s">
        <v>707</v>
      </c>
      <c r="S284" s="2" t="s">
        <v>725</v>
      </c>
      <c r="T284" s="2" t="s">
        <v>730</v>
      </c>
      <c r="U284" t="e">
        <f>(AE284/#REF!)*100</f>
        <v>#REF!</v>
      </c>
      <c r="V284" s="2" t="s">
        <v>1016</v>
      </c>
      <c r="W284" s="7">
        <v>91.85</v>
      </c>
      <c r="X284" s="7">
        <v>111.29</v>
      </c>
      <c r="Y284" s="7">
        <f t="shared" si="54"/>
        <v>111.29</v>
      </c>
      <c r="Z284" s="7" t="str">
        <f t="shared" si="55"/>
        <v>Low</v>
      </c>
      <c r="AA284" s="13">
        <v>0</v>
      </c>
      <c r="AB284" s="13">
        <f t="shared" si="56"/>
        <v>0</v>
      </c>
      <c r="AC284" s="13" t="str">
        <f t="shared" si="57"/>
        <v>OK</v>
      </c>
      <c r="AD284" s="7">
        <v>6</v>
      </c>
      <c r="AE284" s="7">
        <f>Y284*AD284*(1-AB284)</f>
        <v>667.74</v>
      </c>
      <c r="AF284" s="7">
        <f>W284*AD284</f>
        <v>551.09999999999991</v>
      </c>
      <c r="AG284" s="7">
        <f t="shared" si="58"/>
        <v>116.6400000000001</v>
      </c>
      <c r="AH284" s="13">
        <f t="shared" si="59"/>
        <v>0.17467876718483258</v>
      </c>
    </row>
    <row r="285" spans="1:34" x14ac:dyDescent="0.35">
      <c r="A285" s="2" t="s">
        <v>297</v>
      </c>
      <c r="B285" s="5">
        <v>45794</v>
      </c>
      <c r="C285" s="5">
        <f>IF(H285&lt;B285,H285,B285)</f>
        <v>45794</v>
      </c>
      <c r="D285" s="5" t="str">
        <f t="shared" si="48"/>
        <v>May-2025</v>
      </c>
      <c r="E285" s="5" t="str">
        <f t="shared" si="49"/>
        <v>May</v>
      </c>
      <c r="F285" s="5" t="str">
        <f t="shared" si="50"/>
        <v>2025</v>
      </c>
      <c r="G285" s="5" t="str">
        <f t="shared" si="51"/>
        <v>Q2-2025</v>
      </c>
      <c r="H285" s="5">
        <v>45805</v>
      </c>
      <c r="I285" s="5">
        <f>IF(H285&lt;B285, B285+7, H285)</f>
        <v>45805</v>
      </c>
      <c r="J285" s="5" t="str">
        <f>IF(H285&lt;B285, "Invalid","Okay")</f>
        <v>Okay</v>
      </c>
      <c r="K285" s="16">
        <f>I285-C285</f>
        <v>11</v>
      </c>
      <c r="L285" s="16" t="str">
        <f t="shared" si="52"/>
        <v>Target Not Met</v>
      </c>
      <c r="M285" s="2" t="s">
        <v>647</v>
      </c>
      <c r="N285" s="2" t="s">
        <v>654</v>
      </c>
      <c r="O285" s="2" t="s">
        <v>668</v>
      </c>
      <c r="P285" s="29" t="str">
        <f t="shared" si="53"/>
        <v>Asia→India→Bengaluru</v>
      </c>
      <c r="Q285" s="2" t="s">
        <v>701</v>
      </c>
      <c r="R285" s="2" t="s">
        <v>710</v>
      </c>
      <c r="S285" s="2" t="s">
        <v>717</v>
      </c>
      <c r="T285" s="2" t="s">
        <v>731</v>
      </c>
      <c r="U285" t="e">
        <f>(AE285/#REF!)*100</f>
        <v>#REF!</v>
      </c>
      <c r="V285" s="2" t="s">
        <v>1017</v>
      </c>
      <c r="W285" s="7">
        <v>623.4</v>
      </c>
      <c r="X285" s="7">
        <v>1100.0899999999999</v>
      </c>
      <c r="Y285" s="7">
        <f t="shared" si="54"/>
        <v>1100.0899999999999</v>
      </c>
      <c r="Z285" s="7" t="str">
        <f t="shared" si="55"/>
        <v>Low</v>
      </c>
      <c r="AA285" s="13">
        <v>0.114</v>
      </c>
      <c r="AB285" s="13">
        <f t="shared" si="56"/>
        <v>0.114</v>
      </c>
      <c r="AC285" s="13" t="str">
        <f t="shared" si="57"/>
        <v>OK</v>
      </c>
      <c r="AD285" s="7">
        <v>12</v>
      </c>
      <c r="AE285" s="7">
        <f>Y285*AD285*(1-AB285)</f>
        <v>11696.156879999999</v>
      </c>
      <c r="AF285" s="7">
        <f>W285*AD285</f>
        <v>7480.7999999999993</v>
      </c>
      <c r="AG285" s="7">
        <f t="shared" si="58"/>
        <v>4215.3568799999994</v>
      </c>
      <c r="AH285" s="13">
        <f t="shared" si="59"/>
        <v>0.36040529579490388</v>
      </c>
    </row>
    <row r="286" spans="1:34" x14ac:dyDescent="0.35">
      <c r="A286" s="2" t="s">
        <v>298</v>
      </c>
      <c r="B286" s="5">
        <v>45304</v>
      </c>
      <c r="C286" s="5">
        <f>IF(H286&lt;B286,H286,B286)</f>
        <v>45304</v>
      </c>
      <c r="D286" s="5" t="str">
        <f t="shared" si="48"/>
        <v>Jan-2024</v>
      </c>
      <c r="E286" s="5" t="str">
        <f t="shared" si="49"/>
        <v>Jan</v>
      </c>
      <c r="F286" s="5" t="str">
        <f t="shared" si="50"/>
        <v>2024</v>
      </c>
      <c r="G286" s="5" t="str">
        <f t="shared" si="51"/>
        <v>Q1-2024</v>
      </c>
      <c r="H286" s="5">
        <v>45327</v>
      </c>
      <c r="I286" s="5">
        <f>IF(H286&lt;B286, B286+7, H286)</f>
        <v>45327</v>
      </c>
      <c r="J286" s="5" t="str">
        <f>IF(H286&lt;B286, "Invalid","Okay")</f>
        <v>Okay</v>
      </c>
      <c r="K286" s="16">
        <f>I286-C286</f>
        <v>23</v>
      </c>
      <c r="L286" s="16" t="str">
        <f t="shared" si="52"/>
        <v>Target Not Met</v>
      </c>
      <c r="M286" s="2" t="s">
        <v>649</v>
      </c>
      <c r="N286" s="2" t="s">
        <v>656</v>
      </c>
      <c r="O286" s="2" t="s">
        <v>698</v>
      </c>
      <c r="P286" s="29" t="str">
        <f t="shared" si="53"/>
        <v>Europe→Germany→Frankfurt</v>
      </c>
      <c r="Q286" s="2" t="s">
        <v>702</v>
      </c>
      <c r="R286" s="2" t="s">
        <v>711</v>
      </c>
      <c r="S286" s="2" t="s">
        <v>717</v>
      </c>
      <c r="T286" s="2" t="s">
        <v>731</v>
      </c>
      <c r="U286" t="e">
        <f>(AE286/#REF!)*100</f>
        <v>#REF!</v>
      </c>
      <c r="V286" s="2" t="s">
        <v>1018</v>
      </c>
      <c r="W286" s="7">
        <v>1017.93</v>
      </c>
      <c r="X286" s="7">
        <v>1529.14</v>
      </c>
      <c r="Y286" s="7">
        <f t="shared" si="54"/>
        <v>1529.14</v>
      </c>
      <c r="Z286" s="7" t="str">
        <f t="shared" si="55"/>
        <v>Medium</v>
      </c>
      <c r="AA286" s="13">
        <v>0.155</v>
      </c>
      <c r="AB286" s="13">
        <f t="shared" si="56"/>
        <v>0.155</v>
      </c>
      <c r="AC286" s="13" t="str">
        <f t="shared" si="57"/>
        <v>OK</v>
      </c>
      <c r="AD286" s="7">
        <v>12</v>
      </c>
      <c r="AE286" s="7">
        <f>Y286*AD286*(1-AB286)</f>
        <v>15505.479600000001</v>
      </c>
      <c r="AF286" s="7">
        <f>W286*AD286</f>
        <v>12215.16</v>
      </c>
      <c r="AG286" s="7">
        <f t="shared" si="58"/>
        <v>3290.3196000000007</v>
      </c>
      <c r="AH286" s="13">
        <f t="shared" si="59"/>
        <v>0.21220366508366503</v>
      </c>
    </row>
    <row r="287" spans="1:34" x14ac:dyDescent="0.35">
      <c r="A287" s="2" t="s">
        <v>299</v>
      </c>
      <c r="B287" s="5">
        <v>45101</v>
      </c>
      <c r="C287" s="5">
        <f>IF(H287&lt;B287,H287,B287)</f>
        <v>45101</v>
      </c>
      <c r="D287" s="5" t="str">
        <f t="shared" si="48"/>
        <v>Jun-2023</v>
      </c>
      <c r="E287" s="5" t="str">
        <f t="shared" si="49"/>
        <v>Jun</v>
      </c>
      <c r="F287" s="5" t="str">
        <f t="shared" si="50"/>
        <v>2023</v>
      </c>
      <c r="G287" s="5" t="str">
        <f t="shared" si="51"/>
        <v>Q2-2023</v>
      </c>
      <c r="H287" s="5">
        <v>45128</v>
      </c>
      <c r="I287" s="5">
        <f>IF(H287&lt;B287, B287+7, H287)</f>
        <v>45128</v>
      </c>
      <c r="J287" s="5" t="str">
        <f>IF(H287&lt;B287, "Invalid","Okay")</f>
        <v>Okay</v>
      </c>
      <c r="K287" s="16">
        <f>I287-C287</f>
        <v>27</v>
      </c>
      <c r="L287" s="16" t="str">
        <f t="shared" si="52"/>
        <v>Target Not Met</v>
      </c>
      <c r="M287" s="2" t="s">
        <v>647</v>
      </c>
      <c r="N287" s="2" t="s">
        <v>652</v>
      </c>
      <c r="O287" s="2" t="s">
        <v>694</v>
      </c>
      <c r="P287" s="29" t="str">
        <f t="shared" si="53"/>
        <v>Asia→Japan→Nagoya</v>
      </c>
      <c r="Q287" s="2" t="s">
        <v>704</v>
      </c>
      <c r="R287" s="2" t="s">
        <v>709</v>
      </c>
      <c r="S287" s="2" t="s">
        <v>713</v>
      </c>
      <c r="T287" s="2" t="s">
        <v>730</v>
      </c>
      <c r="U287" t="e">
        <f>(AE287/#REF!)*100</f>
        <v>#REF!</v>
      </c>
      <c r="V287" s="2" t="s">
        <v>1019</v>
      </c>
      <c r="W287" s="7">
        <v>554.76</v>
      </c>
      <c r="X287" s="7">
        <v>728.69</v>
      </c>
      <c r="Y287" s="7">
        <f t="shared" si="54"/>
        <v>728.69</v>
      </c>
      <c r="Z287" s="7" t="str">
        <f t="shared" si="55"/>
        <v>Low</v>
      </c>
      <c r="AA287" s="13">
        <v>0.22</v>
      </c>
      <c r="AB287" s="13">
        <f t="shared" si="56"/>
        <v>0.22</v>
      </c>
      <c r="AC287" s="13" t="str">
        <f t="shared" si="57"/>
        <v>OK</v>
      </c>
      <c r="AD287" s="7">
        <v>7</v>
      </c>
      <c r="AE287" s="7">
        <f>Y287*AD287*(1-AB287)</f>
        <v>3978.6474000000003</v>
      </c>
      <c r="AF287" s="7">
        <f>W287*AD287</f>
        <v>3883.3199999999997</v>
      </c>
      <c r="AG287" s="7">
        <f t="shared" si="58"/>
        <v>95.32740000000058</v>
      </c>
      <c r="AH287" s="13">
        <f t="shared" si="59"/>
        <v>2.395975074343119E-2</v>
      </c>
    </row>
    <row r="288" spans="1:34" x14ac:dyDescent="0.35">
      <c r="A288" s="2" t="s">
        <v>300</v>
      </c>
      <c r="B288" s="5">
        <v>45751</v>
      </c>
      <c r="C288" s="5">
        <f>IF(H288&lt;B288,H288,B288)</f>
        <v>45751</v>
      </c>
      <c r="D288" s="5" t="str">
        <f t="shared" si="48"/>
        <v>Apr-2025</v>
      </c>
      <c r="E288" s="5" t="str">
        <f t="shared" si="49"/>
        <v>Apr</v>
      </c>
      <c r="F288" s="5" t="str">
        <f t="shared" si="50"/>
        <v>2025</v>
      </c>
      <c r="G288" s="5" t="str">
        <f t="shared" si="51"/>
        <v>Q2-2025</v>
      </c>
      <c r="H288" s="5">
        <v>45760</v>
      </c>
      <c r="I288" s="5">
        <f>IF(H288&lt;B288, B288+7, H288)</f>
        <v>45760</v>
      </c>
      <c r="J288" s="5" t="str">
        <f>IF(H288&lt;B288, "Invalid","Okay")</f>
        <v>Okay</v>
      </c>
      <c r="K288" s="16">
        <f>I288-C288</f>
        <v>9</v>
      </c>
      <c r="L288" s="16" t="str">
        <f t="shared" si="52"/>
        <v>Target Not Met</v>
      </c>
      <c r="M288" s="2" t="s">
        <v>649</v>
      </c>
      <c r="N288" s="2" t="s">
        <v>656</v>
      </c>
      <c r="O288" s="2" t="s">
        <v>684</v>
      </c>
      <c r="P288" s="29" t="str">
        <f t="shared" si="53"/>
        <v>Europe→Germany→Munich</v>
      </c>
      <c r="Q288" s="2" t="s">
        <v>704</v>
      </c>
      <c r="R288" s="2" t="s">
        <v>709</v>
      </c>
      <c r="S288" s="2" t="s">
        <v>721</v>
      </c>
      <c r="T288" s="2" t="s">
        <v>730</v>
      </c>
      <c r="U288" t="e">
        <f>(AE288/#REF!)*100</f>
        <v>#REF!</v>
      </c>
      <c r="V288" s="2" t="s">
        <v>1020</v>
      </c>
      <c r="W288" s="7">
        <v>7.02</v>
      </c>
      <c r="X288" s="7">
        <v>6.28</v>
      </c>
      <c r="Y288" s="7">
        <f t="shared" si="54"/>
        <v>6.28</v>
      </c>
      <c r="Z288" s="7" t="str">
        <f t="shared" si="55"/>
        <v>Low</v>
      </c>
      <c r="AA288" s="13">
        <v>0.13400000000000001</v>
      </c>
      <c r="AB288" s="13">
        <f t="shared" si="56"/>
        <v>0.13400000000000001</v>
      </c>
      <c r="AC288" s="13" t="str">
        <f t="shared" si="57"/>
        <v>OK</v>
      </c>
      <c r="AD288" s="7">
        <v>14</v>
      </c>
      <c r="AE288" s="7">
        <f>Y288*AD288*(1-AB288)</f>
        <v>76.138720000000006</v>
      </c>
      <c r="AF288" s="7">
        <f>W288*AD288</f>
        <v>98.28</v>
      </c>
      <c r="AG288" s="7">
        <f t="shared" si="58"/>
        <v>-22.141279999999995</v>
      </c>
      <c r="AH288" s="13">
        <f t="shared" si="59"/>
        <v>-0.29080184169106066</v>
      </c>
    </row>
    <row r="289" spans="1:34" x14ac:dyDescent="0.35">
      <c r="A289" s="2" t="s">
        <v>301</v>
      </c>
      <c r="B289" s="5">
        <v>45542</v>
      </c>
      <c r="C289" s="5">
        <f>IF(H289&lt;B289,H289,B289)</f>
        <v>45542</v>
      </c>
      <c r="D289" s="5" t="str">
        <f t="shared" si="48"/>
        <v>Sep-2024</v>
      </c>
      <c r="E289" s="5" t="str">
        <f t="shared" si="49"/>
        <v>Sep</v>
      </c>
      <c r="F289" s="5" t="str">
        <f t="shared" si="50"/>
        <v>2024</v>
      </c>
      <c r="G289" s="5" t="str">
        <f t="shared" si="51"/>
        <v>Q3-2024</v>
      </c>
      <c r="H289" s="5">
        <v>45542</v>
      </c>
      <c r="I289" s="5">
        <f>IF(H289&lt;B289, B289+7, H289)</f>
        <v>45542</v>
      </c>
      <c r="J289" s="5" t="str">
        <f>IF(H289&lt;B289, "Invalid","Okay")</f>
        <v>Okay</v>
      </c>
      <c r="K289" s="16">
        <f>I289-C289</f>
        <v>0</v>
      </c>
      <c r="L289" s="16" t="str">
        <f t="shared" si="52"/>
        <v>Target Met</v>
      </c>
      <c r="M289" s="2" t="s">
        <v>647</v>
      </c>
      <c r="N289" s="2" t="s">
        <v>654</v>
      </c>
      <c r="O289" s="2" t="s">
        <v>691</v>
      </c>
      <c r="P289" s="29" t="str">
        <f t="shared" si="53"/>
        <v>Asia→India→Mumbai</v>
      </c>
      <c r="Q289" s="2" t="s">
        <v>702</v>
      </c>
      <c r="R289" s="2" t="s">
        <v>710</v>
      </c>
      <c r="S289" s="2" t="s">
        <v>717</v>
      </c>
      <c r="T289" s="2" t="s">
        <v>729</v>
      </c>
      <c r="U289" t="e">
        <f>(AE289/#REF!)*100</f>
        <v>#REF!</v>
      </c>
      <c r="V289" s="2" t="s">
        <v>1021</v>
      </c>
      <c r="W289" s="7">
        <v>1066.6500000000001</v>
      </c>
      <c r="X289" s="7">
        <v>2569.77</v>
      </c>
      <c r="Y289" s="7">
        <f t="shared" si="54"/>
        <v>2569.77</v>
      </c>
      <c r="Z289" s="7" t="str">
        <f t="shared" si="55"/>
        <v>High</v>
      </c>
      <c r="AA289" s="13">
        <v>0.13400000000000001</v>
      </c>
      <c r="AB289" s="13">
        <f t="shared" si="56"/>
        <v>0.13400000000000001</v>
      </c>
      <c r="AC289" s="13" t="str">
        <f t="shared" si="57"/>
        <v>OK</v>
      </c>
      <c r="AD289" s="7">
        <v>9</v>
      </c>
      <c r="AE289" s="7">
        <f>Y289*AD289*(1-AB289)</f>
        <v>20028.787380000002</v>
      </c>
      <c r="AF289" s="7">
        <f>W289*AD289</f>
        <v>9599.85</v>
      </c>
      <c r="AG289" s="7">
        <f t="shared" si="58"/>
        <v>10428.937380000001</v>
      </c>
      <c r="AH289" s="13">
        <f t="shared" si="59"/>
        <v>0.52069739331368348</v>
      </c>
    </row>
    <row r="290" spans="1:34" x14ac:dyDescent="0.35">
      <c r="A290" s="2" t="s">
        <v>302</v>
      </c>
      <c r="B290" s="5">
        <v>45319</v>
      </c>
      <c r="C290" s="5">
        <f>IF(H290&lt;B290,H290,B290)</f>
        <v>45319</v>
      </c>
      <c r="D290" s="5" t="str">
        <f t="shared" si="48"/>
        <v>Jan-2024</v>
      </c>
      <c r="E290" s="5" t="str">
        <f t="shared" si="49"/>
        <v>Jan</v>
      </c>
      <c r="F290" s="5" t="str">
        <f t="shared" si="50"/>
        <v>2024</v>
      </c>
      <c r="G290" s="5" t="str">
        <f t="shared" si="51"/>
        <v>Q1-2024</v>
      </c>
      <c r="H290" s="5">
        <v>45321</v>
      </c>
      <c r="I290" s="5">
        <f>IF(H290&lt;B290, B290+7, H290)</f>
        <v>45321</v>
      </c>
      <c r="J290" s="5" t="str">
        <f>IF(H290&lt;B290, "Invalid","Okay")</f>
        <v>Okay</v>
      </c>
      <c r="K290" s="16">
        <f>I290-C290</f>
        <v>2</v>
      </c>
      <c r="L290" s="16" t="str">
        <f t="shared" si="52"/>
        <v>Target Met</v>
      </c>
      <c r="M290" s="2" t="s">
        <v>646</v>
      </c>
      <c r="N290" s="2" t="s">
        <v>661</v>
      </c>
      <c r="O290" s="2" t="s">
        <v>695</v>
      </c>
      <c r="P290" s="29" t="str">
        <f t="shared" si="53"/>
        <v>Africa→South Africa→Cape Town</v>
      </c>
      <c r="Q290" s="2" t="s">
        <v>704</v>
      </c>
      <c r="R290" s="2" t="s">
        <v>711</v>
      </c>
      <c r="S290" s="2" t="s">
        <v>721</v>
      </c>
      <c r="T290" s="2" t="s">
        <v>733</v>
      </c>
      <c r="U290" t="e">
        <f>(AE290/#REF!)*100</f>
        <v>#REF!</v>
      </c>
      <c r="V290" s="2" t="s">
        <v>1022</v>
      </c>
      <c r="W290" s="7">
        <v>798.45</v>
      </c>
      <c r="X290" s="7">
        <v>1592.02</v>
      </c>
      <c r="Y290" s="7">
        <f t="shared" si="54"/>
        <v>1592.02</v>
      </c>
      <c r="Z290" s="7" t="str">
        <f t="shared" si="55"/>
        <v>Medium</v>
      </c>
      <c r="AA290" s="13">
        <v>6.6000000000000003E-2</v>
      </c>
      <c r="AB290" s="13">
        <f t="shared" si="56"/>
        <v>6.6000000000000003E-2</v>
      </c>
      <c r="AC290" s="13" t="str">
        <f t="shared" si="57"/>
        <v>OK</v>
      </c>
      <c r="AD290" s="7">
        <v>18</v>
      </c>
      <c r="AE290" s="7">
        <f>Y290*AD290*(1-AB290)</f>
        <v>26765.040239999998</v>
      </c>
      <c r="AF290" s="7">
        <f>W290*AD290</f>
        <v>14372.1</v>
      </c>
      <c r="AG290" s="7">
        <f t="shared" si="58"/>
        <v>12392.940239999998</v>
      </c>
      <c r="AH290" s="13">
        <f t="shared" si="59"/>
        <v>0.46302714768494585</v>
      </c>
    </row>
    <row r="291" spans="1:34" x14ac:dyDescent="0.35">
      <c r="A291" s="2" t="s">
        <v>303</v>
      </c>
      <c r="B291" s="5">
        <v>45125</v>
      </c>
      <c r="C291" s="5">
        <f>IF(H291&lt;B291,H291,B291)</f>
        <v>45125</v>
      </c>
      <c r="D291" s="5" t="str">
        <f t="shared" si="48"/>
        <v>Jul-2023</v>
      </c>
      <c r="E291" s="5" t="str">
        <f t="shared" si="49"/>
        <v>Jul</v>
      </c>
      <c r="F291" s="5" t="str">
        <f t="shared" si="50"/>
        <v>2023</v>
      </c>
      <c r="G291" s="5" t="str">
        <f t="shared" si="51"/>
        <v>Q3-2023</v>
      </c>
      <c r="H291" s="5">
        <v>45148</v>
      </c>
      <c r="I291" s="5">
        <f>IF(H291&lt;B291, B291+7, H291)</f>
        <v>45148</v>
      </c>
      <c r="J291" s="5" t="str">
        <f>IF(H291&lt;B291, "Invalid","Okay")</f>
        <v>Okay</v>
      </c>
      <c r="K291" s="16">
        <f>I291-C291</f>
        <v>23</v>
      </c>
      <c r="L291" s="16" t="str">
        <f t="shared" si="52"/>
        <v>Target Not Met</v>
      </c>
      <c r="M291" s="2" t="s">
        <v>646</v>
      </c>
      <c r="N291" s="2" t="s">
        <v>661</v>
      </c>
      <c r="O291" s="2" t="s">
        <v>682</v>
      </c>
      <c r="P291" s="29" t="str">
        <f t="shared" si="53"/>
        <v>Africa→South Africa→Johannesburg</v>
      </c>
      <c r="Q291" s="2" t="s">
        <v>705</v>
      </c>
      <c r="R291" s="2" t="s">
        <v>707</v>
      </c>
      <c r="S291" s="2" t="s">
        <v>716</v>
      </c>
      <c r="T291" s="2" t="s">
        <v>727</v>
      </c>
      <c r="U291" t="e">
        <f>(AE291/#REF!)*100</f>
        <v>#REF!</v>
      </c>
      <c r="V291" s="2" t="s">
        <v>1023</v>
      </c>
      <c r="W291" s="7">
        <v>1271.56</v>
      </c>
      <c r="X291" s="7">
        <v>995.47</v>
      </c>
      <c r="Y291" s="7">
        <f t="shared" si="54"/>
        <v>995.47</v>
      </c>
      <c r="Z291" s="7" t="str">
        <f t="shared" si="55"/>
        <v>Low</v>
      </c>
      <c r="AA291" s="13">
        <v>0.192</v>
      </c>
      <c r="AB291" s="13">
        <f t="shared" si="56"/>
        <v>0.192</v>
      </c>
      <c r="AC291" s="13" t="str">
        <f t="shared" si="57"/>
        <v>OK</v>
      </c>
      <c r="AD291" s="7">
        <v>13</v>
      </c>
      <c r="AE291" s="7">
        <f>Y291*AD291*(1-AB291)</f>
        <v>10456.416880000001</v>
      </c>
      <c r="AF291" s="7">
        <f>W291*AD291</f>
        <v>16530.28</v>
      </c>
      <c r="AG291" s="7">
        <f t="shared" si="58"/>
        <v>-6073.8631199999982</v>
      </c>
      <c r="AH291" s="13">
        <f t="shared" si="59"/>
        <v>-0.58087423155607754</v>
      </c>
    </row>
    <row r="292" spans="1:34" x14ac:dyDescent="0.35">
      <c r="A292" s="2" t="s">
        <v>304</v>
      </c>
      <c r="B292" s="5">
        <v>45897</v>
      </c>
      <c r="C292" s="5">
        <f>IF(H292&lt;B292,H292,B292)</f>
        <v>45895</v>
      </c>
      <c r="D292" s="5" t="str">
        <f t="shared" si="48"/>
        <v>Aug-2025</v>
      </c>
      <c r="E292" s="5" t="str">
        <f t="shared" si="49"/>
        <v>Aug</v>
      </c>
      <c r="F292" s="5" t="str">
        <f t="shared" si="50"/>
        <v>2025</v>
      </c>
      <c r="G292" s="5" t="str">
        <f t="shared" si="51"/>
        <v>Q3-2025</v>
      </c>
      <c r="H292" s="5">
        <v>45895</v>
      </c>
      <c r="I292" s="5">
        <f>IF(H292&lt;B292, B292+7, H292)</f>
        <v>45904</v>
      </c>
      <c r="J292" s="5" t="str">
        <f>IF(H292&lt;B292, "Invalid","Okay")</f>
        <v>Invalid</v>
      </c>
      <c r="K292" s="16">
        <f>I292-C292</f>
        <v>9</v>
      </c>
      <c r="L292" s="16" t="str">
        <f t="shared" si="52"/>
        <v>Target Not Met</v>
      </c>
      <c r="M292" s="2" t="s">
        <v>646</v>
      </c>
      <c r="N292" s="2" t="s">
        <v>651</v>
      </c>
      <c r="O292" s="2" t="s">
        <v>663</v>
      </c>
      <c r="P292" s="29" t="str">
        <f t="shared" si="53"/>
        <v>Africa→Nigeria→Port Harcourt</v>
      </c>
      <c r="Q292" s="2" t="s">
        <v>705</v>
      </c>
      <c r="R292" s="2" t="s">
        <v>707</v>
      </c>
      <c r="S292" s="2" t="s">
        <v>720</v>
      </c>
      <c r="T292" s="2" t="s">
        <v>733</v>
      </c>
      <c r="U292" t="e">
        <f>(AE292/#REF!)*100</f>
        <v>#REF!</v>
      </c>
      <c r="V292" s="2" t="s">
        <v>1024</v>
      </c>
      <c r="W292" s="7">
        <v>521.05999999999995</v>
      </c>
      <c r="X292" s="7">
        <v>1240.31</v>
      </c>
      <c r="Y292" s="7">
        <f t="shared" si="54"/>
        <v>1240.31</v>
      </c>
      <c r="Z292" s="7" t="str">
        <f t="shared" si="55"/>
        <v>Medium</v>
      </c>
      <c r="AA292" s="13">
        <v>0.14599999999999999</v>
      </c>
      <c r="AB292" s="13">
        <f t="shared" si="56"/>
        <v>0.14599999999999999</v>
      </c>
      <c r="AC292" s="13" t="str">
        <f t="shared" si="57"/>
        <v>OK</v>
      </c>
      <c r="AD292" s="7">
        <v>18</v>
      </c>
      <c r="AE292" s="7">
        <f>Y292*AD292*(1-AB292)</f>
        <v>19066.045319999997</v>
      </c>
      <c r="AF292" s="7">
        <f>W292*AD292</f>
        <v>9379.0799999999981</v>
      </c>
      <c r="AG292" s="7">
        <f t="shared" si="58"/>
        <v>9686.9653199999993</v>
      </c>
      <c r="AH292" s="13">
        <f t="shared" si="59"/>
        <v>0.50807417885650974</v>
      </c>
    </row>
    <row r="293" spans="1:34" x14ac:dyDescent="0.35">
      <c r="A293" s="2" t="s">
        <v>305</v>
      </c>
      <c r="B293" s="5">
        <v>45746</v>
      </c>
      <c r="C293" s="5">
        <f>IF(H293&lt;B293,H293,B293)</f>
        <v>45746</v>
      </c>
      <c r="D293" s="5" t="str">
        <f t="shared" si="48"/>
        <v>Mar-2025</v>
      </c>
      <c r="E293" s="5" t="str">
        <f t="shared" si="49"/>
        <v>Mar</v>
      </c>
      <c r="F293" s="5" t="str">
        <f t="shared" si="50"/>
        <v>2025</v>
      </c>
      <c r="G293" s="5" t="str">
        <f t="shared" si="51"/>
        <v>Q1-2025</v>
      </c>
      <c r="H293" s="5">
        <v>45754</v>
      </c>
      <c r="I293" s="5">
        <f>IF(H293&lt;B293, B293+7, H293)</f>
        <v>45754</v>
      </c>
      <c r="J293" s="5" t="str">
        <f>IF(H293&lt;B293, "Invalid","Okay")</f>
        <v>Okay</v>
      </c>
      <c r="K293" s="16">
        <f>I293-C293</f>
        <v>8</v>
      </c>
      <c r="L293" s="16" t="str">
        <f t="shared" si="52"/>
        <v>Target Not Met</v>
      </c>
      <c r="M293" s="2" t="s">
        <v>648</v>
      </c>
      <c r="N293" s="2" t="s">
        <v>655</v>
      </c>
      <c r="O293" s="2" t="s">
        <v>670</v>
      </c>
      <c r="P293" s="29" t="str">
        <f t="shared" si="53"/>
        <v>Americas→Brazil→São Paulo</v>
      </c>
      <c r="Q293" s="2" t="s">
        <v>703</v>
      </c>
      <c r="R293" s="2" t="s">
        <v>711</v>
      </c>
      <c r="S293" s="2" t="s">
        <v>716</v>
      </c>
      <c r="T293" s="2" t="s">
        <v>728</v>
      </c>
      <c r="U293" t="e">
        <f>(AE293/#REF!)*100</f>
        <v>#REF!</v>
      </c>
      <c r="V293" s="2" t="s">
        <v>1025</v>
      </c>
      <c r="W293" s="7">
        <v>71.62</v>
      </c>
      <c r="X293" s="7">
        <v>118.37</v>
      </c>
      <c r="Y293" s="7">
        <f t="shared" si="54"/>
        <v>118.37</v>
      </c>
      <c r="Z293" s="7" t="str">
        <f t="shared" si="55"/>
        <v>Low</v>
      </c>
      <c r="AA293" s="13">
        <v>0.156</v>
      </c>
      <c r="AB293" s="13">
        <f t="shared" si="56"/>
        <v>0.156</v>
      </c>
      <c r="AC293" s="13" t="str">
        <f t="shared" si="57"/>
        <v>OK</v>
      </c>
      <c r="AD293" s="7">
        <v>11</v>
      </c>
      <c r="AE293" s="7">
        <f>Y293*AD293*(1-AB293)</f>
        <v>1098.9470800000001</v>
      </c>
      <c r="AF293" s="7">
        <f>W293*AD293</f>
        <v>787.82</v>
      </c>
      <c r="AG293" s="7">
        <f t="shared" si="58"/>
        <v>311.12708000000009</v>
      </c>
      <c r="AH293" s="13">
        <f t="shared" si="59"/>
        <v>0.28311379652603474</v>
      </c>
    </row>
    <row r="294" spans="1:34" x14ac:dyDescent="0.35">
      <c r="A294" s="2" t="s">
        <v>306</v>
      </c>
      <c r="B294" s="5">
        <v>45220</v>
      </c>
      <c r="C294" s="5">
        <f>IF(H294&lt;B294,H294,B294)</f>
        <v>45220</v>
      </c>
      <c r="D294" s="5" t="str">
        <f t="shared" si="48"/>
        <v>Oct-2023</v>
      </c>
      <c r="E294" s="5" t="str">
        <f t="shared" si="49"/>
        <v>Oct</v>
      </c>
      <c r="F294" s="5" t="str">
        <f t="shared" si="50"/>
        <v>2023</v>
      </c>
      <c r="G294" s="5" t="str">
        <f t="shared" si="51"/>
        <v>Q4-2023</v>
      </c>
      <c r="H294" s="5">
        <v>45239</v>
      </c>
      <c r="I294" s="5">
        <f>IF(H294&lt;B294, B294+7, H294)</f>
        <v>45239</v>
      </c>
      <c r="J294" s="5" t="str">
        <f>IF(H294&lt;B294, "Invalid","Okay")</f>
        <v>Okay</v>
      </c>
      <c r="K294" s="16">
        <f>I294-C294</f>
        <v>19</v>
      </c>
      <c r="L294" s="16" t="str">
        <f t="shared" si="52"/>
        <v>Target Not Met</v>
      </c>
      <c r="M294" s="2" t="s">
        <v>649</v>
      </c>
      <c r="N294" s="2" t="s">
        <v>658</v>
      </c>
      <c r="O294" s="2" t="s">
        <v>683</v>
      </c>
      <c r="P294" s="29" t="str">
        <f t="shared" si="53"/>
        <v>Europe→United Kingdom→London</v>
      </c>
      <c r="Q294" s="2" t="s">
        <v>703</v>
      </c>
      <c r="R294" s="2" t="s">
        <v>711</v>
      </c>
      <c r="S294" s="2" t="s">
        <v>720</v>
      </c>
      <c r="T294" s="2" t="s">
        <v>733</v>
      </c>
      <c r="U294" t="e">
        <f>(AE294/#REF!)*100</f>
        <v>#REF!</v>
      </c>
      <c r="V294" s="2" t="s">
        <v>1026</v>
      </c>
      <c r="W294" s="7">
        <v>1142.48</v>
      </c>
      <c r="X294" s="7">
        <v>2105.5300000000002</v>
      </c>
      <c r="Y294" s="7">
        <f t="shared" si="54"/>
        <v>2105.5300000000002</v>
      </c>
      <c r="Z294" s="7" t="str">
        <f t="shared" si="55"/>
        <v>High</v>
      </c>
      <c r="AA294" s="13">
        <v>0.20699999999999999</v>
      </c>
      <c r="AB294" s="13">
        <f t="shared" si="56"/>
        <v>0.20699999999999999</v>
      </c>
      <c r="AC294" s="13" t="str">
        <f t="shared" si="57"/>
        <v>OK</v>
      </c>
      <c r="AD294" s="7">
        <v>14</v>
      </c>
      <c r="AE294" s="7">
        <f>Y294*AD294*(1-AB294)</f>
        <v>23375.594060000003</v>
      </c>
      <c r="AF294" s="7">
        <f>W294*AD294</f>
        <v>15994.720000000001</v>
      </c>
      <c r="AG294" s="7">
        <f t="shared" si="58"/>
        <v>7380.8740600000019</v>
      </c>
      <c r="AH294" s="13">
        <f t="shared" si="59"/>
        <v>0.31575129346680658</v>
      </c>
    </row>
    <row r="295" spans="1:34" x14ac:dyDescent="0.35">
      <c r="A295" s="2" t="s">
        <v>307</v>
      </c>
      <c r="B295" s="5">
        <v>45161</v>
      </c>
      <c r="C295" s="5">
        <f>IF(H295&lt;B295,H295,B295)</f>
        <v>45161</v>
      </c>
      <c r="D295" s="5" t="str">
        <f t="shared" si="48"/>
        <v>Aug-2023</v>
      </c>
      <c r="E295" s="5" t="str">
        <f t="shared" si="49"/>
        <v>Aug</v>
      </c>
      <c r="F295" s="5" t="str">
        <f t="shared" si="50"/>
        <v>2023</v>
      </c>
      <c r="G295" s="5" t="str">
        <f t="shared" si="51"/>
        <v>Q3-2023</v>
      </c>
      <c r="H295" s="5">
        <v>45191</v>
      </c>
      <c r="I295" s="5">
        <f>IF(H295&lt;B295, B295+7, H295)</f>
        <v>45191</v>
      </c>
      <c r="J295" s="5" t="str">
        <f>IF(H295&lt;B295, "Invalid","Okay")</f>
        <v>Okay</v>
      </c>
      <c r="K295" s="16">
        <f>I295-C295</f>
        <v>30</v>
      </c>
      <c r="L295" s="16" t="str">
        <f t="shared" si="52"/>
        <v>Target Not Met</v>
      </c>
      <c r="M295" s="2" t="s">
        <v>649</v>
      </c>
      <c r="N295" s="2" t="s">
        <v>658</v>
      </c>
      <c r="O295" s="2" t="s">
        <v>683</v>
      </c>
      <c r="P295" s="29" t="str">
        <f t="shared" si="53"/>
        <v>Europe→United Kingdom→London</v>
      </c>
      <c r="Q295" s="2" t="s">
        <v>704</v>
      </c>
      <c r="R295" s="2" t="s">
        <v>710</v>
      </c>
      <c r="S295" s="2" t="s">
        <v>719</v>
      </c>
      <c r="T295" s="2" t="s">
        <v>733</v>
      </c>
      <c r="U295" t="e">
        <f>(AE295/#REF!)*100</f>
        <v>#REF!</v>
      </c>
      <c r="V295" s="2" t="s">
        <v>1027</v>
      </c>
      <c r="W295" s="7">
        <v>209.81</v>
      </c>
      <c r="X295" s="7">
        <v>523</v>
      </c>
      <c r="Y295" s="7">
        <f t="shared" si="54"/>
        <v>523</v>
      </c>
      <c r="Z295" s="7" t="str">
        <f t="shared" si="55"/>
        <v>Low</v>
      </c>
      <c r="AA295" s="13">
        <v>5.8999999999999997E-2</v>
      </c>
      <c r="AB295" s="13">
        <f t="shared" si="56"/>
        <v>5.8999999999999997E-2</v>
      </c>
      <c r="AC295" s="13" t="str">
        <f t="shared" si="57"/>
        <v>OK</v>
      </c>
      <c r="AD295" s="7">
        <v>15</v>
      </c>
      <c r="AE295" s="7">
        <f>Y295*AD295*(1-AB295)</f>
        <v>7382.1450000000004</v>
      </c>
      <c r="AF295" s="7">
        <f>W295*AD295</f>
        <v>3147.15</v>
      </c>
      <c r="AG295" s="7">
        <f t="shared" si="58"/>
        <v>4234.9950000000008</v>
      </c>
      <c r="AH295" s="13">
        <f t="shared" si="59"/>
        <v>0.57368082041195356</v>
      </c>
    </row>
    <row r="296" spans="1:34" x14ac:dyDescent="0.35">
      <c r="A296" s="2" t="s">
        <v>308</v>
      </c>
      <c r="B296" s="5">
        <v>45758</v>
      </c>
      <c r="C296" s="5">
        <f>IF(H296&lt;B296,H296,B296)</f>
        <v>45758</v>
      </c>
      <c r="D296" s="5" t="str">
        <f t="shared" si="48"/>
        <v>Apr-2025</v>
      </c>
      <c r="E296" s="5" t="str">
        <f t="shared" si="49"/>
        <v>Apr</v>
      </c>
      <c r="F296" s="5" t="str">
        <f t="shared" si="50"/>
        <v>2025</v>
      </c>
      <c r="G296" s="5" t="str">
        <f t="shared" si="51"/>
        <v>Q2-2025</v>
      </c>
      <c r="H296" s="5">
        <v>45781</v>
      </c>
      <c r="I296" s="5">
        <f>IF(H296&lt;B296, B296+7, H296)</f>
        <v>45781</v>
      </c>
      <c r="J296" s="5" t="str">
        <f>IF(H296&lt;B296, "Invalid","Okay")</f>
        <v>Okay</v>
      </c>
      <c r="K296" s="16">
        <f>I296-C296</f>
        <v>23</v>
      </c>
      <c r="L296" s="16" t="str">
        <f t="shared" si="52"/>
        <v>Target Not Met</v>
      </c>
      <c r="M296" s="2" t="s">
        <v>647</v>
      </c>
      <c r="N296" s="2" t="s">
        <v>652</v>
      </c>
      <c r="O296" s="2" t="s">
        <v>666</v>
      </c>
      <c r="P296" s="29" t="str">
        <f t="shared" si="53"/>
        <v>Asia→Japan→Osaka</v>
      </c>
      <c r="Q296" s="2" t="s">
        <v>705</v>
      </c>
      <c r="R296" s="2" t="s">
        <v>708</v>
      </c>
      <c r="S296" s="2" t="s">
        <v>724</v>
      </c>
      <c r="T296" s="2" t="s">
        <v>727</v>
      </c>
      <c r="U296" t="e">
        <f>(AE296/#REF!)*100</f>
        <v>#REF!</v>
      </c>
      <c r="V296" s="2" t="s">
        <v>1028</v>
      </c>
      <c r="W296" s="7">
        <v>786.2</v>
      </c>
      <c r="X296" s="7">
        <v>1075.3</v>
      </c>
      <c r="Y296" s="7">
        <f t="shared" si="54"/>
        <v>1075.3</v>
      </c>
      <c r="Z296" s="7" t="str">
        <f t="shared" si="55"/>
        <v>Low</v>
      </c>
      <c r="AA296" s="13">
        <v>0.08</v>
      </c>
      <c r="AB296" s="13">
        <f t="shared" si="56"/>
        <v>0.08</v>
      </c>
      <c r="AC296" s="13" t="str">
        <f t="shared" si="57"/>
        <v>OK</v>
      </c>
      <c r="AD296" s="7">
        <v>9</v>
      </c>
      <c r="AE296" s="7">
        <f>Y296*AD296*(1-AB296)</f>
        <v>8903.4839999999986</v>
      </c>
      <c r="AF296" s="7">
        <f>W296*AD296</f>
        <v>7075.8</v>
      </c>
      <c r="AG296" s="7">
        <f t="shared" si="58"/>
        <v>1827.6839999999984</v>
      </c>
      <c r="AH296" s="13">
        <f t="shared" si="59"/>
        <v>0.20527739478163815</v>
      </c>
    </row>
    <row r="297" spans="1:34" x14ac:dyDescent="0.35">
      <c r="A297" s="2" t="s">
        <v>309</v>
      </c>
      <c r="B297" s="5">
        <v>45809</v>
      </c>
      <c r="C297" s="5">
        <f>IF(H297&lt;B297,H297,B297)</f>
        <v>45809</v>
      </c>
      <c r="D297" s="5" t="str">
        <f t="shared" si="48"/>
        <v>Jun-2025</v>
      </c>
      <c r="E297" s="5" t="str">
        <f t="shared" si="49"/>
        <v>Jun</v>
      </c>
      <c r="F297" s="5" t="str">
        <f t="shared" si="50"/>
        <v>2025</v>
      </c>
      <c r="G297" s="5" t="str">
        <f t="shared" si="51"/>
        <v>Q2-2025</v>
      </c>
      <c r="H297" s="5">
        <v>45835</v>
      </c>
      <c r="I297" s="5">
        <f>IF(H297&lt;B297, B297+7, H297)</f>
        <v>45835</v>
      </c>
      <c r="J297" s="5" t="str">
        <f>IF(H297&lt;B297, "Invalid","Okay")</f>
        <v>Okay</v>
      </c>
      <c r="K297" s="16">
        <f>I297-C297</f>
        <v>26</v>
      </c>
      <c r="L297" s="16" t="str">
        <f t="shared" si="52"/>
        <v>Target Not Met</v>
      </c>
      <c r="M297" s="2" t="s">
        <v>649</v>
      </c>
      <c r="N297" s="2" t="s">
        <v>656</v>
      </c>
      <c r="O297" s="2" t="s">
        <v>684</v>
      </c>
      <c r="P297" s="29" t="str">
        <f t="shared" si="53"/>
        <v>Europe→Germany→Munich</v>
      </c>
      <c r="Q297" s="2" t="s">
        <v>704</v>
      </c>
      <c r="R297" s="2" t="s">
        <v>710</v>
      </c>
      <c r="S297" s="2" t="s">
        <v>718</v>
      </c>
      <c r="T297" s="2" t="s">
        <v>731</v>
      </c>
      <c r="U297" t="e">
        <f>(AE297/#REF!)*100</f>
        <v>#REF!</v>
      </c>
      <c r="V297" s="2" t="s">
        <v>1029</v>
      </c>
      <c r="W297" s="7">
        <v>1362.31</v>
      </c>
      <c r="X297" s="7">
        <v>3294.57</v>
      </c>
      <c r="Y297" s="7">
        <f t="shared" si="54"/>
        <v>3294.57</v>
      </c>
      <c r="Z297" s="7" t="str">
        <f t="shared" si="55"/>
        <v>High</v>
      </c>
      <c r="AA297" s="13">
        <v>0.113</v>
      </c>
      <c r="AB297" s="13">
        <f t="shared" si="56"/>
        <v>0.113</v>
      </c>
      <c r="AC297" s="13" t="str">
        <f t="shared" si="57"/>
        <v>OK</v>
      </c>
      <c r="AD297" s="7">
        <v>7</v>
      </c>
      <c r="AE297" s="7">
        <f>Y297*AD297*(1-AB297)</f>
        <v>20455.985130000001</v>
      </c>
      <c r="AF297" s="7">
        <f>W297*AD297</f>
        <v>9536.17</v>
      </c>
      <c r="AG297" s="7">
        <f t="shared" si="58"/>
        <v>10919.815130000001</v>
      </c>
      <c r="AH297" s="13">
        <f t="shared" si="59"/>
        <v>0.5338200561157721</v>
      </c>
    </row>
    <row r="298" spans="1:34" x14ac:dyDescent="0.35">
      <c r="A298" s="2" t="s">
        <v>310</v>
      </c>
      <c r="B298" s="5">
        <v>45353</v>
      </c>
      <c r="C298" s="5">
        <f>IF(H298&lt;B298,H298,B298)</f>
        <v>45353</v>
      </c>
      <c r="D298" s="5" t="str">
        <f t="shared" si="48"/>
        <v>Mar-2024</v>
      </c>
      <c r="E298" s="5" t="str">
        <f t="shared" si="49"/>
        <v>Mar</v>
      </c>
      <c r="F298" s="5" t="str">
        <f t="shared" si="50"/>
        <v>2024</v>
      </c>
      <c r="G298" s="5" t="str">
        <f t="shared" si="51"/>
        <v>Q1-2024</v>
      </c>
      <c r="H298" s="5">
        <v>45367</v>
      </c>
      <c r="I298" s="5">
        <f>IF(H298&lt;B298, B298+7, H298)</f>
        <v>45367</v>
      </c>
      <c r="J298" s="5" t="str">
        <f>IF(H298&lt;B298, "Invalid","Okay")</f>
        <v>Okay</v>
      </c>
      <c r="K298" s="16">
        <f>I298-C298</f>
        <v>14</v>
      </c>
      <c r="L298" s="16" t="str">
        <f t="shared" si="52"/>
        <v>Target Not Met</v>
      </c>
      <c r="M298" s="2" t="s">
        <v>648</v>
      </c>
      <c r="N298" s="2" t="s">
        <v>653</v>
      </c>
      <c r="O298" s="2" t="s">
        <v>688</v>
      </c>
      <c r="P298" s="29" t="str">
        <f t="shared" si="53"/>
        <v>Americas→Canada→Vancouver</v>
      </c>
      <c r="Q298" s="2" t="s">
        <v>703</v>
      </c>
      <c r="R298" s="2" t="s">
        <v>711</v>
      </c>
      <c r="S298" s="2" t="s">
        <v>719</v>
      </c>
      <c r="T298" s="2" t="s">
        <v>728</v>
      </c>
      <c r="U298" t="e">
        <f>(AE298/#REF!)*100</f>
        <v>#REF!</v>
      </c>
      <c r="V298" s="2" t="s">
        <v>1030</v>
      </c>
      <c r="W298" s="7">
        <v>248.24</v>
      </c>
      <c r="X298" s="7">
        <v>464.05</v>
      </c>
      <c r="Y298" s="7">
        <f t="shared" si="54"/>
        <v>464.05</v>
      </c>
      <c r="Z298" s="7" t="str">
        <f t="shared" si="55"/>
        <v>Low</v>
      </c>
      <c r="AA298" s="13">
        <v>0.16900000000000001</v>
      </c>
      <c r="AB298" s="13">
        <f t="shared" si="56"/>
        <v>0.16900000000000001</v>
      </c>
      <c r="AC298" s="13" t="str">
        <f t="shared" si="57"/>
        <v>OK</v>
      </c>
      <c r="AD298" s="7">
        <v>11</v>
      </c>
      <c r="AE298" s="7">
        <f>Y298*AD298*(1-AB298)</f>
        <v>4241.88105</v>
      </c>
      <c r="AF298" s="7">
        <f>W298*AD298</f>
        <v>2730.6400000000003</v>
      </c>
      <c r="AG298" s="7">
        <f t="shared" si="58"/>
        <v>1511.2410499999996</v>
      </c>
      <c r="AH298" s="13">
        <f t="shared" si="59"/>
        <v>0.3562667203975462</v>
      </c>
    </row>
    <row r="299" spans="1:34" x14ac:dyDescent="0.35">
      <c r="A299" s="2" t="s">
        <v>311</v>
      </c>
      <c r="B299" s="5">
        <v>45097</v>
      </c>
      <c r="C299" s="5">
        <f>IF(H299&lt;B299,H299,B299)</f>
        <v>45097</v>
      </c>
      <c r="D299" s="5" t="str">
        <f t="shared" si="48"/>
        <v>Jun-2023</v>
      </c>
      <c r="E299" s="5" t="str">
        <f t="shared" si="49"/>
        <v>Jun</v>
      </c>
      <c r="F299" s="5" t="str">
        <f t="shared" si="50"/>
        <v>2023</v>
      </c>
      <c r="G299" s="5" t="str">
        <f t="shared" si="51"/>
        <v>Q2-2023</v>
      </c>
      <c r="H299" s="5">
        <v>45115</v>
      </c>
      <c r="I299" s="5">
        <f>IF(H299&lt;B299, B299+7, H299)</f>
        <v>45115</v>
      </c>
      <c r="J299" s="5" t="str">
        <f>IF(H299&lt;B299, "Invalid","Okay")</f>
        <v>Okay</v>
      </c>
      <c r="K299" s="16">
        <f>I299-C299</f>
        <v>18</v>
      </c>
      <c r="L299" s="16" t="str">
        <f t="shared" si="52"/>
        <v>Target Not Met</v>
      </c>
      <c r="M299" s="2" t="s">
        <v>648</v>
      </c>
      <c r="N299" s="2" t="s">
        <v>660</v>
      </c>
      <c r="O299" s="2" t="s">
        <v>697</v>
      </c>
      <c r="P299" s="29" t="str">
        <f t="shared" si="53"/>
        <v>Americas→USA→Austin</v>
      </c>
      <c r="Q299" s="2" t="s">
        <v>703</v>
      </c>
      <c r="R299" s="2" t="s">
        <v>711</v>
      </c>
      <c r="S299" s="2" t="s">
        <v>721</v>
      </c>
      <c r="T299" s="2" t="s">
        <v>732</v>
      </c>
      <c r="U299" t="e">
        <f>(AE299/#REF!)*100</f>
        <v>#REF!</v>
      </c>
      <c r="V299" s="2" t="s">
        <v>1031</v>
      </c>
      <c r="W299" s="7">
        <v>337</v>
      </c>
      <c r="X299" s="7">
        <v>511.03</v>
      </c>
      <c r="Y299" s="7">
        <f t="shared" si="54"/>
        <v>511.03</v>
      </c>
      <c r="Z299" s="7" t="str">
        <f t="shared" si="55"/>
        <v>Low</v>
      </c>
      <c r="AA299" s="13">
        <v>0.108</v>
      </c>
      <c r="AB299" s="13">
        <f t="shared" si="56"/>
        <v>0.108</v>
      </c>
      <c r="AC299" s="13" t="str">
        <f t="shared" si="57"/>
        <v>OK</v>
      </c>
      <c r="AD299" s="7">
        <v>7</v>
      </c>
      <c r="AE299" s="7">
        <f>Y299*AD299*(1-AB299)</f>
        <v>3190.8713200000002</v>
      </c>
      <c r="AF299" s="7">
        <f>W299*AD299</f>
        <v>2359</v>
      </c>
      <c r="AG299" s="7">
        <f t="shared" si="58"/>
        <v>831.8713200000002</v>
      </c>
      <c r="AH299" s="13">
        <f t="shared" si="59"/>
        <v>0.26070349963219458</v>
      </c>
    </row>
    <row r="300" spans="1:34" x14ac:dyDescent="0.35">
      <c r="A300" s="2" t="s">
        <v>312</v>
      </c>
      <c r="B300" s="5">
        <v>45377</v>
      </c>
      <c r="C300" s="5">
        <f>IF(H300&lt;B300,H300,B300)</f>
        <v>45377</v>
      </c>
      <c r="D300" s="5" t="str">
        <f t="shared" si="48"/>
        <v>Mar-2024</v>
      </c>
      <c r="E300" s="5" t="str">
        <f t="shared" si="49"/>
        <v>Mar</v>
      </c>
      <c r="F300" s="5" t="str">
        <f t="shared" si="50"/>
        <v>2024</v>
      </c>
      <c r="G300" s="5" t="str">
        <f t="shared" si="51"/>
        <v>Q1-2024</v>
      </c>
      <c r="H300" s="5">
        <v>45387</v>
      </c>
      <c r="I300" s="5">
        <f>IF(H300&lt;B300, B300+7, H300)</f>
        <v>45387</v>
      </c>
      <c r="J300" s="5" t="str">
        <f>IF(H300&lt;B300, "Invalid","Okay")</f>
        <v>Okay</v>
      </c>
      <c r="K300" s="16">
        <f>I300-C300</f>
        <v>10</v>
      </c>
      <c r="L300" s="16" t="str">
        <f t="shared" si="52"/>
        <v>Target Not Met</v>
      </c>
      <c r="M300" s="2" t="s">
        <v>648</v>
      </c>
      <c r="N300" s="2" t="s">
        <v>660</v>
      </c>
      <c r="O300" s="2" t="s">
        <v>697</v>
      </c>
      <c r="P300" s="29" t="str">
        <f t="shared" si="53"/>
        <v>Americas→USA→Austin</v>
      </c>
      <c r="Q300" s="2" t="s">
        <v>704</v>
      </c>
      <c r="R300" s="2" t="s">
        <v>711</v>
      </c>
      <c r="S300" s="2" t="s">
        <v>713</v>
      </c>
      <c r="T300" s="2" t="s">
        <v>732</v>
      </c>
      <c r="U300" t="e">
        <f>(AE300/#REF!)*100</f>
        <v>#REF!</v>
      </c>
      <c r="V300" s="2" t="s">
        <v>1032</v>
      </c>
      <c r="W300" s="7">
        <v>5.66</v>
      </c>
      <c r="X300" s="7">
        <v>4.22</v>
      </c>
      <c r="Y300" s="7">
        <f t="shared" si="54"/>
        <v>4.22</v>
      </c>
      <c r="Z300" s="7" t="str">
        <f t="shared" si="55"/>
        <v>Low</v>
      </c>
      <c r="AA300" s="13">
        <v>0.11899999999999999</v>
      </c>
      <c r="AB300" s="13">
        <f t="shared" si="56"/>
        <v>0.11899999999999999</v>
      </c>
      <c r="AC300" s="13" t="str">
        <f t="shared" si="57"/>
        <v>OK</v>
      </c>
      <c r="AD300" s="7">
        <v>18</v>
      </c>
      <c r="AE300" s="7">
        <f>Y300*AD300*(1-AB300)</f>
        <v>66.920760000000001</v>
      </c>
      <c r="AF300" s="7">
        <f>W300*AD300</f>
        <v>101.88</v>
      </c>
      <c r="AG300" s="7">
        <f t="shared" si="58"/>
        <v>-34.959239999999994</v>
      </c>
      <c r="AH300" s="13">
        <f t="shared" si="59"/>
        <v>-0.52239753403876454</v>
      </c>
    </row>
    <row r="301" spans="1:34" x14ac:dyDescent="0.35">
      <c r="A301" s="2" t="s">
        <v>313</v>
      </c>
      <c r="B301" s="5">
        <v>45679</v>
      </c>
      <c r="C301" s="5">
        <f>IF(H301&lt;B301,H301,B301)</f>
        <v>45679</v>
      </c>
      <c r="D301" s="5" t="str">
        <f t="shared" si="48"/>
        <v>Jan-2025</v>
      </c>
      <c r="E301" s="5" t="str">
        <f t="shared" si="49"/>
        <v>Jan</v>
      </c>
      <c r="F301" s="5" t="str">
        <f t="shared" si="50"/>
        <v>2025</v>
      </c>
      <c r="G301" s="5" t="str">
        <f t="shared" si="51"/>
        <v>Q1-2025</v>
      </c>
      <c r="H301" s="5">
        <v>45679</v>
      </c>
      <c r="I301" s="5">
        <f>IF(H301&lt;B301, B301+7, H301)</f>
        <v>45679</v>
      </c>
      <c r="J301" s="5" t="str">
        <f>IF(H301&lt;B301, "Invalid","Okay")</f>
        <v>Okay</v>
      </c>
      <c r="K301" s="16">
        <f>I301-C301</f>
        <v>0</v>
      </c>
      <c r="L301" s="16" t="str">
        <f t="shared" si="52"/>
        <v>Target Met</v>
      </c>
      <c r="M301" s="2" t="s">
        <v>649</v>
      </c>
      <c r="N301" s="2" t="s">
        <v>657</v>
      </c>
      <c r="O301" s="2" t="s">
        <v>679</v>
      </c>
      <c r="P301" s="29" t="str">
        <f t="shared" si="53"/>
        <v>Europe→France→Lyon</v>
      </c>
      <c r="Q301" s="2" t="s">
        <v>705</v>
      </c>
      <c r="R301" s="2" t="s">
        <v>708</v>
      </c>
      <c r="S301" s="2" t="s">
        <v>717</v>
      </c>
      <c r="T301" s="2" t="s">
        <v>733</v>
      </c>
      <c r="U301" t="e">
        <f>(AE301/#REF!)*100</f>
        <v>#REF!</v>
      </c>
      <c r="V301" s="2" t="s">
        <v>1033</v>
      </c>
      <c r="W301" s="7">
        <v>591.72</v>
      </c>
      <c r="X301" s="7">
        <v>577.24</v>
      </c>
      <c r="Y301" s="7">
        <f t="shared" si="54"/>
        <v>577.24</v>
      </c>
      <c r="Z301" s="7" t="str">
        <f t="shared" si="55"/>
        <v>Low</v>
      </c>
      <c r="AA301" s="13">
        <v>0</v>
      </c>
      <c r="AB301" s="13">
        <f t="shared" si="56"/>
        <v>0</v>
      </c>
      <c r="AC301" s="13" t="str">
        <f t="shared" si="57"/>
        <v>OK</v>
      </c>
      <c r="AD301" s="7">
        <v>22</v>
      </c>
      <c r="AE301" s="7">
        <f>Y301*AD301*(1-AB301)</f>
        <v>12699.28</v>
      </c>
      <c r="AF301" s="7">
        <f>W301*AD301</f>
        <v>13017.84</v>
      </c>
      <c r="AG301" s="7">
        <f t="shared" si="58"/>
        <v>-318.55999999999949</v>
      </c>
      <c r="AH301" s="13">
        <f t="shared" si="59"/>
        <v>-2.5084886702238195E-2</v>
      </c>
    </row>
    <row r="302" spans="1:34" x14ac:dyDescent="0.35">
      <c r="A302" s="2" t="s">
        <v>314</v>
      </c>
      <c r="B302" s="5">
        <v>45787</v>
      </c>
      <c r="C302" s="5">
        <f>IF(H302&lt;B302,H302,B302)</f>
        <v>45787</v>
      </c>
      <c r="D302" s="5" t="str">
        <f t="shared" si="48"/>
        <v>May-2025</v>
      </c>
      <c r="E302" s="5" t="str">
        <f t="shared" si="49"/>
        <v>May</v>
      </c>
      <c r="F302" s="5" t="str">
        <f t="shared" si="50"/>
        <v>2025</v>
      </c>
      <c r="G302" s="5" t="str">
        <f t="shared" si="51"/>
        <v>Q2-2025</v>
      </c>
      <c r="H302" s="5">
        <v>45804</v>
      </c>
      <c r="I302" s="5">
        <f>IF(H302&lt;B302, B302+7, H302)</f>
        <v>45804</v>
      </c>
      <c r="J302" s="5" t="str">
        <f>IF(H302&lt;B302, "Invalid","Okay")</f>
        <v>Okay</v>
      </c>
      <c r="K302" s="16">
        <f>I302-C302</f>
        <v>17</v>
      </c>
      <c r="L302" s="16" t="str">
        <f t="shared" si="52"/>
        <v>Target Not Met</v>
      </c>
      <c r="M302" s="2" t="s">
        <v>648</v>
      </c>
      <c r="N302" s="2" t="s">
        <v>653</v>
      </c>
      <c r="O302" s="2" t="s">
        <v>688</v>
      </c>
      <c r="P302" s="29" t="str">
        <f t="shared" si="53"/>
        <v>Americas→Canada→Vancouver</v>
      </c>
      <c r="Q302" s="2" t="s">
        <v>702</v>
      </c>
      <c r="R302" s="2" t="s">
        <v>711</v>
      </c>
      <c r="S302" s="2" t="s">
        <v>712</v>
      </c>
      <c r="T302" s="2" t="s">
        <v>727</v>
      </c>
      <c r="U302" t="e">
        <f>(AE302/#REF!)*100</f>
        <v>#REF!</v>
      </c>
      <c r="V302" s="2" t="s">
        <v>1034</v>
      </c>
      <c r="W302" s="7">
        <v>862.89</v>
      </c>
      <c r="X302" s="7">
        <v>1426.03</v>
      </c>
      <c r="Y302" s="7">
        <f t="shared" si="54"/>
        <v>1426.03</v>
      </c>
      <c r="Z302" s="7" t="str">
        <f t="shared" si="55"/>
        <v>Medium</v>
      </c>
      <c r="AA302" s="13">
        <v>5.6000000000000001E-2</v>
      </c>
      <c r="AB302" s="13">
        <f t="shared" si="56"/>
        <v>5.6000000000000001E-2</v>
      </c>
      <c r="AC302" s="13" t="str">
        <f t="shared" si="57"/>
        <v>OK</v>
      </c>
      <c r="AD302" s="7">
        <v>19</v>
      </c>
      <c r="AE302" s="7">
        <f>Y302*AD302*(1-AB302)</f>
        <v>25577.274079999999</v>
      </c>
      <c r="AF302" s="7">
        <f>W302*AD302</f>
        <v>16394.91</v>
      </c>
      <c r="AG302" s="7">
        <f t="shared" si="58"/>
        <v>9182.3640799999994</v>
      </c>
      <c r="AH302" s="13">
        <f t="shared" si="59"/>
        <v>0.35900479665188778</v>
      </c>
    </row>
    <row r="303" spans="1:34" x14ac:dyDescent="0.35">
      <c r="A303" s="2" t="s">
        <v>315</v>
      </c>
      <c r="B303" s="5">
        <v>45204</v>
      </c>
      <c r="C303" s="5">
        <f>IF(H303&lt;B303,H303,B303)</f>
        <v>45204</v>
      </c>
      <c r="D303" s="5" t="str">
        <f t="shared" si="48"/>
        <v>Oct-2023</v>
      </c>
      <c r="E303" s="5" t="str">
        <f t="shared" si="49"/>
        <v>Oct</v>
      </c>
      <c r="F303" s="5" t="str">
        <f t="shared" si="50"/>
        <v>2023</v>
      </c>
      <c r="G303" s="5" t="str">
        <f t="shared" si="51"/>
        <v>Q4-2023</v>
      </c>
      <c r="H303" s="5">
        <v>45230</v>
      </c>
      <c r="I303" s="5">
        <f>IF(H303&lt;B303, B303+7, H303)</f>
        <v>45230</v>
      </c>
      <c r="J303" s="5" t="str">
        <f>IF(H303&lt;B303, "Invalid","Okay")</f>
        <v>Okay</v>
      </c>
      <c r="K303" s="16">
        <f>I303-C303</f>
        <v>26</v>
      </c>
      <c r="L303" s="16" t="str">
        <f t="shared" si="52"/>
        <v>Target Not Met</v>
      </c>
      <c r="M303" s="2" t="s">
        <v>647</v>
      </c>
      <c r="N303" s="2" t="s">
        <v>659</v>
      </c>
      <c r="O303" s="2" t="s">
        <v>685</v>
      </c>
      <c r="P303" s="29" t="str">
        <f t="shared" si="53"/>
        <v>Asia→China→Shanghai</v>
      </c>
      <c r="Q303" s="2" t="s">
        <v>704</v>
      </c>
      <c r="R303" s="2" t="s">
        <v>1423</v>
      </c>
      <c r="S303" s="2" t="s">
        <v>713</v>
      </c>
      <c r="T303" s="2" t="s">
        <v>728</v>
      </c>
      <c r="U303" t="e">
        <f>(AE303/#REF!)*100</f>
        <v>#REF!</v>
      </c>
      <c r="V303" s="2" t="s">
        <v>1035</v>
      </c>
      <c r="W303" s="7">
        <v>649.91</v>
      </c>
      <c r="X303" s="7">
        <v>1360.12</v>
      </c>
      <c r="Y303" s="7">
        <f t="shared" si="54"/>
        <v>1360.12</v>
      </c>
      <c r="Z303" s="7" t="str">
        <f t="shared" si="55"/>
        <v>Medium</v>
      </c>
      <c r="AA303" s="13">
        <v>0.19400000000000001</v>
      </c>
      <c r="AB303" s="13">
        <f t="shared" si="56"/>
        <v>0.19400000000000001</v>
      </c>
      <c r="AC303" s="13" t="str">
        <f t="shared" si="57"/>
        <v>OK</v>
      </c>
      <c r="AD303" s="7">
        <v>9</v>
      </c>
      <c r="AE303" s="7">
        <f>Y303*AD303*(1-AB303)</f>
        <v>9866.3104799999983</v>
      </c>
      <c r="AF303" s="7">
        <f>W303*AD303</f>
        <v>5849.19</v>
      </c>
      <c r="AG303" s="7">
        <f t="shared" si="58"/>
        <v>4017.1204799999987</v>
      </c>
      <c r="AH303" s="13">
        <f t="shared" si="59"/>
        <v>0.40715528749506769</v>
      </c>
    </row>
    <row r="304" spans="1:34" x14ac:dyDescent="0.35">
      <c r="A304" s="2" t="s">
        <v>316</v>
      </c>
      <c r="B304" s="5">
        <v>45125</v>
      </c>
      <c r="C304" s="5">
        <f>IF(H304&lt;B304,H304,B304)</f>
        <v>45125</v>
      </c>
      <c r="D304" s="5" t="str">
        <f t="shared" si="48"/>
        <v>Jul-2023</v>
      </c>
      <c r="E304" s="5" t="str">
        <f t="shared" si="49"/>
        <v>Jul</v>
      </c>
      <c r="F304" s="5" t="str">
        <f t="shared" si="50"/>
        <v>2023</v>
      </c>
      <c r="G304" s="5" t="str">
        <f t="shared" si="51"/>
        <v>Q3-2023</v>
      </c>
      <c r="H304" s="5">
        <v>45129</v>
      </c>
      <c r="I304" s="5">
        <f>IF(H304&lt;B304, B304+7, H304)</f>
        <v>45129</v>
      </c>
      <c r="J304" s="5" t="str">
        <f>IF(H304&lt;B304, "Invalid","Okay")</f>
        <v>Okay</v>
      </c>
      <c r="K304" s="16">
        <f>I304-C304</f>
        <v>4</v>
      </c>
      <c r="L304" s="16" t="str">
        <f t="shared" si="52"/>
        <v>Target Met</v>
      </c>
      <c r="M304" s="2" t="s">
        <v>648</v>
      </c>
      <c r="N304" s="2" t="s">
        <v>655</v>
      </c>
      <c r="O304" s="2" t="s">
        <v>670</v>
      </c>
      <c r="P304" s="29" t="str">
        <f t="shared" si="53"/>
        <v>Americas→Brazil→São Paulo</v>
      </c>
      <c r="Q304" s="2" t="s">
        <v>704</v>
      </c>
      <c r="R304" s="2" t="s">
        <v>711</v>
      </c>
      <c r="S304" s="2" t="s">
        <v>721</v>
      </c>
      <c r="T304" s="2" t="s">
        <v>729</v>
      </c>
      <c r="U304" t="e">
        <f>(AE304/#REF!)*100</f>
        <v>#REF!</v>
      </c>
      <c r="V304" s="2" t="s">
        <v>1036</v>
      </c>
      <c r="W304" s="7">
        <v>1269.55</v>
      </c>
      <c r="X304" s="7">
        <v>2071.1</v>
      </c>
      <c r="Y304" s="7">
        <f t="shared" si="54"/>
        <v>2071.1</v>
      </c>
      <c r="Z304" s="7" t="str">
        <f t="shared" si="55"/>
        <v>High</v>
      </c>
      <c r="AA304" s="13">
        <v>0.129</v>
      </c>
      <c r="AB304" s="13">
        <f t="shared" si="56"/>
        <v>0.129</v>
      </c>
      <c r="AC304" s="13" t="str">
        <f t="shared" si="57"/>
        <v>OK</v>
      </c>
      <c r="AD304" s="7">
        <v>22</v>
      </c>
      <c r="AE304" s="7">
        <f>Y304*AD304*(1-AB304)</f>
        <v>39686.4182</v>
      </c>
      <c r="AF304" s="7">
        <f>W304*AD304</f>
        <v>27930.1</v>
      </c>
      <c r="AG304" s="7">
        <f t="shared" si="58"/>
        <v>11756.318200000002</v>
      </c>
      <c r="AH304" s="13">
        <f t="shared" si="59"/>
        <v>0.29623026549672354</v>
      </c>
    </row>
    <row r="305" spans="1:34" x14ac:dyDescent="0.35">
      <c r="A305" s="2" t="s">
        <v>317</v>
      </c>
      <c r="B305" s="5">
        <v>45830</v>
      </c>
      <c r="C305" s="5">
        <f>IF(H305&lt;B305,H305,B305)</f>
        <v>45830</v>
      </c>
      <c r="D305" s="5" t="str">
        <f t="shared" si="48"/>
        <v>Jun-2025</v>
      </c>
      <c r="E305" s="5" t="str">
        <f t="shared" si="49"/>
        <v>Jun</v>
      </c>
      <c r="F305" s="5" t="str">
        <f t="shared" si="50"/>
        <v>2025</v>
      </c>
      <c r="G305" s="5" t="str">
        <f t="shared" si="51"/>
        <v>Q2-2025</v>
      </c>
      <c r="H305" s="5">
        <v>45846</v>
      </c>
      <c r="I305" s="5">
        <f>IF(H305&lt;B305, B305+7, H305)</f>
        <v>45846</v>
      </c>
      <c r="J305" s="5" t="str">
        <f>IF(H305&lt;B305, "Invalid","Okay")</f>
        <v>Okay</v>
      </c>
      <c r="K305" s="16">
        <f>I305-C305</f>
        <v>16</v>
      </c>
      <c r="L305" s="16" t="str">
        <f t="shared" si="52"/>
        <v>Target Not Met</v>
      </c>
      <c r="M305" s="2" t="s">
        <v>649</v>
      </c>
      <c r="N305" s="2" t="s">
        <v>658</v>
      </c>
      <c r="O305" s="2" t="s">
        <v>683</v>
      </c>
      <c r="P305" s="29" t="str">
        <f t="shared" si="53"/>
        <v>Europe→United Kingdom→London</v>
      </c>
      <c r="Q305" s="2" t="s">
        <v>702</v>
      </c>
      <c r="R305" s="2" t="s">
        <v>711</v>
      </c>
      <c r="S305" s="2" t="s">
        <v>720</v>
      </c>
      <c r="T305" s="2" t="s">
        <v>730</v>
      </c>
      <c r="U305" t="e">
        <f>(AE305/#REF!)*100</f>
        <v>#REF!</v>
      </c>
      <c r="V305" s="2" t="s">
        <v>1037</v>
      </c>
      <c r="W305" s="7">
        <v>892.73</v>
      </c>
      <c r="X305" s="7">
        <v>979.84</v>
      </c>
      <c r="Y305" s="7">
        <f t="shared" si="54"/>
        <v>979.84</v>
      </c>
      <c r="Z305" s="7" t="str">
        <f t="shared" si="55"/>
        <v>Low</v>
      </c>
      <c r="AA305" s="13">
        <v>0.17399999999999999</v>
      </c>
      <c r="AB305" s="13">
        <f t="shared" si="56"/>
        <v>0.17399999999999999</v>
      </c>
      <c r="AC305" s="13" t="str">
        <f t="shared" si="57"/>
        <v>OK</v>
      </c>
      <c r="AD305" s="7">
        <v>10</v>
      </c>
      <c r="AE305" s="7">
        <f>Y305*AD305*(1-AB305)</f>
        <v>8093.4784</v>
      </c>
      <c r="AF305" s="7">
        <f>W305*AD305</f>
        <v>8927.2999999999993</v>
      </c>
      <c r="AG305" s="7">
        <f t="shared" si="58"/>
        <v>-833.82159999999931</v>
      </c>
      <c r="AH305" s="13">
        <f t="shared" si="59"/>
        <v>-0.10302388649112838</v>
      </c>
    </row>
    <row r="306" spans="1:34" x14ac:dyDescent="0.35">
      <c r="A306" s="2" t="s">
        <v>318</v>
      </c>
      <c r="B306" s="5">
        <v>45462</v>
      </c>
      <c r="C306" s="5">
        <f>IF(H306&lt;B306,H306,B306)</f>
        <v>45462</v>
      </c>
      <c r="D306" s="5" t="str">
        <f t="shared" si="48"/>
        <v>Jun-2024</v>
      </c>
      <c r="E306" s="5" t="str">
        <f t="shared" si="49"/>
        <v>Jun</v>
      </c>
      <c r="F306" s="5" t="str">
        <f t="shared" si="50"/>
        <v>2024</v>
      </c>
      <c r="G306" s="5" t="str">
        <f t="shared" si="51"/>
        <v>Q2-2024</v>
      </c>
      <c r="H306" s="5">
        <v>45463</v>
      </c>
      <c r="I306" s="5">
        <f>IF(H306&lt;B306, B306+7, H306)</f>
        <v>45463</v>
      </c>
      <c r="J306" s="5" t="str">
        <f>IF(H306&lt;B306, "Invalid","Okay")</f>
        <v>Okay</v>
      </c>
      <c r="K306" s="16">
        <f>I306-C306</f>
        <v>1</v>
      </c>
      <c r="L306" s="16" t="str">
        <f t="shared" si="52"/>
        <v>Target Met</v>
      </c>
      <c r="M306" s="2" t="s">
        <v>646</v>
      </c>
      <c r="N306" s="2" t="s">
        <v>650</v>
      </c>
      <c r="O306" s="2" t="s">
        <v>662</v>
      </c>
      <c r="P306" s="29" t="str">
        <f t="shared" si="53"/>
        <v>Africa→Kenya→Kisumu</v>
      </c>
      <c r="Q306" s="2" t="s">
        <v>705</v>
      </c>
      <c r="R306" s="2" t="s">
        <v>711</v>
      </c>
      <c r="S306" s="2" t="s">
        <v>713</v>
      </c>
      <c r="T306" s="2" t="s">
        <v>731</v>
      </c>
      <c r="U306" t="e">
        <f>(AE306/#REF!)*100</f>
        <v>#REF!</v>
      </c>
      <c r="V306" s="2" t="s">
        <v>1038</v>
      </c>
      <c r="W306" s="7">
        <v>231.63</v>
      </c>
      <c r="X306" s="7">
        <v>537.39</v>
      </c>
      <c r="Y306" s="7">
        <f t="shared" si="54"/>
        <v>537.39</v>
      </c>
      <c r="Z306" s="7" t="str">
        <f t="shared" si="55"/>
        <v>Low</v>
      </c>
      <c r="AA306" s="13">
        <v>0.08</v>
      </c>
      <c r="AB306" s="13">
        <f t="shared" si="56"/>
        <v>0.08</v>
      </c>
      <c r="AC306" s="13" t="str">
        <f t="shared" si="57"/>
        <v>OK</v>
      </c>
      <c r="AD306" s="7">
        <v>12</v>
      </c>
      <c r="AE306" s="7">
        <f>Y306*AD306*(1-AB306)</f>
        <v>5932.7856000000002</v>
      </c>
      <c r="AF306" s="7">
        <f>W306*AD306</f>
        <v>2779.56</v>
      </c>
      <c r="AG306" s="7">
        <f t="shared" si="58"/>
        <v>3153.2256000000002</v>
      </c>
      <c r="AH306" s="13">
        <f t="shared" si="59"/>
        <v>0.53149158129024587</v>
      </c>
    </row>
    <row r="307" spans="1:34" x14ac:dyDescent="0.35">
      <c r="A307" s="2" t="s">
        <v>319</v>
      </c>
      <c r="B307" s="5">
        <v>45756</v>
      </c>
      <c r="C307" s="5">
        <f>IF(H307&lt;B307,H307,B307)</f>
        <v>45756</v>
      </c>
      <c r="D307" s="5" t="str">
        <f t="shared" si="48"/>
        <v>Apr-2025</v>
      </c>
      <c r="E307" s="5" t="str">
        <f t="shared" si="49"/>
        <v>Apr</v>
      </c>
      <c r="F307" s="5" t="str">
        <f t="shared" si="50"/>
        <v>2025</v>
      </c>
      <c r="G307" s="5" t="str">
        <f t="shared" si="51"/>
        <v>Q2-2025</v>
      </c>
      <c r="H307" s="5">
        <v>45759</v>
      </c>
      <c r="I307" s="5">
        <f>IF(H307&lt;B307, B307+7, H307)</f>
        <v>45759</v>
      </c>
      <c r="J307" s="5" t="str">
        <f>IF(H307&lt;B307, "Invalid","Okay")</f>
        <v>Okay</v>
      </c>
      <c r="K307" s="16">
        <f>I307-C307</f>
        <v>3</v>
      </c>
      <c r="L307" s="16" t="str">
        <f t="shared" si="52"/>
        <v>Target Met</v>
      </c>
      <c r="M307" s="2" t="s">
        <v>649</v>
      </c>
      <c r="N307" s="2" t="s">
        <v>657</v>
      </c>
      <c r="O307" s="2" t="s">
        <v>679</v>
      </c>
      <c r="P307" s="29" t="str">
        <f t="shared" si="53"/>
        <v>Europe→France→Lyon</v>
      </c>
      <c r="Q307" s="2" t="s">
        <v>705</v>
      </c>
      <c r="R307" s="2" t="s">
        <v>710</v>
      </c>
      <c r="S307" s="2" t="s">
        <v>722</v>
      </c>
      <c r="T307" s="2" t="s">
        <v>732</v>
      </c>
      <c r="U307" t="e">
        <f>(AE307/#REF!)*100</f>
        <v>#REF!</v>
      </c>
      <c r="V307" s="2" t="s">
        <v>1039</v>
      </c>
      <c r="W307" s="7">
        <v>86.68</v>
      </c>
      <c r="X307" s="7">
        <v>213.32</v>
      </c>
      <c r="Y307" s="7">
        <f t="shared" si="54"/>
        <v>213.32</v>
      </c>
      <c r="Z307" s="7" t="str">
        <f t="shared" si="55"/>
        <v>Low</v>
      </c>
      <c r="AA307" s="13">
        <v>3.7999999999999999E-2</v>
      </c>
      <c r="AB307" s="13">
        <f t="shared" si="56"/>
        <v>3.7999999999999999E-2</v>
      </c>
      <c r="AC307" s="13" t="str">
        <f t="shared" si="57"/>
        <v>OK</v>
      </c>
      <c r="AD307" s="7">
        <v>8</v>
      </c>
      <c r="AE307" s="7">
        <f>Y307*AD307*(1-AB307)</f>
        <v>1641.7107199999998</v>
      </c>
      <c r="AF307" s="7">
        <f>W307*AD307</f>
        <v>693.44</v>
      </c>
      <c r="AG307" s="7">
        <f t="shared" si="58"/>
        <v>948.27071999999976</v>
      </c>
      <c r="AH307" s="13">
        <f t="shared" si="59"/>
        <v>0.57761133459614611</v>
      </c>
    </row>
    <row r="308" spans="1:34" x14ac:dyDescent="0.35">
      <c r="A308" s="2" t="s">
        <v>320</v>
      </c>
      <c r="B308" s="5">
        <v>45741</v>
      </c>
      <c r="C308" s="5">
        <f>IF(H308&lt;B308,H308,B308)</f>
        <v>45741</v>
      </c>
      <c r="D308" s="5" t="str">
        <f t="shared" si="48"/>
        <v>Mar-2025</v>
      </c>
      <c r="E308" s="5" t="str">
        <f t="shared" si="49"/>
        <v>Mar</v>
      </c>
      <c r="F308" s="5" t="str">
        <f t="shared" si="50"/>
        <v>2025</v>
      </c>
      <c r="G308" s="5" t="str">
        <f t="shared" si="51"/>
        <v>Q1-2025</v>
      </c>
      <c r="H308" s="5">
        <v>45742</v>
      </c>
      <c r="I308" s="5">
        <f>IF(H308&lt;B308, B308+7, H308)</f>
        <v>45742</v>
      </c>
      <c r="J308" s="5" t="str">
        <f>IF(H308&lt;B308, "Invalid","Okay")</f>
        <v>Okay</v>
      </c>
      <c r="K308" s="16">
        <f>I308-C308</f>
        <v>1</v>
      </c>
      <c r="L308" s="16" t="str">
        <f t="shared" si="52"/>
        <v>Target Met</v>
      </c>
      <c r="M308" s="2" t="s">
        <v>646</v>
      </c>
      <c r="N308" s="2" t="s">
        <v>651</v>
      </c>
      <c r="O308" s="2" t="s">
        <v>665</v>
      </c>
      <c r="P308" s="29" t="str">
        <f t="shared" si="53"/>
        <v>Africa→Nigeria→Lagos</v>
      </c>
      <c r="Q308" s="2" t="s">
        <v>702</v>
      </c>
      <c r="R308" s="2" t="s">
        <v>710</v>
      </c>
      <c r="S308" s="2" t="s">
        <v>715</v>
      </c>
      <c r="T308" s="2" t="s">
        <v>733</v>
      </c>
      <c r="U308" t="e">
        <f>(AE308/#REF!)*100</f>
        <v>#REF!</v>
      </c>
      <c r="V308" s="2" t="s">
        <v>1040</v>
      </c>
      <c r="W308" s="7">
        <v>1450.43</v>
      </c>
      <c r="X308" s="7">
        <v>1994.67</v>
      </c>
      <c r="Y308" s="7">
        <f t="shared" si="54"/>
        <v>1994.67</v>
      </c>
      <c r="Z308" s="7" t="str">
        <f t="shared" si="55"/>
        <v>High</v>
      </c>
      <c r="AA308" s="13">
        <v>0.1</v>
      </c>
      <c r="AB308" s="13">
        <f t="shared" si="56"/>
        <v>0.1</v>
      </c>
      <c r="AC308" s="13" t="str">
        <f t="shared" si="57"/>
        <v>OK</v>
      </c>
      <c r="AD308" s="7">
        <v>24</v>
      </c>
      <c r="AE308" s="7">
        <f>Y308*AD308*(1-AB308)</f>
        <v>43084.872000000003</v>
      </c>
      <c r="AF308" s="7">
        <f>W308*AD308</f>
        <v>34810.32</v>
      </c>
      <c r="AG308" s="7">
        <f t="shared" si="58"/>
        <v>8274.5520000000033</v>
      </c>
      <c r="AH308" s="13">
        <f t="shared" si="59"/>
        <v>0.19205237513529116</v>
      </c>
    </row>
    <row r="309" spans="1:34" x14ac:dyDescent="0.35">
      <c r="A309" s="2" t="s">
        <v>321</v>
      </c>
      <c r="B309" s="5">
        <v>45795</v>
      </c>
      <c r="C309" s="5">
        <f>IF(H309&lt;B309,H309,B309)</f>
        <v>45795</v>
      </c>
      <c r="D309" s="5" t="str">
        <f t="shared" si="48"/>
        <v>May-2025</v>
      </c>
      <c r="E309" s="5" t="str">
        <f t="shared" si="49"/>
        <v>May</v>
      </c>
      <c r="F309" s="5" t="str">
        <f t="shared" si="50"/>
        <v>2025</v>
      </c>
      <c r="G309" s="5" t="str">
        <f t="shared" si="51"/>
        <v>Q2-2025</v>
      </c>
      <c r="H309" s="5">
        <v>45817</v>
      </c>
      <c r="I309" s="5">
        <f>IF(H309&lt;B309, B309+7, H309)</f>
        <v>45817</v>
      </c>
      <c r="J309" s="5" t="str">
        <f>IF(H309&lt;B309, "Invalid","Okay")</f>
        <v>Okay</v>
      </c>
      <c r="K309" s="16">
        <f>I309-C309</f>
        <v>22</v>
      </c>
      <c r="L309" s="16" t="str">
        <f t="shared" si="52"/>
        <v>Target Not Met</v>
      </c>
      <c r="M309" s="2" t="s">
        <v>648</v>
      </c>
      <c r="N309" s="2" t="s">
        <v>660</v>
      </c>
      <c r="O309" s="2" t="s">
        <v>700</v>
      </c>
      <c r="P309" s="29" t="str">
        <f t="shared" si="53"/>
        <v>Americas→USA→New York</v>
      </c>
      <c r="Q309" s="2" t="s">
        <v>704</v>
      </c>
      <c r="R309" s="2" t="s">
        <v>707</v>
      </c>
      <c r="S309" s="2" t="s">
        <v>722</v>
      </c>
      <c r="T309" s="2" t="s">
        <v>729</v>
      </c>
      <c r="U309" t="e">
        <f>(AE309/#REF!)*100</f>
        <v>#REF!</v>
      </c>
      <c r="V309" s="2" t="s">
        <v>1041</v>
      </c>
      <c r="W309" s="7">
        <v>382.96</v>
      </c>
      <c r="X309" s="7">
        <v>552.84</v>
      </c>
      <c r="Y309" s="7">
        <f t="shared" si="54"/>
        <v>552.84</v>
      </c>
      <c r="Z309" s="7" t="str">
        <f t="shared" si="55"/>
        <v>Low</v>
      </c>
      <c r="AA309" s="13">
        <v>0.17599999999999999</v>
      </c>
      <c r="AB309" s="13">
        <f t="shared" si="56"/>
        <v>0.17599999999999999</v>
      </c>
      <c r="AC309" s="13" t="str">
        <f t="shared" si="57"/>
        <v>OK</v>
      </c>
      <c r="AD309" s="7">
        <v>8</v>
      </c>
      <c r="AE309" s="7">
        <f>Y309*AD309*(1-AB309)</f>
        <v>3644.3212800000006</v>
      </c>
      <c r="AF309" s="7">
        <f>W309*AD309</f>
        <v>3063.68</v>
      </c>
      <c r="AG309" s="7">
        <f t="shared" si="58"/>
        <v>580.64128000000073</v>
      </c>
      <c r="AH309" s="13">
        <f t="shared" si="59"/>
        <v>0.15932768693763483</v>
      </c>
    </row>
    <row r="310" spans="1:34" x14ac:dyDescent="0.35">
      <c r="A310" s="2" t="s">
        <v>322</v>
      </c>
      <c r="B310" s="5">
        <v>45679</v>
      </c>
      <c r="C310" s="5">
        <f>IF(H310&lt;B310,H310,B310)</f>
        <v>45679</v>
      </c>
      <c r="D310" s="5" t="str">
        <f t="shared" si="48"/>
        <v>Jan-2025</v>
      </c>
      <c r="E310" s="5" t="str">
        <f t="shared" si="49"/>
        <v>Jan</v>
      </c>
      <c r="F310" s="5" t="str">
        <f t="shared" si="50"/>
        <v>2025</v>
      </c>
      <c r="G310" s="5" t="str">
        <f t="shared" si="51"/>
        <v>Q1-2025</v>
      </c>
      <c r="H310" s="5">
        <v>45692</v>
      </c>
      <c r="I310" s="5">
        <f>IF(H310&lt;B310, B310+7, H310)</f>
        <v>45692</v>
      </c>
      <c r="J310" s="5" t="str">
        <f>IF(H310&lt;B310, "Invalid","Okay")</f>
        <v>Okay</v>
      </c>
      <c r="K310" s="16">
        <f>I310-C310</f>
        <v>13</v>
      </c>
      <c r="L310" s="16" t="str">
        <f t="shared" si="52"/>
        <v>Target Not Met</v>
      </c>
      <c r="M310" s="2" t="s">
        <v>647</v>
      </c>
      <c r="N310" s="2" t="s">
        <v>652</v>
      </c>
      <c r="O310" s="2" t="s">
        <v>689</v>
      </c>
      <c r="P310" s="29" t="str">
        <f t="shared" si="53"/>
        <v>Asia→Japan→Tokyo</v>
      </c>
      <c r="Q310" s="2" t="s">
        <v>705</v>
      </c>
      <c r="R310" s="2" t="s">
        <v>710</v>
      </c>
      <c r="S310" s="2" t="s">
        <v>716</v>
      </c>
      <c r="T310" s="2" t="s">
        <v>728</v>
      </c>
      <c r="U310" t="e">
        <f>(AE310/#REF!)*100</f>
        <v>#REF!</v>
      </c>
      <c r="V310" s="2" t="s">
        <v>1042</v>
      </c>
      <c r="W310" s="7">
        <v>122.29</v>
      </c>
      <c r="X310" s="7">
        <v>224.95</v>
      </c>
      <c r="Y310" s="7">
        <f t="shared" si="54"/>
        <v>224.95</v>
      </c>
      <c r="Z310" s="7" t="str">
        <f t="shared" si="55"/>
        <v>Low</v>
      </c>
      <c r="AA310" s="13">
        <v>0.153</v>
      </c>
      <c r="AB310" s="13">
        <f t="shared" si="56"/>
        <v>0.153</v>
      </c>
      <c r="AC310" s="13" t="str">
        <f t="shared" si="57"/>
        <v>OK</v>
      </c>
      <c r="AD310" s="7">
        <v>28</v>
      </c>
      <c r="AE310" s="7">
        <f>Y310*AD310*(1-AB310)</f>
        <v>5334.9141999999993</v>
      </c>
      <c r="AF310" s="7">
        <f>W310*AD310</f>
        <v>3424.1200000000003</v>
      </c>
      <c r="AG310" s="7">
        <f t="shared" si="58"/>
        <v>1910.7941999999989</v>
      </c>
      <c r="AH310" s="13">
        <f t="shared" si="59"/>
        <v>0.3581677471026618</v>
      </c>
    </row>
    <row r="311" spans="1:34" x14ac:dyDescent="0.35">
      <c r="A311" s="2" t="s">
        <v>323</v>
      </c>
      <c r="B311" s="5">
        <v>44936</v>
      </c>
      <c r="C311" s="5">
        <f>IF(H311&lt;B311,H311,B311)</f>
        <v>44936</v>
      </c>
      <c r="D311" s="5" t="str">
        <f t="shared" si="48"/>
        <v>Jan-2023</v>
      </c>
      <c r="E311" s="5" t="str">
        <f t="shared" si="49"/>
        <v>Jan</v>
      </c>
      <c r="F311" s="5" t="str">
        <f t="shared" si="50"/>
        <v>2023</v>
      </c>
      <c r="G311" s="5" t="str">
        <f t="shared" si="51"/>
        <v>Q1-2023</v>
      </c>
      <c r="H311" s="5">
        <v>44955</v>
      </c>
      <c r="I311" s="5">
        <f>IF(H311&lt;B311, B311+7, H311)</f>
        <v>44955</v>
      </c>
      <c r="J311" s="5" t="str">
        <f>IF(H311&lt;B311, "Invalid","Okay")</f>
        <v>Okay</v>
      </c>
      <c r="K311" s="16">
        <f>I311-C311</f>
        <v>19</v>
      </c>
      <c r="L311" s="16" t="str">
        <f t="shared" si="52"/>
        <v>Target Not Met</v>
      </c>
      <c r="M311" s="2" t="s">
        <v>649</v>
      </c>
      <c r="N311" s="2" t="s">
        <v>657</v>
      </c>
      <c r="O311" s="2" t="s">
        <v>679</v>
      </c>
      <c r="P311" s="29" t="str">
        <f t="shared" si="53"/>
        <v>Europe→France→Lyon</v>
      </c>
      <c r="Q311" s="2" t="s">
        <v>703</v>
      </c>
      <c r="R311" s="2" t="s">
        <v>711</v>
      </c>
      <c r="S311" s="2" t="s">
        <v>726</v>
      </c>
      <c r="T311" s="2" t="s">
        <v>731</v>
      </c>
      <c r="U311" t="e">
        <f>(AE311/#REF!)*100</f>
        <v>#REF!</v>
      </c>
      <c r="V311" s="2" t="s">
        <v>1043</v>
      </c>
      <c r="W311" s="7">
        <v>401.66</v>
      </c>
      <c r="X311" s="7">
        <v>772.09</v>
      </c>
      <c r="Y311" s="7">
        <f t="shared" si="54"/>
        <v>772.09</v>
      </c>
      <c r="Z311" s="7" t="str">
        <f t="shared" si="55"/>
        <v>Low</v>
      </c>
      <c r="AA311" s="13">
        <v>8.8999999999999996E-2</v>
      </c>
      <c r="AB311" s="13">
        <f t="shared" si="56"/>
        <v>8.8999999999999996E-2</v>
      </c>
      <c r="AC311" s="13" t="str">
        <f t="shared" si="57"/>
        <v>OK</v>
      </c>
      <c r="AD311" s="7">
        <v>14</v>
      </c>
      <c r="AE311" s="7">
        <f>Y311*AD311*(1-AB311)</f>
        <v>9847.2358600000007</v>
      </c>
      <c r="AF311" s="7">
        <f>W311*AD311</f>
        <v>5623.2400000000007</v>
      </c>
      <c r="AG311" s="7">
        <f t="shared" si="58"/>
        <v>4223.99586</v>
      </c>
      <c r="AH311" s="13">
        <f t="shared" si="59"/>
        <v>0.42895244107619046</v>
      </c>
    </row>
    <row r="312" spans="1:34" x14ac:dyDescent="0.35">
      <c r="A312" s="2" t="s">
        <v>324</v>
      </c>
      <c r="B312" s="5">
        <v>45655</v>
      </c>
      <c r="C312" s="5">
        <f>IF(H312&lt;B312,H312,B312)</f>
        <v>45655</v>
      </c>
      <c r="D312" s="5" t="str">
        <f t="shared" si="48"/>
        <v>Dec-2024</v>
      </c>
      <c r="E312" s="5" t="str">
        <f t="shared" si="49"/>
        <v>Dec</v>
      </c>
      <c r="F312" s="5" t="str">
        <f t="shared" si="50"/>
        <v>2024</v>
      </c>
      <c r="G312" s="5" t="str">
        <f t="shared" si="51"/>
        <v>Q4-2024</v>
      </c>
      <c r="H312" s="5">
        <v>45669</v>
      </c>
      <c r="I312" s="5">
        <f>IF(H312&lt;B312, B312+7, H312)</f>
        <v>45669</v>
      </c>
      <c r="J312" s="5" t="str">
        <f>IF(H312&lt;B312, "Invalid","Okay")</f>
        <v>Okay</v>
      </c>
      <c r="K312" s="16">
        <f>I312-C312</f>
        <v>14</v>
      </c>
      <c r="L312" s="16" t="str">
        <f t="shared" si="52"/>
        <v>Target Not Met</v>
      </c>
      <c r="M312" s="2" t="s">
        <v>649</v>
      </c>
      <c r="N312" s="2" t="s">
        <v>658</v>
      </c>
      <c r="O312" s="2" t="s">
        <v>693</v>
      </c>
      <c r="P312" s="29" t="str">
        <f t="shared" si="53"/>
        <v>Europe→United Kingdom→Manchester</v>
      </c>
      <c r="Q312" s="2" t="s">
        <v>701</v>
      </c>
      <c r="R312" s="2" t="s">
        <v>711</v>
      </c>
      <c r="S312" s="2" t="s">
        <v>717</v>
      </c>
      <c r="T312" s="2" t="s">
        <v>732</v>
      </c>
      <c r="U312" t="e">
        <f>(AE312/#REF!)*100</f>
        <v>#REF!</v>
      </c>
      <c r="V312" s="2" t="s">
        <v>1044</v>
      </c>
      <c r="W312" s="7">
        <v>1399.72</v>
      </c>
      <c r="X312" s="7">
        <v>3149.21</v>
      </c>
      <c r="Y312" s="7">
        <f t="shared" si="54"/>
        <v>3149.21</v>
      </c>
      <c r="Z312" s="7" t="str">
        <f t="shared" si="55"/>
        <v>High</v>
      </c>
      <c r="AA312" s="13">
        <v>0.185</v>
      </c>
      <c r="AB312" s="13">
        <f t="shared" si="56"/>
        <v>0.185</v>
      </c>
      <c r="AC312" s="13" t="str">
        <f t="shared" si="57"/>
        <v>OK</v>
      </c>
      <c r="AD312" s="7">
        <v>12</v>
      </c>
      <c r="AE312" s="7">
        <f>Y312*AD312*(1-AB312)</f>
        <v>30799.273800000003</v>
      </c>
      <c r="AF312" s="7">
        <f>W312*AD312</f>
        <v>16796.64</v>
      </c>
      <c r="AG312" s="7">
        <f t="shared" si="58"/>
        <v>14002.633800000003</v>
      </c>
      <c r="AH312" s="13">
        <f t="shared" si="59"/>
        <v>0.45464168703873797</v>
      </c>
    </row>
    <row r="313" spans="1:34" x14ac:dyDescent="0.35">
      <c r="A313" s="2" t="s">
        <v>325</v>
      </c>
      <c r="B313" s="5">
        <v>45435</v>
      </c>
      <c r="C313" s="5">
        <f>IF(H313&lt;B313,H313,B313)</f>
        <v>45435</v>
      </c>
      <c r="D313" s="5" t="str">
        <f t="shared" si="48"/>
        <v>May-2024</v>
      </c>
      <c r="E313" s="5" t="str">
        <f t="shared" si="49"/>
        <v>May</v>
      </c>
      <c r="F313" s="5" t="str">
        <f t="shared" si="50"/>
        <v>2024</v>
      </c>
      <c r="G313" s="5" t="str">
        <f t="shared" si="51"/>
        <v>Q2-2024</v>
      </c>
      <c r="H313" s="5">
        <v>45449</v>
      </c>
      <c r="I313" s="5">
        <f>IF(H313&lt;B313, B313+7, H313)</f>
        <v>45449</v>
      </c>
      <c r="J313" s="5" t="str">
        <f>IF(H313&lt;B313, "Invalid","Okay")</f>
        <v>Okay</v>
      </c>
      <c r="K313" s="16">
        <f>I313-C313</f>
        <v>14</v>
      </c>
      <c r="L313" s="16" t="str">
        <f t="shared" si="52"/>
        <v>Target Not Met</v>
      </c>
      <c r="M313" s="2" t="s">
        <v>648</v>
      </c>
      <c r="N313" s="2" t="s">
        <v>655</v>
      </c>
      <c r="O313" s="2" t="s">
        <v>692</v>
      </c>
      <c r="P313" s="29" t="str">
        <f t="shared" si="53"/>
        <v>Americas→Brazil→Rio de Janeiro</v>
      </c>
      <c r="Q313" s="2" t="s">
        <v>703</v>
      </c>
      <c r="R313" s="2" t="s">
        <v>708</v>
      </c>
      <c r="S313" s="2" t="s">
        <v>714</v>
      </c>
      <c r="T313" s="2" t="s">
        <v>729</v>
      </c>
      <c r="U313" t="e">
        <f>(AE313/#REF!)*100</f>
        <v>#REF!</v>
      </c>
      <c r="V313" s="2" t="s">
        <v>1045</v>
      </c>
      <c r="W313" s="7">
        <v>51.13</v>
      </c>
      <c r="X313" s="7">
        <v>57.53</v>
      </c>
      <c r="Y313" s="7">
        <f t="shared" si="54"/>
        <v>57.53</v>
      </c>
      <c r="Z313" s="7" t="str">
        <f t="shared" si="55"/>
        <v>Low</v>
      </c>
      <c r="AA313" s="13">
        <v>4.4999999999999998E-2</v>
      </c>
      <c r="AB313" s="13">
        <f t="shared" si="56"/>
        <v>4.4999999999999998E-2</v>
      </c>
      <c r="AC313" s="13" t="str">
        <f t="shared" si="57"/>
        <v>OK</v>
      </c>
      <c r="AD313" s="7">
        <v>16</v>
      </c>
      <c r="AE313" s="7">
        <f>Y313*AD313*(1-AB313)</f>
        <v>879.05840000000001</v>
      </c>
      <c r="AF313" s="7">
        <f>W313*AD313</f>
        <v>818.08</v>
      </c>
      <c r="AG313" s="7">
        <f t="shared" si="58"/>
        <v>60.978399999999965</v>
      </c>
      <c r="AH313" s="13">
        <f t="shared" si="59"/>
        <v>6.9367859973808302E-2</v>
      </c>
    </row>
    <row r="314" spans="1:34" x14ac:dyDescent="0.35">
      <c r="A314" s="2" t="s">
        <v>326</v>
      </c>
      <c r="B314" s="5">
        <v>45101</v>
      </c>
      <c r="C314" s="5">
        <f>IF(H314&lt;B314,H314,B314)</f>
        <v>45099</v>
      </c>
      <c r="D314" s="5" t="str">
        <f t="shared" si="48"/>
        <v>Jun-2023</v>
      </c>
      <c r="E314" s="5" t="str">
        <f t="shared" si="49"/>
        <v>Jun</v>
      </c>
      <c r="F314" s="5" t="str">
        <f t="shared" si="50"/>
        <v>2023</v>
      </c>
      <c r="G314" s="5" t="str">
        <f t="shared" si="51"/>
        <v>Q2-2023</v>
      </c>
      <c r="H314" s="5">
        <v>45099</v>
      </c>
      <c r="I314" s="5">
        <f>IF(H314&lt;B314, B314+7, H314)</f>
        <v>45108</v>
      </c>
      <c r="J314" s="5" t="str">
        <f>IF(H314&lt;B314, "Invalid","Okay")</f>
        <v>Invalid</v>
      </c>
      <c r="K314" s="16">
        <f>I314-C314</f>
        <v>9</v>
      </c>
      <c r="L314" s="16" t="str">
        <f t="shared" si="52"/>
        <v>Target Not Met</v>
      </c>
      <c r="M314" s="2" t="s">
        <v>648</v>
      </c>
      <c r="N314" s="2" t="s">
        <v>653</v>
      </c>
      <c r="O314" s="2" t="s">
        <v>667</v>
      </c>
      <c r="P314" s="29" t="str">
        <f t="shared" si="53"/>
        <v>Americas→Canada→Toronto</v>
      </c>
      <c r="Q314" s="2" t="s">
        <v>703</v>
      </c>
      <c r="R314" s="2" t="s">
        <v>707</v>
      </c>
      <c r="S314" s="2" t="s">
        <v>724</v>
      </c>
      <c r="T314" s="2" t="s">
        <v>733</v>
      </c>
      <c r="U314" t="e">
        <f>(AE314/#REF!)*100</f>
        <v>#REF!</v>
      </c>
      <c r="V314" s="2" t="s">
        <v>1046</v>
      </c>
      <c r="W314" s="7">
        <v>471.42</v>
      </c>
      <c r="X314" s="7">
        <v>824.81</v>
      </c>
      <c r="Y314" s="7">
        <f t="shared" si="54"/>
        <v>824.81</v>
      </c>
      <c r="Z314" s="7" t="str">
        <f t="shared" si="55"/>
        <v>Low</v>
      </c>
      <c r="AA314" s="13">
        <v>8.7999999999999995E-2</v>
      </c>
      <c r="AB314" s="13">
        <f t="shared" si="56"/>
        <v>8.7999999999999995E-2</v>
      </c>
      <c r="AC314" s="13" t="str">
        <f t="shared" si="57"/>
        <v>OK</v>
      </c>
      <c r="AD314" s="7">
        <v>15</v>
      </c>
      <c r="AE314" s="7">
        <f>Y314*AD314*(1-AB314)</f>
        <v>11283.400799999999</v>
      </c>
      <c r="AF314" s="7">
        <f>W314*AD314</f>
        <v>7071.3</v>
      </c>
      <c r="AG314" s="7">
        <f t="shared" si="58"/>
        <v>4212.1007999999993</v>
      </c>
      <c r="AH314" s="13">
        <f t="shared" si="59"/>
        <v>0.37330064531608231</v>
      </c>
    </row>
    <row r="315" spans="1:34" x14ac:dyDescent="0.35">
      <c r="A315" s="2" t="s">
        <v>327</v>
      </c>
      <c r="B315" s="5">
        <v>45600</v>
      </c>
      <c r="C315" s="5">
        <f>IF(H315&lt;B315,H315,B315)</f>
        <v>45600</v>
      </c>
      <c r="D315" s="5" t="str">
        <f t="shared" si="48"/>
        <v>Nov-2024</v>
      </c>
      <c r="E315" s="5" t="str">
        <f t="shared" si="49"/>
        <v>Nov</v>
      </c>
      <c r="F315" s="5" t="str">
        <f t="shared" si="50"/>
        <v>2024</v>
      </c>
      <c r="G315" s="5" t="str">
        <f t="shared" si="51"/>
        <v>Q4-2024</v>
      </c>
      <c r="H315" s="5">
        <v>45601</v>
      </c>
      <c r="I315" s="5">
        <f>IF(H315&lt;B315, B315+7, H315)</f>
        <v>45601</v>
      </c>
      <c r="J315" s="5" t="str">
        <f>IF(H315&lt;B315, "Invalid","Okay")</f>
        <v>Okay</v>
      </c>
      <c r="K315" s="16">
        <f>I315-C315</f>
        <v>1</v>
      </c>
      <c r="L315" s="16" t="str">
        <f t="shared" si="52"/>
        <v>Target Met</v>
      </c>
      <c r="M315" s="2" t="s">
        <v>649</v>
      </c>
      <c r="N315" s="2" t="s">
        <v>658</v>
      </c>
      <c r="O315" s="2" t="s">
        <v>683</v>
      </c>
      <c r="P315" s="29" t="str">
        <f t="shared" si="53"/>
        <v>Europe→United Kingdom→London</v>
      </c>
      <c r="Q315" s="2" t="s">
        <v>701</v>
      </c>
      <c r="R315" s="2" t="s">
        <v>707</v>
      </c>
      <c r="S315" s="2" t="s">
        <v>724</v>
      </c>
      <c r="T315" s="2" t="s">
        <v>728</v>
      </c>
      <c r="U315" t="e">
        <f>(AE315/#REF!)*100</f>
        <v>#REF!</v>
      </c>
      <c r="V315" s="2" t="s">
        <v>1047</v>
      </c>
      <c r="W315" s="7">
        <v>840.68</v>
      </c>
      <c r="X315" s="7">
        <v>1493.53</v>
      </c>
      <c r="Y315" s="7">
        <f t="shared" si="54"/>
        <v>1493.53</v>
      </c>
      <c r="Z315" s="7" t="str">
        <f t="shared" si="55"/>
        <v>Medium</v>
      </c>
      <c r="AA315" s="13">
        <v>0</v>
      </c>
      <c r="AB315" s="13">
        <f t="shared" si="56"/>
        <v>0</v>
      </c>
      <c r="AC315" s="13" t="str">
        <f t="shared" si="57"/>
        <v>OK</v>
      </c>
      <c r="AD315" s="7">
        <v>27</v>
      </c>
      <c r="AE315" s="7">
        <f>Y315*AD315*(1-AB315)</f>
        <v>40325.31</v>
      </c>
      <c r="AF315" s="7">
        <f>W315*AD315</f>
        <v>22698.359999999997</v>
      </c>
      <c r="AG315" s="7">
        <f t="shared" si="58"/>
        <v>17626.95</v>
      </c>
      <c r="AH315" s="13">
        <f t="shared" si="59"/>
        <v>0.43711877230454027</v>
      </c>
    </row>
    <row r="316" spans="1:34" x14ac:dyDescent="0.35">
      <c r="A316" s="2" t="s">
        <v>328</v>
      </c>
      <c r="B316" s="5">
        <v>45451</v>
      </c>
      <c r="C316" s="5">
        <f>IF(H316&lt;B316,H316,B316)</f>
        <v>45451</v>
      </c>
      <c r="D316" s="5" t="str">
        <f t="shared" si="48"/>
        <v>Jun-2024</v>
      </c>
      <c r="E316" s="5" t="str">
        <f t="shared" si="49"/>
        <v>Jun</v>
      </c>
      <c r="F316" s="5" t="str">
        <f t="shared" si="50"/>
        <v>2024</v>
      </c>
      <c r="G316" s="5" t="str">
        <f t="shared" si="51"/>
        <v>Q2-2024</v>
      </c>
      <c r="H316" s="5">
        <v>45467</v>
      </c>
      <c r="I316" s="5">
        <f>IF(H316&lt;B316, B316+7, H316)</f>
        <v>45467</v>
      </c>
      <c r="J316" s="5" t="str">
        <f>IF(H316&lt;B316, "Invalid","Okay")</f>
        <v>Okay</v>
      </c>
      <c r="K316" s="16">
        <f>I316-C316</f>
        <v>16</v>
      </c>
      <c r="L316" s="16" t="str">
        <f t="shared" si="52"/>
        <v>Target Not Met</v>
      </c>
      <c r="M316" s="2" t="s">
        <v>646</v>
      </c>
      <c r="N316" s="2" t="s">
        <v>661</v>
      </c>
      <c r="O316" s="2" t="s">
        <v>687</v>
      </c>
      <c r="P316" s="29" t="str">
        <f t="shared" si="53"/>
        <v>Africa→South Africa→Durban</v>
      </c>
      <c r="Q316" s="2" t="s">
        <v>702</v>
      </c>
      <c r="R316" s="2" t="s">
        <v>710</v>
      </c>
      <c r="S316" s="2" t="s">
        <v>722</v>
      </c>
      <c r="T316" s="2" t="s">
        <v>732</v>
      </c>
      <c r="U316" t="e">
        <f>(AE316/#REF!)*100</f>
        <v>#REF!</v>
      </c>
      <c r="V316" s="2" t="s">
        <v>1048</v>
      </c>
      <c r="W316" s="7">
        <v>597.85</v>
      </c>
      <c r="X316" s="7">
        <v>741.92</v>
      </c>
      <c r="Y316" s="7">
        <f t="shared" si="54"/>
        <v>741.92</v>
      </c>
      <c r="Z316" s="7" t="str">
        <f t="shared" si="55"/>
        <v>Low</v>
      </c>
      <c r="AA316" s="13">
        <v>3.1E-2</v>
      </c>
      <c r="AB316" s="13">
        <f t="shared" si="56"/>
        <v>3.1E-2</v>
      </c>
      <c r="AC316" s="13" t="str">
        <f t="shared" si="57"/>
        <v>OK</v>
      </c>
      <c r="AD316" s="7">
        <v>7</v>
      </c>
      <c r="AE316" s="7">
        <f>Y316*AD316*(1-AB316)</f>
        <v>5032.4433599999993</v>
      </c>
      <c r="AF316" s="7">
        <f>W316*AD316</f>
        <v>4184.95</v>
      </c>
      <c r="AG316" s="7">
        <f t="shared" si="58"/>
        <v>847.49335999999948</v>
      </c>
      <c r="AH316" s="13">
        <f t="shared" si="59"/>
        <v>0.16840594108544515</v>
      </c>
    </row>
    <row r="317" spans="1:34" x14ac:dyDescent="0.35">
      <c r="A317" s="2" t="s">
        <v>329</v>
      </c>
      <c r="B317" s="5">
        <v>45809</v>
      </c>
      <c r="C317" s="5">
        <f>IF(H317&lt;B317,H317,B317)</f>
        <v>45809</v>
      </c>
      <c r="D317" s="5" t="str">
        <f t="shared" si="48"/>
        <v>Jun-2025</v>
      </c>
      <c r="E317" s="5" t="str">
        <f t="shared" si="49"/>
        <v>Jun</v>
      </c>
      <c r="F317" s="5" t="str">
        <f t="shared" si="50"/>
        <v>2025</v>
      </c>
      <c r="G317" s="5" t="str">
        <f t="shared" si="51"/>
        <v>Q2-2025</v>
      </c>
      <c r="H317" s="5">
        <v>45814</v>
      </c>
      <c r="I317" s="5">
        <f>IF(H317&lt;B317, B317+7, H317)</f>
        <v>45814</v>
      </c>
      <c r="J317" s="5" t="str">
        <f>IF(H317&lt;B317, "Invalid","Okay")</f>
        <v>Okay</v>
      </c>
      <c r="K317" s="16">
        <f>I317-C317</f>
        <v>5</v>
      </c>
      <c r="L317" s="16" t="str">
        <f t="shared" si="52"/>
        <v>Target Met</v>
      </c>
      <c r="M317" s="2" t="s">
        <v>649</v>
      </c>
      <c r="N317" s="2" t="s">
        <v>657</v>
      </c>
      <c r="O317" s="2" t="s">
        <v>690</v>
      </c>
      <c r="P317" s="29" t="str">
        <f t="shared" si="53"/>
        <v>Europe→France→Paris</v>
      </c>
      <c r="Q317" s="2" t="s">
        <v>704</v>
      </c>
      <c r="R317" s="2" t="s">
        <v>710</v>
      </c>
      <c r="S317" s="2" t="s">
        <v>715</v>
      </c>
      <c r="T317" s="2" t="s">
        <v>727</v>
      </c>
      <c r="U317" t="e">
        <f>(AE317/#REF!)*100</f>
        <v>#REF!</v>
      </c>
      <c r="V317" s="2" t="s">
        <v>1049</v>
      </c>
      <c r="W317" s="7">
        <v>379.45</v>
      </c>
      <c r="X317" s="7">
        <v>742.23</v>
      </c>
      <c r="Y317" s="7">
        <f t="shared" si="54"/>
        <v>742.23</v>
      </c>
      <c r="Z317" s="7" t="str">
        <f t="shared" si="55"/>
        <v>Low</v>
      </c>
      <c r="AA317" s="13">
        <v>0.09</v>
      </c>
      <c r="AB317" s="13">
        <f t="shared" si="56"/>
        <v>0.09</v>
      </c>
      <c r="AC317" s="13" t="str">
        <f t="shared" si="57"/>
        <v>OK</v>
      </c>
      <c r="AD317" s="7">
        <v>13</v>
      </c>
      <c r="AE317" s="7">
        <f>Y317*AD317*(1-AB317)</f>
        <v>8780.5809000000008</v>
      </c>
      <c r="AF317" s="7">
        <f>W317*AD317</f>
        <v>4932.8499999999995</v>
      </c>
      <c r="AG317" s="7">
        <f t="shared" si="58"/>
        <v>3847.7309000000014</v>
      </c>
      <c r="AH317" s="13">
        <f t="shared" si="59"/>
        <v>0.43820915083192286</v>
      </c>
    </row>
    <row r="318" spans="1:34" x14ac:dyDescent="0.35">
      <c r="A318" s="2" t="s">
        <v>330</v>
      </c>
      <c r="B318" s="5">
        <v>45052</v>
      </c>
      <c r="C318" s="5">
        <f>IF(H318&lt;B318,H318,B318)</f>
        <v>45052</v>
      </c>
      <c r="D318" s="5" t="str">
        <f t="shared" si="48"/>
        <v>May-2023</v>
      </c>
      <c r="E318" s="5" t="str">
        <f t="shared" si="49"/>
        <v>May</v>
      </c>
      <c r="F318" s="5" t="str">
        <f t="shared" si="50"/>
        <v>2023</v>
      </c>
      <c r="G318" s="5" t="str">
        <f t="shared" si="51"/>
        <v>Q2-2023</v>
      </c>
      <c r="H318" s="5">
        <v>45060</v>
      </c>
      <c r="I318" s="5">
        <f>IF(H318&lt;B318, B318+7, H318)</f>
        <v>45060</v>
      </c>
      <c r="J318" s="5" t="str">
        <f>IF(H318&lt;B318, "Invalid","Okay")</f>
        <v>Okay</v>
      </c>
      <c r="K318" s="16">
        <f>I318-C318</f>
        <v>8</v>
      </c>
      <c r="L318" s="16" t="str">
        <f t="shared" si="52"/>
        <v>Target Not Met</v>
      </c>
      <c r="M318" s="2" t="s">
        <v>647</v>
      </c>
      <c r="N318" s="2" t="s">
        <v>652</v>
      </c>
      <c r="O318" s="2" t="s">
        <v>666</v>
      </c>
      <c r="P318" s="29" t="str">
        <f t="shared" si="53"/>
        <v>Asia→Japan→Osaka</v>
      </c>
      <c r="Q318" s="2" t="s">
        <v>706</v>
      </c>
      <c r="R318" s="2" t="s">
        <v>709</v>
      </c>
      <c r="S318" s="2" t="s">
        <v>717</v>
      </c>
      <c r="T318" s="2" t="s">
        <v>730</v>
      </c>
      <c r="U318" t="e">
        <f>(AE318/#REF!)*100</f>
        <v>#REF!</v>
      </c>
      <c r="V318" s="2" t="s">
        <v>1050</v>
      </c>
      <c r="W318" s="7">
        <v>291.18</v>
      </c>
      <c r="X318" s="7">
        <v>479.54</v>
      </c>
      <c r="Y318" s="7">
        <f t="shared" si="54"/>
        <v>479.54</v>
      </c>
      <c r="Z318" s="7" t="str">
        <f t="shared" si="55"/>
        <v>Low</v>
      </c>
      <c r="AA318" s="13">
        <v>0.14099999999999999</v>
      </c>
      <c r="AB318" s="13">
        <f t="shared" si="56"/>
        <v>0.14099999999999999</v>
      </c>
      <c r="AC318" s="13" t="str">
        <f t="shared" si="57"/>
        <v>OK</v>
      </c>
      <c r="AD318" s="7">
        <v>22</v>
      </c>
      <c r="AE318" s="7">
        <f>Y318*AD318*(1-AB318)</f>
        <v>9062.34692</v>
      </c>
      <c r="AF318" s="7">
        <f>W318*AD318</f>
        <v>6405.96</v>
      </c>
      <c r="AG318" s="7">
        <f t="shared" si="58"/>
        <v>2656.3869199999999</v>
      </c>
      <c r="AH318" s="13">
        <f t="shared" si="59"/>
        <v>0.29312350801066001</v>
      </c>
    </row>
    <row r="319" spans="1:34" x14ac:dyDescent="0.35">
      <c r="A319" s="2" t="s">
        <v>331</v>
      </c>
      <c r="B319" s="5">
        <v>45244</v>
      </c>
      <c r="C319" s="5">
        <f>IF(H319&lt;B319,H319,B319)</f>
        <v>45244</v>
      </c>
      <c r="D319" s="5" t="str">
        <f t="shared" si="48"/>
        <v>Nov-2023</v>
      </c>
      <c r="E319" s="5" t="str">
        <f t="shared" si="49"/>
        <v>Nov</v>
      </c>
      <c r="F319" s="5" t="str">
        <f t="shared" si="50"/>
        <v>2023</v>
      </c>
      <c r="G319" s="5" t="str">
        <f t="shared" si="51"/>
        <v>Q4-2023</v>
      </c>
      <c r="H319" s="5">
        <v>45260</v>
      </c>
      <c r="I319" s="5">
        <f>IF(H319&lt;B319, B319+7, H319)</f>
        <v>45260</v>
      </c>
      <c r="J319" s="5" t="str">
        <f>IF(H319&lt;B319, "Invalid","Okay")</f>
        <v>Okay</v>
      </c>
      <c r="K319" s="16">
        <f>I319-C319</f>
        <v>16</v>
      </c>
      <c r="L319" s="16" t="str">
        <f t="shared" si="52"/>
        <v>Target Not Met</v>
      </c>
      <c r="M319" s="2" t="s">
        <v>648</v>
      </c>
      <c r="N319" s="2" t="s">
        <v>655</v>
      </c>
      <c r="O319" s="2" t="s">
        <v>670</v>
      </c>
      <c r="P319" s="29" t="str">
        <f t="shared" si="53"/>
        <v>Americas→Brazil→São Paulo</v>
      </c>
      <c r="Q319" s="2" t="s">
        <v>706</v>
      </c>
      <c r="R319" s="2" t="s">
        <v>711</v>
      </c>
      <c r="S319" s="2" t="s">
        <v>723</v>
      </c>
      <c r="T319" s="2" t="s">
        <v>729</v>
      </c>
      <c r="U319" t="e">
        <f>(AE319/#REF!)*100</f>
        <v>#REF!</v>
      </c>
      <c r="V319" s="2" t="s">
        <v>1051</v>
      </c>
      <c r="W319" s="7">
        <v>1017.92</v>
      </c>
      <c r="X319" s="7">
        <v>1175.25</v>
      </c>
      <c r="Y319" s="7">
        <f t="shared" si="54"/>
        <v>1175.25</v>
      </c>
      <c r="Z319" s="7" t="str">
        <f t="shared" si="55"/>
        <v>Low</v>
      </c>
      <c r="AA319" s="13">
        <v>7.4999999999999997E-2</v>
      </c>
      <c r="AB319" s="13">
        <f t="shared" si="56"/>
        <v>7.4999999999999997E-2</v>
      </c>
      <c r="AC319" s="13" t="str">
        <f t="shared" si="57"/>
        <v>OK</v>
      </c>
      <c r="AD319" s="7">
        <v>15</v>
      </c>
      <c r="AE319" s="7">
        <f>Y319*AD319*(1-AB319)</f>
        <v>16306.59375</v>
      </c>
      <c r="AF319" s="7">
        <f>W319*AD319</f>
        <v>15268.8</v>
      </c>
      <c r="AG319" s="7">
        <f t="shared" si="58"/>
        <v>1037.7937500000007</v>
      </c>
      <c r="AH319" s="13">
        <f t="shared" si="59"/>
        <v>6.3642583234159542E-2</v>
      </c>
    </row>
    <row r="320" spans="1:34" x14ac:dyDescent="0.35">
      <c r="A320" s="2" t="s">
        <v>332</v>
      </c>
      <c r="B320" s="5">
        <v>45748</v>
      </c>
      <c r="C320" s="5">
        <f>IF(H320&lt;B320,H320,B320)</f>
        <v>45748</v>
      </c>
      <c r="D320" s="5" t="str">
        <f t="shared" si="48"/>
        <v>Apr-2025</v>
      </c>
      <c r="E320" s="5" t="str">
        <f t="shared" si="49"/>
        <v>Apr</v>
      </c>
      <c r="F320" s="5" t="str">
        <f t="shared" si="50"/>
        <v>2025</v>
      </c>
      <c r="G320" s="5" t="str">
        <f t="shared" si="51"/>
        <v>Q2-2025</v>
      </c>
      <c r="H320" s="5">
        <v>45774</v>
      </c>
      <c r="I320" s="5">
        <f>IF(H320&lt;B320, B320+7, H320)</f>
        <v>45774</v>
      </c>
      <c r="J320" s="5" t="str">
        <f>IF(H320&lt;B320, "Invalid","Okay")</f>
        <v>Okay</v>
      </c>
      <c r="K320" s="16">
        <f>I320-C320</f>
        <v>26</v>
      </c>
      <c r="L320" s="16" t="str">
        <f t="shared" si="52"/>
        <v>Target Not Met</v>
      </c>
      <c r="M320" s="2" t="s">
        <v>648</v>
      </c>
      <c r="N320" s="2" t="s">
        <v>660</v>
      </c>
      <c r="O320" s="2" t="s">
        <v>686</v>
      </c>
      <c r="P320" s="29" t="str">
        <f t="shared" si="53"/>
        <v>Americas→USA→San Francisco</v>
      </c>
      <c r="Q320" s="2" t="s">
        <v>701</v>
      </c>
      <c r="R320" s="2" t="s">
        <v>711</v>
      </c>
      <c r="S320" s="2" t="s">
        <v>714</v>
      </c>
      <c r="T320" s="2" t="s">
        <v>732</v>
      </c>
      <c r="U320" t="e">
        <f>(AE320/#REF!)*100</f>
        <v>#REF!</v>
      </c>
      <c r="V320" s="2" t="s">
        <v>1052</v>
      </c>
      <c r="W320" s="7">
        <v>156.55000000000001</v>
      </c>
      <c r="X320" s="7">
        <v>227.45</v>
      </c>
      <c r="Y320" s="7">
        <f t="shared" si="54"/>
        <v>227.45</v>
      </c>
      <c r="Z320" s="7" t="str">
        <f t="shared" si="55"/>
        <v>Low</v>
      </c>
      <c r="AA320" s="13">
        <v>1.4E-2</v>
      </c>
      <c r="AB320" s="13">
        <f t="shared" si="56"/>
        <v>1.4E-2</v>
      </c>
      <c r="AC320" s="13" t="str">
        <f t="shared" si="57"/>
        <v>OK</v>
      </c>
      <c r="AD320" s="7">
        <v>13</v>
      </c>
      <c r="AE320" s="7">
        <f>Y320*AD320*(1-AB320)</f>
        <v>2915.4540999999999</v>
      </c>
      <c r="AF320" s="7">
        <f>W320*AD320</f>
        <v>2035.15</v>
      </c>
      <c r="AG320" s="7">
        <f t="shared" si="58"/>
        <v>880.30409999999983</v>
      </c>
      <c r="AH320" s="13">
        <f t="shared" si="59"/>
        <v>0.3019440779396938</v>
      </c>
    </row>
    <row r="321" spans="1:34" x14ac:dyDescent="0.35">
      <c r="A321" s="2" t="s">
        <v>333</v>
      </c>
      <c r="B321" s="5">
        <v>45008</v>
      </c>
      <c r="C321" s="5">
        <f>IF(H321&lt;B321,H321,B321)</f>
        <v>45008</v>
      </c>
      <c r="D321" s="5" t="str">
        <f t="shared" si="48"/>
        <v>Mar-2023</v>
      </c>
      <c r="E321" s="5" t="str">
        <f t="shared" si="49"/>
        <v>Mar</v>
      </c>
      <c r="F321" s="5" t="str">
        <f t="shared" si="50"/>
        <v>2023</v>
      </c>
      <c r="G321" s="5" t="str">
        <f t="shared" si="51"/>
        <v>Q1-2023</v>
      </c>
      <c r="H321" s="5">
        <v>45031</v>
      </c>
      <c r="I321" s="5">
        <f>IF(H321&lt;B321, B321+7, H321)</f>
        <v>45031</v>
      </c>
      <c r="J321" s="5" t="str">
        <f>IF(H321&lt;B321, "Invalid","Okay")</f>
        <v>Okay</v>
      </c>
      <c r="K321" s="16">
        <f>I321-C321</f>
        <v>23</v>
      </c>
      <c r="L321" s="16" t="str">
        <f t="shared" si="52"/>
        <v>Target Not Met</v>
      </c>
      <c r="M321" s="2" t="s">
        <v>646</v>
      </c>
      <c r="N321" s="2" t="s">
        <v>650</v>
      </c>
      <c r="O321" s="2" t="s">
        <v>675</v>
      </c>
      <c r="P321" s="29" t="str">
        <f t="shared" si="53"/>
        <v>Africa→Kenya→Mombasa</v>
      </c>
      <c r="Q321" s="2" t="s">
        <v>705</v>
      </c>
      <c r="R321" s="2" t="s">
        <v>707</v>
      </c>
      <c r="S321" s="2" t="s">
        <v>712</v>
      </c>
      <c r="T321" s="2" t="s">
        <v>733</v>
      </c>
      <c r="U321" t="e">
        <f>(AE321/#REF!)*100</f>
        <v>#REF!</v>
      </c>
      <c r="V321" s="2" t="s">
        <v>1053</v>
      </c>
      <c r="W321" s="7">
        <v>875.36</v>
      </c>
      <c r="X321" s="7">
        <v>1178.6199999999999</v>
      </c>
      <c r="Y321" s="7">
        <f t="shared" si="54"/>
        <v>1178.6199999999999</v>
      </c>
      <c r="Z321" s="7" t="str">
        <f t="shared" si="55"/>
        <v>Low</v>
      </c>
      <c r="AA321" s="13">
        <v>0.151</v>
      </c>
      <c r="AB321" s="13">
        <f t="shared" si="56"/>
        <v>0.151</v>
      </c>
      <c r="AC321" s="13" t="str">
        <f t="shared" si="57"/>
        <v>OK</v>
      </c>
      <c r="AD321" s="7">
        <v>53</v>
      </c>
      <c r="AE321" s="7">
        <f>Y321*AD321*(1-AB321)</f>
        <v>53034.364139999991</v>
      </c>
      <c r="AF321" s="7">
        <f>W321*AD321</f>
        <v>46394.080000000002</v>
      </c>
      <c r="AG321" s="7">
        <f t="shared" si="58"/>
        <v>6640.2841399999888</v>
      </c>
      <c r="AH321" s="13">
        <f t="shared" si="59"/>
        <v>0.12520719815685888</v>
      </c>
    </row>
    <row r="322" spans="1:34" x14ac:dyDescent="0.35">
      <c r="A322" s="2" t="s">
        <v>334</v>
      </c>
      <c r="B322" s="5">
        <v>45440</v>
      </c>
      <c r="C322" s="5">
        <f>IF(H322&lt;B322,H322,B322)</f>
        <v>45440</v>
      </c>
      <c r="D322" s="5" t="str">
        <f t="shared" si="48"/>
        <v>May-2024</v>
      </c>
      <c r="E322" s="5" t="str">
        <f t="shared" si="49"/>
        <v>May</v>
      </c>
      <c r="F322" s="5" t="str">
        <f t="shared" si="50"/>
        <v>2024</v>
      </c>
      <c r="G322" s="5" t="str">
        <f t="shared" si="51"/>
        <v>Q2-2024</v>
      </c>
      <c r="H322" s="5">
        <v>45461</v>
      </c>
      <c r="I322" s="5">
        <f>IF(H322&lt;B322, B322+7, H322)</f>
        <v>45461</v>
      </c>
      <c r="J322" s="5" t="str">
        <f>IF(H322&lt;B322, "Invalid","Okay")</f>
        <v>Okay</v>
      </c>
      <c r="K322" s="16">
        <f>I322-C322</f>
        <v>21</v>
      </c>
      <c r="L322" s="16" t="str">
        <f t="shared" si="52"/>
        <v>Target Not Met</v>
      </c>
      <c r="M322" s="2" t="s">
        <v>649</v>
      </c>
      <c r="N322" s="2" t="s">
        <v>656</v>
      </c>
      <c r="O322" s="2" t="s">
        <v>698</v>
      </c>
      <c r="P322" s="29" t="str">
        <f t="shared" si="53"/>
        <v>Europe→Germany→Frankfurt</v>
      </c>
      <c r="Q322" s="2" t="s">
        <v>705</v>
      </c>
      <c r="R322" s="2" t="s">
        <v>708</v>
      </c>
      <c r="S322" s="2" t="s">
        <v>718</v>
      </c>
      <c r="T322" s="2" t="s">
        <v>730</v>
      </c>
      <c r="U322" t="e">
        <f>(AE322/#REF!)*100</f>
        <v>#REF!</v>
      </c>
      <c r="V322" s="2" t="s">
        <v>1054</v>
      </c>
      <c r="W322" s="7">
        <v>986.85</v>
      </c>
      <c r="X322" s="7">
        <v>2422.1</v>
      </c>
      <c r="Y322" s="7">
        <f t="shared" si="54"/>
        <v>2422.1</v>
      </c>
      <c r="Z322" s="7" t="str">
        <f t="shared" si="55"/>
        <v>High</v>
      </c>
      <c r="AA322" s="13">
        <v>7.5999999999999998E-2</v>
      </c>
      <c r="AB322" s="13">
        <f t="shared" si="56"/>
        <v>7.5999999999999998E-2</v>
      </c>
      <c r="AC322" s="13" t="str">
        <f t="shared" si="57"/>
        <v>OK</v>
      </c>
      <c r="AD322" s="7">
        <v>10</v>
      </c>
      <c r="AE322" s="7">
        <f>Y322*AD322*(1-AB322)</f>
        <v>22380.204000000002</v>
      </c>
      <c r="AF322" s="7">
        <f>W322*AD322</f>
        <v>9868.5</v>
      </c>
      <c r="AG322" s="7">
        <f t="shared" si="58"/>
        <v>12511.704000000002</v>
      </c>
      <c r="AH322" s="13">
        <f t="shared" si="59"/>
        <v>0.55905227673527913</v>
      </c>
    </row>
    <row r="323" spans="1:34" x14ac:dyDescent="0.35">
      <c r="A323" s="2" t="s">
        <v>335</v>
      </c>
      <c r="B323" s="5">
        <v>45293</v>
      </c>
      <c r="C323" s="5">
        <f>IF(H323&lt;B323,H323,B323)</f>
        <v>45292</v>
      </c>
      <c r="D323" s="5" t="str">
        <f t="shared" ref="D323:D386" si="60">TEXT(B323,"MMM-YYYY")</f>
        <v>Jan-2024</v>
      </c>
      <c r="E323" s="5" t="str">
        <f t="shared" ref="E323:E386" si="61">TEXT(C323,"MMM")</f>
        <v>Jan</v>
      </c>
      <c r="F323" s="5" t="str">
        <f t="shared" ref="F323:F386" si="62">TEXT(C323,"YYYY")</f>
        <v>2024</v>
      </c>
      <c r="G323" s="5" t="str">
        <f t="shared" ref="G323:G386" si="63">IF(MONTH(D323)&lt;=3,"Q1",IF(MONTH(D323)&lt;=6,"Q2",IF(MONTH(D323)&lt;=9,"Q3","Q4")))&amp;"-"&amp;YEAR(C323)</f>
        <v>Q1-2024</v>
      </c>
      <c r="H323" s="5">
        <v>45292</v>
      </c>
      <c r="I323" s="5">
        <f>IF(H323&lt;B323, B323+7, H323)</f>
        <v>45300</v>
      </c>
      <c r="J323" s="5" t="str">
        <f>IF(H323&lt;B323, "Invalid","Okay")</f>
        <v>Invalid</v>
      </c>
      <c r="K323" s="16">
        <f>I323-C323</f>
        <v>8</v>
      </c>
      <c r="L323" s="16" t="str">
        <f t="shared" ref="L323:L386" si="64">IF(K323&lt;=7,"Target Met","Target Not Met")</f>
        <v>Target Not Met</v>
      </c>
      <c r="M323" s="2" t="s">
        <v>648</v>
      </c>
      <c r="N323" s="2" t="s">
        <v>660</v>
      </c>
      <c r="O323" s="2" t="s">
        <v>677</v>
      </c>
      <c r="P323" s="29" t="str">
        <f t="shared" ref="P323:P386" si="65">_xlfn.CONCAT(M323,"→",N323,"→",O323)</f>
        <v>Americas→USA→Chicago</v>
      </c>
      <c r="Q323" s="2" t="s">
        <v>702</v>
      </c>
      <c r="R323" s="2" t="s">
        <v>709</v>
      </c>
      <c r="S323" s="2" t="s">
        <v>717</v>
      </c>
      <c r="T323" s="2" t="s">
        <v>729</v>
      </c>
      <c r="U323" t="e">
        <f>(AE323/#REF!)*100</f>
        <v>#REF!</v>
      </c>
      <c r="V323" s="2" t="s">
        <v>1055</v>
      </c>
      <c r="W323" s="7">
        <v>404.77</v>
      </c>
      <c r="X323" s="7">
        <v>433.88</v>
      </c>
      <c r="Y323" s="7">
        <f t="shared" ref="Y323:Y386" si="66">ABS(X323)</f>
        <v>433.88</v>
      </c>
      <c r="Z323" s="7" t="str">
        <f t="shared" ref="Z323:Z386" si="67">IF(Y323&lt;1193.97,"Low",IF(Y323&lt;1912.05,"Medium","High"))</f>
        <v>Low</v>
      </c>
      <c r="AA323" s="13">
        <v>0.215</v>
      </c>
      <c r="AB323" s="13">
        <f t="shared" ref="AB323:AB386" si="68">IF(AA323&gt;30%,"12.14%", AA323)</f>
        <v>0.215</v>
      </c>
      <c r="AC323" s="13" t="str">
        <f t="shared" ref="AC323:AC386" si="69">IF(AA323&gt;30%, "High", "OK")</f>
        <v>OK</v>
      </c>
      <c r="AD323" s="7">
        <v>22</v>
      </c>
      <c r="AE323" s="7">
        <f>Y323*AD323*(1-AB323)</f>
        <v>7493.1076000000012</v>
      </c>
      <c r="AF323" s="7">
        <f>W323*AD323</f>
        <v>8904.9399999999987</v>
      </c>
      <c r="AG323" s="7">
        <f t="shared" ref="AG323:AG386" si="70">AE323-AF323</f>
        <v>-1411.8323999999975</v>
      </c>
      <c r="AH323" s="13">
        <f t="shared" ref="AH323:AH386" si="71">IF(AE323=0,0,AG323/AE323)</f>
        <v>-0.18841747314558746</v>
      </c>
    </row>
    <row r="324" spans="1:34" x14ac:dyDescent="0.35">
      <c r="A324" s="2" t="s">
        <v>336</v>
      </c>
      <c r="B324" s="5">
        <v>44985</v>
      </c>
      <c r="C324" s="5">
        <f>IF(H324&lt;B324,H324,B324)</f>
        <v>44984</v>
      </c>
      <c r="D324" s="5" t="str">
        <f t="shared" si="60"/>
        <v>Feb-2023</v>
      </c>
      <c r="E324" s="5" t="str">
        <f t="shared" si="61"/>
        <v>Feb</v>
      </c>
      <c r="F324" s="5" t="str">
        <f t="shared" si="62"/>
        <v>2023</v>
      </c>
      <c r="G324" s="5" t="str">
        <f t="shared" si="63"/>
        <v>Q1-2023</v>
      </c>
      <c r="H324" s="5">
        <v>44984</v>
      </c>
      <c r="I324" s="5">
        <f>IF(H324&lt;B324, B324+7, H324)</f>
        <v>44992</v>
      </c>
      <c r="J324" s="5" t="str">
        <f>IF(H324&lt;B324, "Invalid","Okay")</f>
        <v>Invalid</v>
      </c>
      <c r="K324" s="16">
        <f>I324-C324</f>
        <v>8</v>
      </c>
      <c r="L324" s="16" t="str">
        <f t="shared" si="64"/>
        <v>Target Not Met</v>
      </c>
      <c r="M324" s="2" t="s">
        <v>649</v>
      </c>
      <c r="N324" s="2" t="s">
        <v>657</v>
      </c>
      <c r="O324" s="2" t="s">
        <v>673</v>
      </c>
      <c r="P324" s="29" t="str">
        <f t="shared" si="65"/>
        <v>Europe→France→Marseille</v>
      </c>
      <c r="Q324" s="2" t="s">
        <v>701</v>
      </c>
      <c r="R324" s="2" t="s">
        <v>707</v>
      </c>
      <c r="S324" s="2" t="s">
        <v>723</v>
      </c>
      <c r="T324" s="2" t="s">
        <v>729</v>
      </c>
      <c r="U324" t="e">
        <f>(AE324/#REF!)*100</f>
        <v>#REF!</v>
      </c>
      <c r="V324" s="2" t="s">
        <v>1056</v>
      </c>
      <c r="W324" s="7">
        <v>1299.81</v>
      </c>
      <c r="X324" s="7">
        <v>3149.13</v>
      </c>
      <c r="Y324" s="7">
        <f t="shared" si="66"/>
        <v>3149.13</v>
      </c>
      <c r="Z324" s="7" t="str">
        <f t="shared" si="67"/>
        <v>High</v>
      </c>
      <c r="AA324" s="13">
        <v>0.10299999999999999</v>
      </c>
      <c r="AB324" s="13">
        <f t="shared" si="68"/>
        <v>0.10299999999999999</v>
      </c>
      <c r="AC324" s="13" t="str">
        <f t="shared" si="69"/>
        <v>OK</v>
      </c>
      <c r="AD324" s="7">
        <v>14</v>
      </c>
      <c r="AE324" s="7">
        <f>Y324*AD324*(1-AB324)</f>
        <v>39546.774539999999</v>
      </c>
      <c r="AF324" s="7">
        <f>W324*AD324</f>
        <v>18197.34</v>
      </c>
      <c r="AG324" s="7">
        <f t="shared" si="70"/>
        <v>21349.434539999998</v>
      </c>
      <c r="AH324" s="13">
        <f t="shared" si="71"/>
        <v>0.53985273864511729</v>
      </c>
    </row>
    <row r="325" spans="1:34" x14ac:dyDescent="0.35">
      <c r="A325" s="2" t="s">
        <v>337</v>
      </c>
      <c r="B325" s="5">
        <v>45340</v>
      </c>
      <c r="C325" s="5">
        <f>IF(H325&lt;B325,H325,B325)</f>
        <v>45340</v>
      </c>
      <c r="D325" s="5" t="str">
        <f t="shared" si="60"/>
        <v>Feb-2024</v>
      </c>
      <c r="E325" s="5" t="str">
        <f t="shared" si="61"/>
        <v>Feb</v>
      </c>
      <c r="F325" s="5" t="str">
        <f t="shared" si="62"/>
        <v>2024</v>
      </c>
      <c r="G325" s="5" t="str">
        <f t="shared" si="63"/>
        <v>Q1-2024</v>
      </c>
      <c r="H325" s="5">
        <v>45362</v>
      </c>
      <c r="I325" s="5">
        <f>IF(H325&lt;B325, B325+7, H325)</f>
        <v>45362</v>
      </c>
      <c r="J325" s="5" t="str">
        <f>IF(H325&lt;B325, "Invalid","Okay")</f>
        <v>Okay</v>
      </c>
      <c r="K325" s="16">
        <f>I325-C325</f>
        <v>22</v>
      </c>
      <c r="L325" s="16" t="str">
        <f t="shared" si="64"/>
        <v>Target Not Met</v>
      </c>
      <c r="M325" s="2" t="s">
        <v>648</v>
      </c>
      <c r="N325" s="2" t="s">
        <v>655</v>
      </c>
      <c r="O325" s="2" t="s">
        <v>670</v>
      </c>
      <c r="P325" s="29" t="str">
        <f t="shared" si="65"/>
        <v>Americas→Brazil→São Paulo</v>
      </c>
      <c r="Q325" s="2" t="s">
        <v>704</v>
      </c>
      <c r="R325" s="2" t="s">
        <v>708</v>
      </c>
      <c r="S325" s="2" t="s">
        <v>720</v>
      </c>
      <c r="T325" s="2" t="s">
        <v>727</v>
      </c>
      <c r="U325" t="e">
        <f>(AE325/#REF!)*100</f>
        <v>#REF!</v>
      </c>
      <c r="V325" s="2" t="s">
        <v>1057</v>
      </c>
      <c r="W325" s="7">
        <v>80.48</v>
      </c>
      <c r="X325" s="7">
        <v>65.650000000000006</v>
      </c>
      <c r="Y325" s="7">
        <f t="shared" si="66"/>
        <v>65.650000000000006</v>
      </c>
      <c r="Z325" s="7" t="str">
        <f t="shared" si="67"/>
        <v>Low</v>
      </c>
      <c r="AA325" s="13">
        <v>0.17599999999999999</v>
      </c>
      <c r="AB325" s="13">
        <f t="shared" si="68"/>
        <v>0.17599999999999999</v>
      </c>
      <c r="AC325" s="13" t="str">
        <f t="shared" si="69"/>
        <v>OK</v>
      </c>
      <c r="AD325" s="7">
        <v>13</v>
      </c>
      <c r="AE325" s="7">
        <f>Y325*AD325*(1-AB325)</f>
        <v>703.2428000000001</v>
      </c>
      <c r="AF325" s="7">
        <f>W325*AD325</f>
        <v>1046.24</v>
      </c>
      <c r="AG325" s="7">
        <f t="shared" si="70"/>
        <v>-342.99719999999991</v>
      </c>
      <c r="AH325" s="13">
        <f t="shared" si="71"/>
        <v>-0.48773652570634191</v>
      </c>
    </row>
    <row r="326" spans="1:34" x14ac:dyDescent="0.35">
      <c r="A326" s="2" t="s">
        <v>338</v>
      </c>
      <c r="B326" s="5">
        <v>45544</v>
      </c>
      <c r="C326" s="5">
        <f>IF(H326&lt;B326,H326,B326)</f>
        <v>45544</v>
      </c>
      <c r="D326" s="5" t="str">
        <f t="shared" si="60"/>
        <v>Sep-2024</v>
      </c>
      <c r="E326" s="5" t="str">
        <f t="shared" si="61"/>
        <v>Sep</v>
      </c>
      <c r="F326" s="5" t="str">
        <f t="shared" si="62"/>
        <v>2024</v>
      </c>
      <c r="G326" s="5" t="str">
        <f t="shared" si="63"/>
        <v>Q3-2024</v>
      </c>
      <c r="H326" s="5">
        <v>45573</v>
      </c>
      <c r="I326" s="5">
        <f>IF(H326&lt;B326, B326+7, H326)</f>
        <v>45573</v>
      </c>
      <c r="J326" s="5" t="str">
        <f>IF(H326&lt;B326, "Invalid","Okay")</f>
        <v>Okay</v>
      </c>
      <c r="K326" s="16">
        <f>I326-C326</f>
        <v>29</v>
      </c>
      <c r="L326" s="16" t="str">
        <f t="shared" si="64"/>
        <v>Target Not Met</v>
      </c>
      <c r="M326" s="2" t="s">
        <v>648</v>
      </c>
      <c r="N326" s="2" t="s">
        <v>655</v>
      </c>
      <c r="O326" s="2" t="s">
        <v>670</v>
      </c>
      <c r="P326" s="29" t="str">
        <f t="shared" si="65"/>
        <v>Americas→Brazil→São Paulo</v>
      </c>
      <c r="Q326" s="2" t="s">
        <v>702</v>
      </c>
      <c r="R326" s="2" t="s">
        <v>711</v>
      </c>
      <c r="S326" s="2" t="s">
        <v>713</v>
      </c>
      <c r="T326" s="2" t="s">
        <v>727</v>
      </c>
      <c r="U326" t="e">
        <f>(AE326/#REF!)*100</f>
        <v>#REF!</v>
      </c>
      <c r="V326" s="2" t="s">
        <v>1058</v>
      </c>
      <c r="W326" s="7">
        <v>1010.33</v>
      </c>
      <c r="X326" s="7">
        <v>2492.14</v>
      </c>
      <c r="Y326" s="7">
        <f t="shared" si="66"/>
        <v>2492.14</v>
      </c>
      <c r="Z326" s="7" t="str">
        <f t="shared" si="67"/>
        <v>High</v>
      </c>
      <c r="AA326" s="13">
        <v>5.0999999999999997E-2</v>
      </c>
      <c r="AB326" s="13">
        <f t="shared" si="68"/>
        <v>5.0999999999999997E-2</v>
      </c>
      <c r="AC326" s="13" t="str">
        <f t="shared" si="69"/>
        <v>OK</v>
      </c>
      <c r="AD326" s="7">
        <v>11</v>
      </c>
      <c r="AE326" s="7">
        <f>Y326*AD326*(1-AB326)</f>
        <v>26015.449459999996</v>
      </c>
      <c r="AF326" s="7">
        <f>W326*AD326</f>
        <v>11113.630000000001</v>
      </c>
      <c r="AG326" s="7">
        <f t="shared" si="70"/>
        <v>14901.819459999995</v>
      </c>
      <c r="AH326" s="13">
        <f t="shared" si="71"/>
        <v>0.57280653493656752</v>
      </c>
    </row>
    <row r="327" spans="1:34" x14ac:dyDescent="0.35">
      <c r="A327" s="2" t="s">
        <v>339</v>
      </c>
      <c r="B327" s="5">
        <v>45053</v>
      </c>
      <c r="C327" s="5">
        <f>IF(H327&lt;B327,H327,B327)</f>
        <v>45053</v>
      </c>
      <c r="D327" s="5" t="str">
        <f t="shared" si="60"/>
        <v>May-2023</v>
      </c>
      <c r="E327" s="5" t="str">
        <f t="shared" si="61"/>
        <v>May</v>
      </c>
      <c r="F327" s="5" t="str">
        <f t="shared" si="62"/>
        <v>2023</v>
      </c>
      <c r="G327" s="5" t="str">
        <f t="shared" si="63"/>
        <v>Q2-2023</v>
      </c>
      <c r="H327" s="5">
        <v>45075</v>
      </c>
      <c r="I327" s="5">
        <f>IF(H327&lt;B327, B327+7, H327)</f>
        <v>45075</v>
      </c>
      <c r="J327" s="5" t="str">
        <f>IF(H327&lt;B327, "Invalid","Okay")</f>
        <v>Okay</v>
      </c>
      <c r="K327" s="16">
        <f>I327-C327</f>
        <v>22</v>
      </c>
      <c r="L327" s="16" t="str">
        <f t="shared" si="64"/>
        <v>Target Not Met</v>
      </c>
      <c r="M327" s="2" t="s">
        <v>646</v>
      </c>
      <c r="N327" s="2" t="s">
        <v>661</v>
      </c>
      <c r="O327" s="2" t="s">
        <v>687</v>
      </c>
      <c r="P327" s="29" t="str">
        <f t="shared" si="65"/>
        <v>Africa→South Africa→Durban</v>
      </c>
      <c r="Q327" s="2" t="s">
        <v>702</v>
      </c>
      <c r="R327" s="2" t="s">
        <v>710</v>
      </c>
      <c r="S327" s="2" t="s">
        <v>723</v>
      </c>
      <c r="T327" s="2" t="s">
        <v>733</v>
      </c>
      <c r="U327" t="e">
        <f>(AE327/#REF!)*100</f>
        <v>#REF!</v>
      </c>
      <c r="V327" s="2" t="s">
        <v>1059</v>
      </c>
      <c r="W327" s="7">
        <v>653.86</v>
      </c>
      <c r="X327" s="7">
        <v>931.84</v>
      </c>
      <c r="Y327" s="7">
        <f t="shared" si="66"/>
        <v>931.84</v>
      </c>
      <c r="Z327" s="7" t="str">
        <f t="shared" si="67"/>
        <v>Low</v>
      </c>
      <c r="AA327" s="13">
        <v>0.121</v>
      </c>
      <c r="AB327" s="13">
        <f t="shared" si="68"/>
        <v>0.121</v>
      </c>
      <c r="AC327" s="13" t="str">
        <f t="shared" si="69"/>
        <v>OK</v>
      </c>
      <c r="AD327" s="7">
        <v>12</v>
      </c>
      <c r="AE327" s="7">
        <f>Y327*AD327*(1-AB327)</f>
        <v>9829.0483199999999</v>
      </c>
      <c r="AF327" s="7">
        <f>W327*AD327</f>
        <v>7846.32</v>
      </c>
      <c r="AG327" s="7">
        <f t="shared" si="70"/>
        <v>1982.7283200000002</v>
      </c>
      <c r="AH327" s="13">
        <f t="shared" si="71"/>
        <v>0.20172129136506273</v>
      </c>
    </row>
    <row r="328" spans="1:34" x14ac:dyDescent="0.35">
      <c r="A328" s="2" t="s">
        <v>340</v>
      </c>
      <c r="B328" s="5">
        <v>45303</v>
      </c>
      <c r="C328" s="5">
        <f>IF(H328&lt;B328,H328,B328)</f>
        <v>45303</v>
      </c>
      <c r="D328" s="5" t="str">
        <f t="shared" si="60"/>
        <v>Jan-2024</v>
      </c>
      <c r="E328" s="5" t="str">
        <f t="shared" si="61"/>
        <v>Jan</v>
      </c>
      <c r="F328" s="5" t="str">
        <f t="shared" si="62"/>
        <v>2024</v>
      </c>
      <c r="G328" s="5" t="str">
        <f t="shared" si="63"/>
        <v>Q1-2024</v>
      </c>
      <c r="H328" s="5">
        <v>45320</v>
      </c>
      <c r="I328" s="5">
        <f>IF(H328&lt;B328, B328+7, H328)</f>
        <v>45320</v>
      </c>
      <c r="J328" s="5" t="str">
        <f>IF(H328&lt;B328, "Invalid","Okay")</f>
        <v>Okay</v>
      </c>
      <c r="K328" s="16">
        <f>I328-C328</f>
        <v>17</v>
      </c>
      <c r="L328" s="16" t="str">
        <f t="shared" si="64"/>
        <v>Target Not Met</v>
      </c>
      <c r="M328" s="2" t="s">
        <v>647</v>
      </c>
      <c r="N328" s="2" t="s">
        <v>654</v>
      </c>
      <c r="O328" s="2" t="s">
        <v>696</v>
      </c>
      <c r="P328" s="29" t="str">
        <f t="shared" si="65"/>
        <v>Asia→India→Hyderabad</v>
      </c>
      <c r="Q328" s="2" t="s">
        <v>705</v>
      </c>
      <c r="R328" s="2" t="s">
        <v>711</v>
      </c>
      <c r="S328" s="2" t="s">
        <v>717</v>
      </c>
      <c r="T328" s="2" t="s">
        <v>727</v>
      </c>
      <c r="U328" t="e">
        <f>(AE328/#REF!)*100</f>
        <v>#REF!</v>
      </c>
      <c r="V328" s="2" t="s">
        <v>1060</v>
      </c>
      <c r="W328" s="7">
        <v>310.02</v>
      </c>
      <c r="X328" s="7">
        <v>619.51</v>
      </c>
      <c r="Y328" s="7">
        <f t="shared" si="66"/>
        <v>619.51</v>
      </c>
      <c r="Z328" s="7" t="str">
        <f t="shared" si="67"/>
        <v>Low</v>
      </c>
      <c r="AA328" s="13">
        <v>4.2000000000000003E-2</v>
      </c>
      <c r="AB328" s="13">
        <f t="shared" si="68"/>
        <v>4.2000000000000003E-2</v>
      </c>
      <c r="AC328" s="13" t="str">
        <f t="shared" si="69"/>
        <v>OK</v>
      </c>
      <c r="AD328" s="7">
        <v>4</v>
      </c>
      <c r="AE328" s="7">
        <f>Y328*AD328*(1-AB328)</f>
        <v>2373.9623200000001</v>
      </c>
      <c r="AF328" s="7">
        <f>W328*AD328</f>
        <v>1240.08</v>
      </c>
      <c r="AG328" s="7">
        <f t="shared" si="70"/>
        <v>1133.8823200000002</v>
      </c>
      <c r="AH328" s="13">
        <f t="shared" si="71"/>
        <v>0.47763282106347843</v>
      </c>
    </row>
    <row r="329" spans="1:34" x14ac:dyDescent="0.35">
      <c r="A329" s="2" t="s">
        <v>341</v>
      </c>
      <c r="B329" s="5">
        <v>45087</v>
      </c>
      <c r="C329" s="5">
        <f>IF(H329&lt;B329,H329,B329)</f>
        <v>45087</v>
      </c>
      <c r="D329" s="5" t="str">
        <f t="shared" si="60"/>
        <v>Jun-2023</v>
      </c>
      <c r="E329" s="5" t="str">
        <f t="shared" si="61"/>
        <v>Jun</v>
      </c>
      <c r="F329" s="5" t="str">
        <f t="shared" si="62"/>
        <v>2023</v>
      </c>
      <c r="G329" s="5" t="str">
        <f t="shared" si="63"/>
        <v>Q2-2023</v>
      </c>
      <c r="H329" s="5">
        <v>45095</v>
      </c>
      <c r="I329" s="5">
        <f>IF(H329&lt;B329, B329+7, H329)</f>
        <v>45095</v>
      </c>
      <c r="J329" s="5" t="str">
        <f>IF(H329&lt;B329, "Invalid","Okay")</f>
        <v>Okay</v>
      </c>
      <c r="K329" s="16">
        <f>I329-C329</f>
        <v>8</v>
      </c>
      <c r="L329" s="16" t="str">
        <f t="shared" si="64"/>
        <v>Target Not Met</v>
      </c>
      <c r="M329" s="2" t="s">
        <v>646</v>
      </c>
      <c r="N329" s="2" t="s">
        <v>650</v>
      </c>
      <c r="O329" s="2" t="s">
        <v>678</v>
      </c>
      <c r="P329" s="29" t="str">
        <f t="shared" si="65"/>
        <v>Africa→Kenya→Nakuru</v>
      </c>
      <c r="Q329" s="2" t="s">
        <v>706</v>
      </c>
      <c r="R329" s="2" t="s">
        <v>711</v>
      </c>
      <c r="S329" s="2" t="s">
        <v>722</v>
      </c>
      <c r="T329" s="2" t="s">
        <v>730</v>
      </c>
      <c r="U329" t="e">
        <f>(AE329/#REF!)*100</f>
        <v>#REF!</v>
      </c>
      <c r="V329" s="2" t="s">
        <v>1061</v>
      </c>
      <c r="W329" s="7">
        <v>894.23</v>
      </c>
      <c r="X329" s="7">
        <v>1421.55</v>
      </c>
      <c r="Y329" s="7">
        <f t="shared" si="66"/>
        <v>1421.55</v>
      </c>
      <c r="Z329" s="7" t="str">
        <f t="shared" si="67"/>
        <v>Medium</v>
      </c>
      <c r="AA329" s="13">
        <v>0.109</v>
      </c>
      <c r="AB329" s="13">
        <f t="shared" si="68"/>
        <v>0.109</v>
      </c>
      <c r="AC329" s="13" t="str">
        <f t="shared" si="69"/>
        <v>OK</v>
      </c>
      <c r="AD329" s="7">
        <v>3</v>
      </c>
      <c r="AE329" s="7">
        <f>Y329*AD329*(1-AB329)</f>
        <v>3799.8031499999997</v>
      </c>
      <c r="AF329" s="7">
        <f>W329*AD329</f>
        <v>2682.69</v>
      </c>
      <c r="AG329" s="7">
        <f t="shared" si="70"/>
        <v>1117.1131499999997</v>
      </c>
      <c r="AH329" s="13">
        <f t="shared" si="71"/>
        <v>0.29399237431549574</v>
      </c>
    </row>
    <row r="330" spans="1:34" x14ac:dyDescent="0.35">
      <c r="A330" s="2" t="s">
        <v>342</v>
      </c>
      <c r="B330" s="5">
        <v>45796</v>
      </c>
      <c r="C330" s="5">
        <f>IF(H330&lt;B330,H330,B330)</f>
        <v>45794</v>
      </c>
      <c r="D330" s="5" t="str">
        <f t="shared" si="60"/>
        <v>May-2025</v>
      </c>
      <c r="E330" s="5" t="str">
        <f t="shared" si="61"/>
        <v>May</v>
      </c>
      <c r="F330" s="5" t="str">
        <f t="shared" si="62"/>
        <v>2025</v>
      </c>
      <c r="G330" s="5" t="str">
        <f t="shared" si="63"/>
        <v>Q2-2025</v>
      </c>
      <c r="H330" s="5">
        <v>45794</v>
      </c>
      <c r="I330" s="5">
        <f>IF(H330&lt;B330, B330+7, H330)</f>
        <v>45803</v>
      </c>
      <c r="J330" s="5" t="str">
        <f>IF(H330&lt;B330, "Invalid","Okay")</f>
        <v>Invalid</v>
      </c>
      <c r="K330" s="16">
        <f>I330-C330</f>
        <v>9</v>
      </c>
      <c r="L330" s="16" t="str">
        <f t="shared" si="64"/>
        <v>Target Not Met</v>
      </c>
      <c r="M330" s="2" t="s">
        <v>648</v>
      </c>
      <c r="N330" s="2" t="s">
        <v>655</v>
      </c>
      <c r="O330" s="2" t="s">
        <v>670</v>
      </c>
      <c r="P330" s="29" t="str">
        <f t="shared" si="65"/>
        <v>Americas→Brazil→São Paulo</v>
      </c>
      <c r="Q330" s="2" t="s">
        <v>705</v>
      </c>
      <c r="R330" s="2" t="s">
        <v>710</v>
      </c>
      <c r="S330" s="2" t="s">
        <v>716</v>
      </c>
      <c r="T330" s="2" t="s">
        <v>732</v>
      </c>
      <c r="U330" t="e">
        <f>(AE330/#REF!)*100</f>
        <v>#REF!</v>
      </c>
      <c r="V330" s="2" t="s">
        <v>1062</v>
      </c>
      <c r="W330" s="7">
        <v>383.77</v>
      </c>
      <c r="X330" s="7">
        <v>952.56</v>
      </c>
      <c r="Y330" s="7">
        <f t="shared" si="66"/>
        <v>952.56</v>
      </c>
      <c r="Z330" s="7" t="str">
        <f t="shared" si="67"/>
        <v>Low</v>
      </c>
      <c r="AA330" s="13">
        <v>0.34599999999999997</v>
      </c>
      <c r="AB330" s="13" t="str">
        <f t="shared" si="68"/>
        <v>12.14%</v>
      </c>
      <c r="AC330" s="13" t="str">
        <f t="shared" si="69"/>
        <v>High</v>
      </c>
      <c r="AD330" s="7">
        <v>10</v>
      </c>
      <c r="AE330" s="7">
        <f>Y330*AD330*(1-AB330)</f>
        <v>8369.1921599999987</v>
      </c>
      <c r="AF330" s="7">
        <f>W330*AD330</f>
        <v>3837.7</v>
      </c>
      <c r="AG330" s="7">
        <f t="shared" si="70"/>
        <v>4531.4921599999989</v>
      </c>
      <c r="AH330" s="13">
        <f t="shared" si="71"/>
        <v>0.54144917136183901</v>
      </c>
    </row>
    <row r="331" spans="1:34" x14ac:dyDescent="0.35">
      <c r="A331" s="2" t="s">
        <v>343</v>
      </c>
      <c r="B331" s="5">
        <v>45221</v>
      </c>
      <c r="C331" s="5">
        <f>IF(H331&lt;B331,H331,B331)</f>
        <v>45221</v>
      </c>
      <c r="D331" s="5" t="str">
        <f t="shared" si="60"/>
        <v>Oct-2023</v>
      </c>
      <c r="E331" s="5" t="str">
        <f t="shared" si="61"/>
        <v>Oct</v>
      </c>
      <c r="F331" s="5" t="str">
        <f t="shared" si="62"/>
        <v>2023</v>
      </c>
      <c r="G331" s="5" t="str">
        <f t="shared" si="63"/>
        <v>Q4-2023</v>
      </c>
      <c r="H331" s="5">
        <v>45246</v>
      </c>
      <c r="I331" s="5">
        <f>IF(H331&lt;B331, B331+7, H331)</f>
        <v>45246</v>
      </c>
      <c r="J331" s="5" t="str">
        <f>IF(H331&lt;B331, "Invalid","Okay")</f>
        <v>Okay</v>
      </c>
      <c r="K331" s="16">
        <f>I331-C331</f>
        <v>25</v>
      </c>
      <c r="L331" s="16" t="str">
        <f t="shared" si="64"/>
        <v>Target Not Met</v>
      </c>
      <c r="M331" s="2" t="s">
        <v>648</v>
      </c>
      <c r="N331" s="2" t="s">
        <v>653</v>
      </c>
      <c r="O331" s="2" t="s">
        <v>667</v>
      </c>
      <c r="P331" s="29" t="str">
        <f t="shared" si="65"/>
        <v>Americas→Canada→Toronto</v>
      </c>
      <c r="Q331" s="2" t="s">
        <v>705</v>
      </c>
      <c r="R331" s="2" t="s">
        <v>709</v>
      </c>
      <c r="S331" s="2" t="s">
        <v>714</v>
      </c>
      <c r="T331" s="2" t="s">
        <v>731</v>
      </c>
      <c r="U331" t="e">
        <f>(AE331/#REF!)*100</f>
        <v>#REF!</v>
      </c>
      <c r="V331" s="2" t="s">
        <v>1063</v>
      </c>
      <c r="W331" s="7">
        <v>1373.31</v>
      </c>
      <c r="X331" s="7">
        <v>3154.14</v>
      </c>
      <c r="Y331" s="7">
        <f t="shared" si="66"/>
        <v>3154.14</v>
      </c>
      <c r="Z331" s="7" t="str">
        <f t="shared" si="67"/>
        <v>High</v>
      </c>
      <c r="AA331" s="13">
        <v>0.2</v>
      </c>
      <c r="AB331" s="13">
        <f t="shared" si="68"/>
        <v>0.2</v>
      </c>
      <c r="AC331" s="13" t="str">
        <f t="shared" si="69"/>
        <v>OK</v>
      </c>
      <c r="AD331" s="7">
        <v>11</v>
      </c>
      <c r="AE331" s="7">
        <f>Y331*AD331*(1-AB331)</f>
        <v>27756.432000000001</v>
      </c>
      <c r="AF331" s="7">
        <f>W331*AD331</f>
        <v>15106.41</v>
      </c>
      <c r="AG331" s="7">
        <f t="shared" si="70"/>
        <v>12650.022000000001</v>
      </c>
      <c r="AH331" s="13">
        <f t="shared" si="71"/>
        <v>0.45575101295440279</v>
      </c>
    </row>
    <row r="332" spans="1:34" x14ac:dyDescent="0.35">
      <c r="A332" s="2" t="s">
        <v>344</v>
      </c>
      <c r="B332" s="5">
        <v>45668</v>
      </c>
      <c r="C332" s="5">
        <f>IF(H332&lt;B332,H332,B332)</f>
        <v>45668</v>
      </c>
      <c r="D332" s="5" t="str">
        <f t="shared" si="60"/>
        <v>Jan-2025</v>
      </c>
      <c r="E332" s="5" t="str">
        <f t="shared" si="61"/>
        <v>Jan</v>
      </c>
      <c r="F332" s="5" t="str">
        <f t="shared" si="62"/>
        <v>2025</v>
      </c>
      <c r="G332" s="5" t="str">
        <f t="shared" si="63"/>
        <v>Q1-2025</v>
      </c>
      <c r="H332" s="5">
        <v>45680</v>
      </c>
      <c r="I332" s="5">
        <f>IF(H332&lt;B332, B332+7, H332)</f>
        <v>45680</v>
      </c>
      <c r="J332" s="5" t="str">
        <f>IF(H332&lt;B332, "Invalid","Okay")</f>
        <v>Okay</v>
      </c>
      <c r="K332" s="16">
        <f>I332-C332</f>
        <v>12</v>
      </c>
      <c r="L332" s="16" t="str">
        <f t="shared" si="64"/>
        <v>Target Not Met</v>
      </c>
      <c r="M332" s="2" t="s">
        <v>648</v>
      </c>
      <c r="N332" s="2" t="s">
        <v>660</v>
      </c>
      <c r="O332" s="2" t="s">
        <v>697</v>
      </c>
      <c r="P332" s="29" t="str">
        <f t="shared" si="65"/>
        <v>Americas→USA→Austin</v>
      </c>
      <c r="Q332" s="2" t="s">
        <v>704</v>
      </c>
      <c r="R332" s="2" t="s">
        <v>710</v>
      </c>
      <c r="S332" s="2" t="s">
        <v>722</v>
      </c>
      <c r="T332" s="2" t="s">
        <v>730</v>
      </c>
      <c r="U332" t="e">
        <f>(AE332/#REF!)*100</f>
        <v>#REF!</v>
      </c>
      <c r="V332" s="2" t="s">
        <v>1064</v>
      </c>
      <c r="W332" s="7">
        <v>100.69</v>
      </c>
      <c r="X332" s="7">
        <v>226.14</v>
      </c>
      <c r="Y332" s="7">
        <f t="shared" si="66"/>
        <v>226.14</v>
      </c>
      <c r="Z332" s="7" t="str">
        <f t="shared" si="67"/>
        <v>Low</v>
      </c>
      <c r="AA332" s="13">
        <v>6.5000000000000002E-2</v>
      </c>
      <c r="AB332" s="13">
        <f t="shared" si="68"/>
        <v>6.5000000000000002E-2</v>
      </c>
      <c r="AC332" s="13" t="str">
        <f t="shared" si="69"/>
        <v>OK</v>
      </c>
      <c r="AD332" s="7">
        <v>12</v>
      </c>
      <c r="AE332" s="7">
        <f>Y332*AD332*(1-AB332)</f>
        <v>2537.2908000000002</v>
      </c>
      <c r="AF332" s="7">
        <f>W332*AD332</f>
        <v>1208.28</v>
      </c>
      <c r="AG332" s="7">
        <f t="shared" si="70"/>
        <v>1329.0108000000002</v>
      </c>
      <c r="AH332" s="13">
        <f t="shared" si="71"/>
        <v>0.52379128162999689</v>
      </c>
    </row>
    <row r="333" spans="1:34" x14ac:dyDescent="0.35">
      <c r="A333" s="2" t="s">
        <v>345</v>
      </c>
      <c r="B333" s="5">
        <v>45914</v>
      </c>
      <c r="C333" s="5">
        <f>IF(H333&lt;B333,H333,B333)</f>
        <v>45914</v>
      </c>
      <c r="D333" s="5" t="str">
        <f t="shared" si="60"/>
        <v>Sep-2025</v>
      </c>
      <c r="E333" s="5" t="str">
        <f t="shared" si="61"/>
        <v>Sep</v>
      </c>
      <c r="F333" s="5" t="str">
        <f t="shared" si="62"/>
        <v>2025</v>
      </c>
      <c r="G333" s="5" t="str">
        <f t="shared" si="63"/>
        <v>Q3-2025</v>
      </c>
      <c r="H333" s="5">
        <v>45926</v>
      </c>
      <c r="I333" s="5">
        <f>IF(H333&lt;B333, B333+7, H333)</f>
        <v>45926</v>
      </c>
      <c r="J333" s="5" t="str">
        <f>IF(H333&lt;B333, "Invalid","Okay")</f>
        <v>Okay</v>
      </c>
      <c r="K333" s="16">
        <f>I333-C333</f>
        <v>12</v>
      </c>
      <c r="L333" s="16" t="str">
        <f t="shared" si="64"/>
        <v>Target Not Met</v>
      </c>
      <c r="M333" s="2" t="s">
        <v>649</v>
      </c>
      <c r="N333" s="2" t="s">
        <v>658</v>
      </c>
      <c r="O333" s="2" t="s">
        <v>683</v>
      </c>
      <c r="P333" s="29" t="str">
        <f t="shared" si="65"/>
        <v>Europe→United Kingdom→London</v>
      </c>
      <c r="Q333" s="2" t="s">
        <v>705</v>
      </c>
      <c r="R333" s="2" t="s">
        <v>711</v>
      </c>
      <c r="S333" s="2" t="s">
        <v>725</v>
      </c>
      <c r="T333" s="2" t="s">
        <v>729</v>
      </c>
      <c r="U333" t="e">
        <f>(AE333/#REF!)*100</f>
        <v>#REF!</v>
      </c>
      <c r="V333" s="2" t="s">
        <v>1065</v>
      </c>
      <c r="W333" s="7">
        <v>425.15</v>
      </c>
      <c r="X333" s="7">
        <v>885.92</v>
      </c>
      <c r="Y333" s="7">
        <f t="shared" si="66"/>
        <v>885.92</v>
      </c>
      <c r="Z333" s="7" t="str">
        <f t="shared" si="67"/>
        <v>Low</v>
      </c>
      <c r="AA333" s="13">
        <v>0.23899999999999999</v>
      </c>
      <c r="AB333" s="13">
        <f t="shared" si="68"/>
        <v>0.23899999999999999</v>
      </c>
      <c r="AC333" s="13" t="str">
        <f t="shared" si="69"/>
        <v>OK</v>
      </c>
      <c r="AD333" s="7">
        <v>13</v>
      </c>
      <c r="AE333" s="7">
        <f>Y333*AD333*(1-AB333)</f>
        <v>8764.4065599999994</v>
      </c>
      <c r="AF333" s="7">
        <f>W333*AD333</f>
        <v>5526.95</v>
      </c>
      <c r="AG333" s="7">
        <f t="shared" si="70"/>
        <v>3237.4565599999996</v>
      </c>
      <c r="AH333" s="13">
        <f t="shared" si="71"/>
        <v>0.3693868532725848</v>
      </c>
    </row>
    <row r="334" spans="1:34" x14ac:dyDescent="0.35">
      <c r="A334" s="2" t="s">
        <v>346</v>
      </c>
      <c r="B334" s="5">
        <v>45168</v>
      </c>
      <c r="C334" s="5">
        <f>IF(H334&lt;B334,H334,B334)</f>
        <v>45168</v>
      </c>
      <c r="D334" s="5" t="str">
        <f t="shared" si="60"/>
        <v>Aug-2023</v>
      </c>
      <c r="E334" s="5" t="str">
        <f t="shared" si="61"/>
        <v>Aug</v>
      </c>
      <c r="F334" s="5" t="str">
        <f t="shared" si="62"/>
        <v>2023</v>
      </c>
      <c r="G334" s="5" t="str">
        <f t="shared" si="63"/>
        <v>Q3-2023</v>
      </c>
      <c r="H334" s="5">
        <v>45172</v>
      </c>
      <c r="I334" s="5">
        <f>IF(H334&lt;B334, B334+7, H334)</f>
        <v>45172</v>
      </c>
      <c r="J334" s="5" t="str">
        <f>IF(H334&lt;B334, "Invalid","Okay")</f>
        <v>Okay</v>
      </c>
      <c r="K334" s="16">
        <f>I334-C334</f>
        <v>4</v>
      </c>
      <c r="L334" s="16" t="str">
        <f t="shared" si="64"/>
        <v>Target Met</v>
      </c>
      <c r="M334" s="2" t="s">
        <v>647</v>
      </c>
      <c r="N334" s="2" t="s">
        <v>654</v>
      </c>
      <c r="O334" s="2" t="s">
        <v>680</v>
      </c>
      <c r="P334" s="29" t="str">
        <f t="shared" si="65"/>
        <v>Asia→India→Delhi</v>
      </c>
      <c r="Q334" s="2" t="s">
        <v>705</v>
      </c>
      <c r="R334" s="2" t="s">
        <v>709</v>
      </c>
      <c r="S334" s="2" t="s">
        <v>716</v>
      </c>
      <c r="T334" s="2" t="s">
        <v>733</v>
      </c>
      <c r="U334" t="e">
        <f>(AE334/#REF!)*100</f>
        <v>#REF!</v>
      </c>
      <c r="V334" s="2" t="s">
        <v>1066</v>
      </c>
      <c r="W334" s="7">
        <v>1082.25</v>
      </c>
      <c r="X334" s="7">
        <v>2433.34</v>
      </c>
      <c r="Y334" s="7">
        <f t="shared" si="66"/>
        <v>2433.34</v>
      </c>
      <c r="Z334" s="7" t="str">
        <f t="shared" si="67"/>
        <v>High</v>
      </c>
      <c r="AA334" s="13">
        <v>0.27</v>
      </c>
      <c r="AB334" s="13">
        <f t="shared" si="68"/>
        <v>0.27</v>
      </c>
      <c r="AC334" s="13" t="str">
        <f t="shared" si="69"/>
        <v>OK</v>
      </c>
      <c r="AD334" s="7">
        <v>4</v>
      </c>
      <c r="AE334" s="7">
        <f>Y334*AD334*(1-AB334)</f>
        <v>7105.3528000000006</v>
      </c>
      <c r="AF334" s="7">
        <f>W334*AD334</f>
        <v>4329</v>
      </c>
      <c r="AG334" s="7">
        <f t="shared" si="70"/>
        <v>2776.3528000000006</v>
      </c>
      <c r="AH334" s="13">
        <f t="shared" si="71"/>
        <v>0.3907410199251472</v>
      </c>
    </row>
    <row r="335" spans="1:34" x14ac:dyDescent="0.35">
      <c r="A335" s="2" t="s">
        <v>347</v>
      </c>
      <c r="B335" s="5">
        <v>45245</v>
      </c>
      <c r="C335" s="5">
        <f>IF(H335&lt;B335,H335,B335)</f>
        <v>45245</v>
      </c>
      <c r="D335" s="5" t="str">
        <f t="shared" si="60"/>
        <v>Nov-2023</v>
      </c>
      <c r="E335" s="5" t="str">
        <f t="shared" si="61"/>
        <v>Nov</v>
      </c>
      <c r="F335" s="5" t="str">
        <f t="shared" si="62"/>
        <v>2023</v>
      </c>
      <c r="G335" s="5" t="str">
        <f t="shared" si="63"/>
        <v>Q4-2023</v>
      </c>
      <c r="H335" s="5">
        <v>45266</v>
      </c>
      <c r="I335" s="5">
        <f>IF(H335&lt;B335, B335+7, H335)</f>
        <v>45266</v>
      </c>
      <c r="J335" s="5" t="str">
        <f>IF(H335&lt;B335, "Invalid","Okay")</f>
        <v>Okay</v>
      </c>
      <c r="K335" s="16">
        <f>I335-C335</f>
        <v>21</v>
      </c>
      <c r="L335" s="16" t="str">
        <f t="shared" si="64"/>
        <v>Target Not Met</v>
      </c>
      <c r="M335" s="2" t="s">
        <v>649</v>
      </c>
      <c r="N335" s="2" t="s">
        <v>658</v>
      </c>
      <c r="O335" s="2" t="s">
        <v>693</v>
      </c>
      <c r="P335" s="29" t="str">
        <f t="shared" si="65"/>
        <v>Europe→United Kingdom→Manchester</v>
      </c>
      <c r="Q335" s="2" t="s">
        <v>702</v>
      </c>
      <c r="R335" s="2" t="s">
        <v>711</v>
      </c>
      <c r="S335" s="2" t="s">
        <v>722</v>
      </c>
      <c r="T335" s="2" t="s">
        <v>733</v>
      </c>
      <c r="U335" t="e">
        <f>(AE335/#REF!)*100</f>
        <v>#REF!</v>
      </c>
      <c r="V335" s="2" t="s">
        <v>1067</v>
      </c>
      <c r="W335" s="7">
        <v>1184.99</v>
      </c>
      <c r="X335" s="7">
        <v>1154.3399999999999</v>
      </c>
      <c r="Y335" s="7">
        <f t="shared" si="66"/>
        <v>1154.3399999999999</v>
      </c>
      <c r="Z335" s="7" t="str">
        <f t="shared" si="67"/>
        <v>Low</v>
      </c>
      <c r="AA335" s="13">
        <v>2.8000000000000001E-2</v>
      </c>
      <c r="AB335" s="13">
        <f t="shared" si="68"/>
        <v>2.8000000000000001E-2</v>
      </c>
      <c r="AC335" s="13" t="str">
        <f t="shared" si="69"/>
        <v>OK</v>
      </c>
      <c r="AD335" s="7">
        <v>5</v>
      </c>
      <c r="AE335" s="7">
        <f>Y335*AD335*(1-AB335)</f>
        <v>5610.0923999999995</v>
      </c>
      <c r="AF335" s="7">
        <f>W335*AD335</f>
        <v>5924.95</v>
      </c>
      <c r="AG335" s="7">
        <f t="shared" si="70"/>
        <v>-314.85760000000028</v>
      </c>
      <c r="AH335" s="13">
        <f t="shared" si="71"/>
        <v>-5.6123424990290764E-2</v>
      </c>
    </row>
    <row r="336" spans="1:34" x14ac:dyDescent="0.35">
      <c r="A336" s="2" t="s">
        <v>348</v>
      </c>
      <c r="B336" s="5">
        <v>45774</v>
      </c>
      <c r="C336" s="5">
        <f>IF(H336&lt;B336,H336,B336)</f>
        <v>45774</v>
      </c>
      <c r="D336" s="5" t="str">
        <f t="shared" si="60"/>
        <v>Apr-2025</v>
      </c>
      <c r="E336" s="5" t="str">
        <f t="shared" si="61"/>
        <v>Apr</v>
      </c>
      <c r="F336" s="5" t="str">
        <f t="shared" si="62"/>
        <v>2025</v>
      </c>
      <c r="G336" s="5" t="str">
        <f t="shared" si="63"/>
        <v>Q2-2025</v>
      </c>
      <c r="H336" s="5">
        <v>45804</v>
      </c>
      <c r="I336" s="5">
        <f>IF(H336&lt;B336, B336+7, H336)</f>
        <v>45804</v>
      </c>
      <c r="J336" s="5" t="str">
        <f>IF(H336&lt;B336, "Invalid","Okay")</f>
        <v>Okay</v>
      </c>
      <c r="K336" s="16">
        <f>I336-C336</f>
        <v>30</v>
      </c>
      <c r="L336" s="16" t="str">
        <f t="shared" si="64"/>
        <v>Target Not Met</v>
      </c>
      <c r="M336" s="2" t="s">
        <v>647</v>
      </c>
      <c r="N336" s="2" t="s">
        <v>654</v>
      </c>
      <c r="O336" s="2" t="s">
        <v>1423</v>
      </c>
      <c r="P336" s="29" t="str">
        <f t="shared" si="65"/>
        <v>Asia→India→Unknown</v>
      </c>
      <c r="Q336" s="2" t="s">
        <v>706</v>
      </c>
      <c r="R336" s="2" t="s">
        <v>709</v>
      </c>
      <c r="S336" s="2" t="s">
        <v>722</v>
      </c>
      <c r="T336" s="2" t="s">
        <v>730</v>
      </c>
      <c r="U336" t="e">
        <f>(AE336/#REF!)*100</f>
        <v>#REF!</v>
      </c>
      <c r="V336" s="2" t="s">
        <v>1068</v>
      </c>
      <c r="W336" s="7">
        <v>481.32</v>
      </c>
      <c r="X336" s="7">
        <v>1135.99</v>
      </c>
      <c r="Y336" s="7">
        <f t="shared" si="66"/>
        <v>1135.99</v>
      </c>
      <c r="Z336" s="7" t="str">
        <f t="shared" si="67"/>
        <v>Low</v>
      </c>
      <c r="AA336" s="13">
        <v>0.14499999999999999</v>
      </c>
      <c r="AB336" s="13">
        <f t="shared" si="68"/>
        <v>0.14499999999999999</v>
      </c>
      <c r="AC336" s="13" t="str">
        <f t="shared" si="69"/>
        <v>OK</v>
      </c>
      <c r="AD336" s="7">
        <v>5</v>
      </c>
      <c r="AE336" s="7">
        <f>Y336*AD336*(1-AB336)</f>
        <v>4856.35725</v>
      </c>
      <c r="AF336" s="7">
        <f>W336*AD336</f>
        <v>2406.6</v>
      </c>
      <c r="AG336" s="7">
        <f t="shared" si="70"/>
        <v>2449.7572500000001</v>
      </c>
      <c r="AH336" s="13">
        <f t="shared" si="71"/>
        <v>0.50444337677175621</v>
      </c>
    </row>
    <row r="337" spans="1:34" x14ac:dyDescent="0.35">
      <c r="A337" s="2" t="s">
        <v>349</v>
      </c>
      <c r="B337" s="5">
        <v>45391</v>
      </c>
      <c r="C337" s="5">
        <f>IF(H337&lt;B337,H337,B337)</f>
        <v>45391</v>
      </c>
      <c r="D337" s="5" t="str">
        <f t="shared" si="60"/>
        <v>Apr-2024</v>
      </c>
      <c r="E337" s="5" t="str">
        <f t="shared" si="61"/>
        <v>Apr</v>
      </c>
      <c r="F337" s="5" t="str">
        <f t="shared" si="62"/>
        <v>2024</v>
      </c>
      <c r="G337" s="5" t="str">
        <f t="shared" si="63"/>
        <v>Q2-2024</v>
      </c>
      <c r="H337" s="5">
        <v>45400</v>
      </c>
      <c r="I337" s="5">
        <f>IF(H337&lt;B337, B337+7, H337)</f>
        <v>45400</v>
      </c>
      <c r="J337" s="5" t="str">
        <f>IF(H337&lt;B337, "Invalid","Okay")</f>
        <v>Okay</v>
      </c>
      <c r="K337" s="16">
        <f>I337-C337</f>
        <v>9</v>
      </c>
      <c r="L337" s="16" t="str">
        <f t="shared" si="64"/>
        <v>Target Not Met</v>
      </c>
      <c r="M337" s="2" t="s">
        <v>649</v>
      </c>
      <c r="N337" s="2" t="s">
        <v>657</v>
      </c>
      <c r="O337" s="2" t="s">
        <v>679</v>
      </c>
      <c r="P337" s="29" t="str">
        <f t="shared" si="65"/>
        <v>Europe→France→Lyon</v>
      </c>
      <c r="Q337" s="2" t="s">
        <v>704</v>
      </c>
      <c r="R337" s="2" t="s">
        <v>708</v>
      </c>
      <c r="S337" s="2" t="s">
        <v>718</v>
      </c>
      <c r="T337" s="2" t="s">
        <v>728</v>
      </c>
      <c r="U337" t="e">
        <f>(AE337/#REF!)*100</f>
        <v>#REF!</v>
      </c>
      <c r="V337" s="2" t="s">
        <v>1069</v>
      </c>
      <c r="W337" s="7">
        <v>1288.8499999999999</v>
      </c>
      <c r="X337" s="7">
        <v>2751.84</v>
      </c>
      <c r="Y337" s="7">
        <f t="shared" si="66"/>
        <v>2751.84</v>
      </c>
      <c r="Z337" s="7" t="str">
        <f t="shared" si="67"/>
        <v>High</v>
      </c>
      <c r="AA337" s="13">
        <v>0.158</v>
      </c>
      <c r="AB337" s="13">
        <f t="shared" si="68"/>
        <v>0.158</v>
      </c>
      <c r="AC337" s="13" t="str">
        <f t="shared" si="69"/>
        <v>OK</v>
      </c>
      <c r="AD337" s="7">
        <v>7</v>
      </c>
      <c r="AE337" s="7">
        <f>Y337*AD337*(1-AB337)</f>
        <v>16219.34496</v>
      </c>
      <c r="AF337" s="7">
        <f>W337*AD337</f>
        <v>9021.9499999999989</v>
      </c>
      <c r="AG337" s="7">
        <f t="shared" si="70"/>
        <v>7197.3949600000014</v>
      </c>
      <c r="AH337" s="13">
        <f t="shared" si="71"/>
        <v>0.44375373837538756</v>
      </c>
    </row>
    <row r="338" spans="1:34" x14ac:dyDescent="0.35">
      <c r="A338" s="2" t="s">
        <v>350</v>
      </c>
      <c r="B338" s="5">
        <v>45484</v>
      </c>
      <c r="C338" s="5">
        <f>IF(H338&lt;B338,H338,B338)</f>
        <v>45484</v>
      </c>
      <c r="D338" s="5" t="str">
        <f t="shared" si="60"/>
        <v>Jul-2024</v>
      </c>
      <c r="E338" s="5" t="str">
        <f t="shared" si="61"/>
        <v>Jul</v>
      </c>
      <c r="F338" s="5" t="str">
        <f t="shared" si="62"/>
        <v>2024</v>
      </c>
      <c r="G338" s="5" t="str">
        <f t="shared" si="63"/>
        <v>Q3-2024</v>
      </c>
      <c r="H338" s="5">
        <v>45504</v>
      </c>
      <c r="I338" s="5">
        <f>IF(H338&lt;B338, B338+7, H338)</f>
        <v>45504</v>
      </c>
      <c r="J338" s="5" t="str">
        <f>IF(H338&lt;B338, "Invalid","Okay")</f>
        <v>Okay</v>
      </c>
      <c r="K338" s="16">
        <f>I338-C338</f>
        <v>20</v>
      </c>
      <c r="L338" s="16" t="str">
        <f t="shared" si="64"/>
        <v>Target Not Met</v>
      </c>
      <c r="M338" s="2" t="s">
        <v>647</v>
      </c>
      <c r="N338" s="2" t="s">
        <v>659</v>
      </c>
      <c r="O338" s="2" t="s">
        <v>676</v>
      </c>
      <c r="P338" s="29" t="str">
        <f t="shared" si="65"/>
        <v>Asia→China→Shenzhen</v>
      </c>
      <c r="Q338" s="2" t="s">
        <v>704</v>
      </c>
      <c r="R338" s="2" t="s">
        <v>708</v>
      </c>
      <c r="S338" s="2" t="s">
        <v>715</v>
      </c>
      <c r="T338" s="2" t="s">
        <v>730</v>
      </c>
      <c r="U338" t="e">
        <f>(AE338/#REF!)*100</f>
        <v>#REF!</v>
      </c>
      <c r="V338" s="2" t="s">
        <v>1070</v>
      </c>
      <c r="W338" s="7">
        <v>647.26</v>
      </c>
      <c r="X338" s="7">
        <v>1374.72</v>
      </c>
      <c r="Y338" s="7">
        <f t="shared" si="66"/>
        <v>1374.72</v>
      </c>
      <c r="Z338" s="7" t="str">
        <f t="shared" si="67"/>
        <v>Medium</v>
      </c>
      <c r="AA338" s="13">
        <v>6.6000000000000003E-2</v>
      </c>
      <c r="AB338" s="13">
        <f t="shared" si="68"/>
        <v>6.6000000000000003E-2</v>
      </c>
      <c r="AC338" s="13" t="str">
        <f t="shared" si="69"/>
        <v>OK</v>
      </c>
      <c r="AD338" s="7">
        <v>22</v>
      </c>
      <c r="AE338" s="7">
        <f>Y338*AD338*(1-AB338)</f>
        <v>28247.74656</v>
      </c>
      <c r="AF338" s="7">
        <f>W338*AD338</f>
        <v>14239.72</v>
      </c>
      <c r="AG338" s="7">
        <f t="shared" si="70"/>
        <v>14008.02656</v>
      </c>
      <c r="AH338" s="13">
        <f t="shared" si="71"/>
        <v>0.49589890401508901</v>
      </c>
    </row>
    <row r="339" spans="1:34" x14ac:dyDescent="0.35">
      <c r="A339" s="2" t="s">
        <v>351</v>
      </c>
      <c r="B339" s="5">
        <v>45340</v>
      </c>
      <c r="C339" s="5">
        <f>IF(H339&lt;B339,H339,B339)</f>
        <v>45340</v>
      </c>
      <c r="D339" s="5" t="str">
        <f t="shared" si="60"/>
        <v>Feb-2024</v>
      </c>
      <c r="E339" s="5" t="str">
        <f t="shared" si="61"/>
        <v>Feb</v>
      </c>
      <c r="F339" s="5" t="str">
        <f t="shared" si="62"/>
        <v>2024</v>
      </c>
      <c r="G339" s="5" t="str">
        <f t="shared" si="63"/>
        <v>Q1-2024</v>
      </c>
      <c r="H339" s="5">
        <v>45354</v>
      </c>
      <c r="I339" s="5">
        <f>IF(H339&lt;B339, B339+7, H339)</f>
        <v>45354</v>
      </c>
      <c r="J339" s="5" t="str">
        <f>IF(H339&lt;B339, "Invalid","Okay")</f>
        <v>Okay</v>
      </c>
      <c r="K339" s="16">
        <f>I339-C339</f>
        <v>14</v>
      </c>
      <c r="L339" s="16" t="str">
        <f t="shared" si="64"/>
        <v>Target Not Met</v>
      </c>
      <c r="M339" s="2" t="s">
        <v>648</v>
      </c>
      <c r="N339" s="2" t="s">
        <v>655</v>
      </c>
      <c r="O339" s="2" t="s">
        <v>1423</v>
      </c>
      <c r="P339" s="29" t="str">
        <f t="shared" si="65"/>
        <v>Americas→Brazil→Unknown</v>
      </c>
      <c r="Q339" s="2" t="s">
        <v>706</v>
      </c>
      <c r="R339" s="2" t="s">
        <v>710</v>
      </c>
      <c r="S339" s="2" t="s">
        <v>720</v>
      </c>
      <c r="T339" s="2" t="s">
        <v>728</v>
      </c>
      <c r="U339" t="e">
        <f>(AE339/#REF!)*100</f>
        <v>#REF!</v>
      </c>
      <c r="V339" s="2" t="s">
        <v>1071</v>
      </c>
      <c r="W339" s="7">
        <v>624.23</v>
      </c>
      <c r="X339" s="7">
        <v>1318.37</v>
      </c>
      <c r="Y339" s="7">
        <f t="shared" si="66"/>
        <v>1318.37</v>
      </c>
      <c r="Z339" s="7" t="str">
        <f t="shared" si="67"/>
        <v>Medium</v>
      </c>
      <c r="AA339" s="13">
        <v>0.21</v>
      </c>
      <c r="AB339" s="13">
        <f t="shared" si="68"/>
        <v>0.21</v>
      </c>
      <c r="AC339" s="13" t="str">
        <f t="shared" si="69"/>
        <v>OK</v>
      </c>
      <c r="AD339" s="7">
        <v>37</v>
      </c>
      <c r="AE339" s="7">
        <f>Y339*AD339*(1-AB339)</f>
        <v>38535.955099999999</v>
      </c>
      <c r="AF339" s="7">
        <f>W339*AD339</f>
        <v>23096.510000000002</v>
      </c>
      <c r="AG339" s="7">
        <f t="shared" si="70"/>
        <v>15439.445099999997</v>
      </c>
      <c r="AH339" s="13">
        <f t="shared" si="71"/>
        <v>0.40065038118128793</v>
      </c>
    </row>
    <row r="340" spans="1:34" x14ac:dyDescent="0.35">
      <c r="A340" s="2" t="s">
        <v>352</v>
      </c>
      <c r="B340" s="5">
        <v>45132</v>
      </c>
      <c r="C340" s="5">
        <f>IF(H340&lt;B340,H340,B340)</f>
        <v>45132</v>
      </c>
      <c r="D340" s="5" t="str">
        <f t="shared" si="60"/>
        <v>Jul-2023</v>
      </c>
      <c r="E340" s="5" t="str">
        <f t="shared" si="61"/>
        <v>Jul</v>
      </c>
      <c r="F340" s="5" t="str">
        <f t="shared" si="62"/>
        <v>2023</v>
      </c>
      <c r="G340" s="5" t="str">
        <f t="shared" si="63"/>
        <v>Q3-2023</v>
      </c>
      <c r="H340" s="5">
        <v>45148</v>
      </c>
      <c r="I340" s="5">
        <f>IF(H340&lt;B340, B340+7, H340)</f>
        <v>45148</v>
      </c>
      <c r="J340" s="5" t="str">
        <f>IF(H340&lt;B340, "Invalid","Okay")</f>
        <v>Okay</v>
      </c>
      <c r="K340" s="16">
        <f>I340-C340</f>
        <v>16</v>
      </c>
      <c r="L340" s="16" t="str">
        <f t="shared" si="64"/>
        <v>Target Not Met</v>
      </c>
      <c r="M340" s="2" t="s">
        <v>646</v>
      </c>
      <c r="N340" s="2" t="s">
        <v>651</v>
      </c>
      <c r="O340" s="2" t="s">
        <v>663</v>
      </c>
      <c r="P340" s="29" t="str">
        <f t="shared" si="65"/>
        <v>Africa→Nigeria→Port Harcourt</v>
      </c>
      <c r="Q340" s="2" t="s">
        <v>701</v>
      </c>
      <c r="R340" s="2" t="s">
        <v>710</v>
      </c>
      <c r="S340" s="2" t="s">
        <v>714</v>
      </c>
      <c r="T340" s="2" t="s">
        <v>733</v>
      </c>
      <c r="U340" t="e">
        <f>(AE340/#REF!)*100</f>
        <v>#REF!</v>
      </c>
      <c r="V340" s="2" t="s">
        <v>1072</v>
      </c>
      <c r="W340" s="7">
        <v>506.83</v>
      </c>
      <c r="X340" s="7">
        <v>441.74</v>
      </c>
      <c r="Y340" s="7">
        <f t="shared" si="66"/>
        <v>441.74</v>
      </c>
      <c r="Z340" s="7" t="str">
        <f t="shared" si="67"/>
        <v>Low</v>
      </c>
      <c r="AA340" s="13">
        <v>0.24</v>
      </c>
      <c r="AB340" s="13">
        <f t="shared" si="68"/>
        <v>0.24</v>
      </c>
      <c r="AC340" s="13" t="str">
        <f t="shared" si="69"/>
        <v>OK</v>
      </c>
      <c r="AD340" s="7">
        <v>9</v>
      </c>
      <c r="AE340" s="7">
        <f>Y340*AD340*(1-AB340)</f>
        <v>3021.5016000000001</v>
      </c>
      <c r="AF340" s="7">
        <f>W340*AD340</f>
        <v>4561.47</v>
      </c>
      <c r="AG340" s="7">
        <f t="shared" si="70"/>
        <v>-1539.9684000000002</v>
      </c>
      <c r="AH340" s="13">
        <f t="shared" si="71"/>
        <v>-0.50966989393618067</v>
      </c>
    </row>
    <row r="341" spans="1:34" x14ac:dyDescent="0.35">
      <c r="A341" s="2" t="s">
        <v>353</v>
      </c>
      <c r="B341" s="5">
        <v>45121</v>
      </c>
      <c r="C341" s="5">
        <f>IF(H341&lt;B341,H341,B341)</f>
        <v>45121</v>
      </c>
      <c r="D341" s="5" t="str">
        <f t="shared" si="60"/>
        <v>Jul-2023</v>
      </c>
      <c r="E341" s="5" t="str">
        <f t="shared" si="61"/>
        <v>Jul</v>
      </c>
      <c r="F341" s="5" t="str">
        <f t="shared" si="62"/>
        <v>2023</v>
      </c>
      <c r="G341" s="5" t="str">
        <f t="shared" si="63"/>
        <v>Q3-2023</v>
      </c>
      <c r="H341" s="5">
        <v>45128</v>
      </c>
      <c r="I341" s="5">
        <f>IF(H341&lt;B341, B341+7, H341)</f>
        <v>45128</v>
      </c>
      <c r="J341" s="5" t="str">
        <f>IF(H341&lt;B341, "Invalid","Okay")</f>
        <v>Okay</v>
      </c>
      <c r="K341" s="16">
        <f>I341-C341</f>
        <v>7</v>
      </c>
      <c r="L341" s="16" t="str">
        <f t="shared" si="64"/>
        <v>Target Met</v>
      </c>
      <c r="M341" s="2" t="s">
        <v>646</v>
      </c>
      <c r="N341" s="2" t="s">
        <v>661</v>
      </c>
      <c r="O341" s="2" t="s">
        <v>687</v>
      </c>
      <c r="P341" s="29" t="str">
        <f t="shared" si="65"/>
        <v>Africa→South Africa→Durban</v>
      </c>
      <c r="Q341" s="2" t="s">
        <v>706</v>
      </c>
      <c r="R341" s="2" t="s">
        <v>709</v>
      </c>
      <c r="S341" s="2" t="s">
        <v>1423</v>
      </c>
      <c r="T341" s="2" t="s">
        <v>732</v>
      </c>
      <c r="U341" t="e">
        <f>(AE341/#REF!)*100</f>
        <v>#REF!</v>
      </c>
      <c r="V341" s="2" t="s">
        <v>1073</v>
      </c>
      <c r="W341" s="7">
        <v>620.74</v>
      </c>
      <c r="X341" s="7">
        <v>1330.07</v>
      </c>
      <c r="Y341" s="7">
        <f t="shared" si="66"/>
        <v>1330.07</v>
      </c>
      <c r="Z341" s="7" t="str">
        <f t="shared" si="67"/>
        <v>Medium</v>
      </c>
      <c r="AA341" s="13">
        <v>0.29899999999999999</v>
      </c>
      <c r="AB341" s="13">
        <f t="shared" si="68"/>
        <v>0.29899999999999999</v>
      </c>
      <c r="AC341" s="13" t="str">
        <f t="shared" si="69"/>
        <v>OK</v>
      </c>
      <c r="AD341" s="7">
        <v>28</v>
      </c>
      <c r="AE341" s="7">
        <f>Y341*AD341*(1-AB341)</f>
        <v>26106.613960000002</v>
      </c>
      <c r="AF341" s="7">
        <f>W341*AD341</f>
        <v>17380.72</v>
      </c>
      <c r="AG341" s="7">
        <f t="shared" si="70"/>
        <v>8725.8939600000012</v>
      </c>
      <c r="AH341" s="13">
        <f t="shared" si="71"/>
        <v>0.33424073965967516</v>
      </c>
    </row>
    <row r="342" spans="1:34" x14ac:dyDescent="0.35">
      <c r="A342" s="2" t="s">
        <v>354</v>
      </c>
      <c r="B342" s="5">
        <v>45131</v>
      </c>
      <c r="C342" s="5">
        <f>IF(H342&lt;B342,H342,B342)</f>
        <v>45131</v>
      </c>
      <c r="D342" s="5" t="str">
        <f t="shared" si="60"/>
        <v>Jul-2023</v>
      </c>
      <c r="E342" s="5" t="str">
        <f t="shared" si="61"/>
        <v>Jul</v>
      </c>
      <c r="F342" s="5" t="str">
        <f t="shared" si="62"/>
        <v>2023</v>
      </c>
      <c r="G342" s="5" t="str">
        <f t="shared" si="63"/>
        <v>Q3-2023</v>
      </c>
      <c r="H342" s="5">
        <v>45157</v>
      </c>
      <c r="I342" s="5">
        <f>IF(H342&lt;B342, B342+7, H342)</f>
        <v>45157</v>
      </c>
      <c r="J342" s="5" t="str">
        <f>IF(H342&lt;B342, "Invalid","Okay")</f>
        <v>Okay</v>
      </c>
      <c r="K342" s="16">
        <f>I342-C342</f>
        <v>26</v>
      </c>
      <c r="L342" s="16" t="str">
        <f t="shared" si="64"/>
        <v>Target Not Met</v>
      </c>
      <c r="M342" s="2" t="s">
        <v>646</v>
      </c>
      <c r="N342" s="2" t="s">
        <v>650</v>
      </c>
      <c r="O342" s="2" t="s">
        <v>664</v>
      </c>
      <c r="P342" s="29" t="str">
        <f t="shared" si="65"/>
        <v>Africa→Kenya→Nairobi</v>
      </c>
      <c r="Q342" s="2" t="s">
        <v>706</v>
      </c>
      <c r="R342" s="2" t="s">
        <v>710</v>
      </c>
      <c r="S342" s="2" t="s">
        <v>724</v>
      </c>
      <c r="T342" s="2" t="s">
        <v>733</v>
      </c>
      <c r="U342" t="e">
        <f>(AE342/#REF!)*100</f>
        <v>#REF!</v>
      </c>
      <c r="V342" s="2" t="s">
        <v>1074</v>
      </c>
      <c r="W342" s="7">
        <v>661.45</v>
      </c>
      <c r="X342" s="7">
        <v>1634.86</v>
      </c>
      <c r="Y342" s="7">
        <f t="shared" si="66"/>
        <v>1634.86</v>
      </c>
      <c r="Z342" s="7" t="str">
        <f t="shared" si="67"/>
        <v>Medium</v>
      </c>
      <c r="AA342" s="13">
        <v>0.56499999999999995</v>
      </c>
      <c r="AB342" s="13" t="str">
        <f t="shared" si="68"/>
        <v>12.14%</v>
      </c>
      <c r="AC342" s="13" t="str">
        <f t="shared" si="69"/>
        <v>High</v>
      </c>
      <c r="AD342" s="7">
        <v>24</v>
      </c>
      <c r="AE342" s="7">
        <f>Y342*AD342*(1-AB342)</f>
        <v>34473.311904000002</v>
      </c>
      <c r="AF342" s="7">
        <f>W342*AD342</f>
        <v>15874.800000000001</v>
      </c>
      <c r="AG342" s="7">
        <f t="shared" si="70"/>
        <v>18598.511903999999</v>
      </c>
      <c r="AH342" s="13">
        <f t="shared" si="71"/>
        <v>0.53950464509451379</v>
      </c>
    </row>
    <row r="343" spans="1:34" x14ac:dyDescent="0.35">
      <c r="A343" s="2" t="s">
        <v>355</v>
      </c>
      <c r="B343" s="5">
        <v>45029</v>
      </c>
      <c r="C343" s="5">
        <f>IF(H343&lt;B343,H343,B343)</f>
        <v>45027</v>
      </c>
      <c r="D343" s="5" t="str">
        <f t="shared" si="60"/>
        <v>Apr-2023</v>
      </c>
      <c r="E343" s="5" t="str">
        <f t="shared" si="61"/>
        <v>Apr</v>
      </c>
      <c r="F343" s="5" t="str">
        <f t="shared" si="62"/>
        <v>2023</v>
      </c>
      <c r="G343" s="5" t="str">
        <f t="shared" si="63"/>
        <v>Q2-2023</v>
      </c>
      <c r="H343" s="5">
        <v>45027</v>
      </c>
      <c r="I343" s="5">
        <f>IF(H343&lt;B343, B343+7, H343)</f>
        <v>45036</v>
      </c>
      <c r="J343" s="5" t="str">
        <f>IF(H343&lt;B343, "Invalid","Okay")</f>
        <v>Invalid</v>
      </c>
      <c r="K343" s="16">
        <f>I343-C343</f>
        <v>9</v>
      </c>
      <c r="L343" s="16" t="str">
        <f t="shared" si="64"/>
        <v>Target Not Met</v>
      </c>
      <c r="M343" s="2" t="s">
        <v>648</v>
      </c>
      <c r="N343" s="2" t="s">
        <v>660</v>
      </c>
      <c r="O343" s="2" t="s">
        <v>686</v>
      </c>
      <c r="P343" s="29" t="str">
        <f t="shared" si="65"/>
        <v>Americas→USA→San Francisco</v>
      </c>
      <c r="Q343" s="2" t="s">
        <v>702</v>
      </c>
      <c r="R343" s="2" t="s">
        <v>709</v>
      </c>
      <c r="S343" s="2" t="s">
        <v>715</v>
      </c>
      <c r="T343" s="2" t="s">
        <v>729</v>
      </c>
      <c r="U343" t="e">
        <f>(AE343/#REF!)*100</f>
        <v>#REF!</v>
      </c>
      <c r="V343" s="2" t="s">
        <v>1075</v>
      </c>
      <c r="W343" s="7">
        <v>32.1</v>
      </c>
      <c r="X343" s="7">
        <v>70.599999999999994</v>
      </c>
      <c r="Y343" s="7">
        <f t="shared" si="66"/>
        <v>70.599999999999994</v>
      </c>
      <c r="Z343" s="7" t="str">
        <f t="shared" si="67"/>
        <v>Low</v>
      </c>
      <c r="AA343" s="13">
        <v>0.28199999999999997</v>
      </c>
      <c r="AB343" s="13">
        <f t="shared" si="68"/>
        <v>0.28199999999999997</v>
      </c>
      <c r="AC343" s="13" t="str">
        <f t="shared" si="69"/>
        <v>OK</v>
      </c>
      <c r="AD343" s="7">
        <v>22</v>
      </c>
      <c r="AE343" s="7">
        <f>Y343*AD343*(1-AB343)</f>
        <v>1115.1975999999997</v>
      </c>
      <c r="AF343" s="7">
        <f>W343*AD343</f>
        <v>706.2</v>
      </c>
      <c r="AG343" s="7">
        <f t="shared" si="70"/>
        <v>408.99759999999969</v>
      </c>
      <c r="AH343" s="13">
        <f t="shared" si="71"/>
        <v>0.36674899587301818</v>
      </c>
    </row>
    <row r="344" spans="1:34" x14ac:dyDescent="0.35">
      <c r="A344" s="2" t="s">
        <v>356</v>
      </c>
      <c r="B344" s="5">
        <v>45594</v>
      </c>
      <c r="C344" s="5">
        <f>IF(H344&lt;B344,H344,B344)</f>
        <v>45594</v>
      </c>
      <c r="D344" s="5" t="str">
        <f t="shared" si="60"/>
        <v>Oct-2024</v>
      </c>
      <c r="E344" s="5" t="str">
        <f t="shared" si="61"/>
        <v>Oct</v>
      </c>
      <c r="F344" s="5" t="str">
        <f t="shared" si="62"/>
        <v>2024</v>
      </c>
      <c r="G344" s="5" t="str">
        <f t="shared" si="63"/>
        <v>Q4-2024</v>
      </c>
      <c r="H344" s="5">
        <v>45600</v>
      </c>
      <c r="I344" s="5">
        <f>IF(H344&lt;B344, B344+7, H344)</f>
        <v>45600</v>
      </c>
      <c r="J344" s="5" t="str">
        <f>IF(H344&lt;B344, "Invalid","Okay")</f>
        <v>Okay</v>
      </c>
      <c r="K344" s="16">
        <f>I344-C344</f>
        <v>6</v>
      </c>
      <c r="L344" s="16" t="str">
        <f t="shared" si="64"/>
        <v>Target Met</v>
      </c>
      <c r="M344" s="2" t="s">
        <v>646</v>
      </c>
      <c r="N344" s="2" t="s">
        <v>650</v>
      </c>
      <c r="O344" s="2" t="s">
        <v>664</v>
      </c>
      <c r="P344" s="29" t="str">
        <f t="shared" si="65"/>
        <v>Africa→Kenya→Nairobi</v>
      </c>
      <c r="Q344" s="2" t="s">
        <v>701</v>
      </c>
      <c r="R344" s="2" t="s">
        <v>710</v>
      </c>
      <c r="S344" s="2" t="s">
        <v>724</v>
      </c>
      <c r="T344" s="2" t="s">
        <v>728</v>
      </c>
      <c r="U344" t="e">
        <f>(AE344/#REF!)*100</f>
        <v>#REF!</v>
      </c>
      <c r="V344" s="2" t="s">
        <v>1076</v>
      </c>
      <c r="W344" s="7">
        <v>805.81</v>
      </c>
      <c r="X344" s="7">
        <v>1823.04</v>
      </c>
      <c r="Y344" s="7">
        <f t="shared" si="66"/>
        <v>1823.04</v>
      </c>
      <c r="Z344" s="7" t="str">
        <f t="shared" si="67"/>
        <v>Medium</v>
      </c>
      <c r="AA344" s="13">
        <v>0</v>
      </c>
      <c r="AB344" s="13">
        <f t="shared" si="68"/>
        <v>0</v>
      </c>
      <c r="AC344" s="13" t="str">
        <f t="shared" si="69"/>
        <v>OK</v>
      </c>
      <c r="AD344" s="7">
        <v>11</v>
      </c>
      <c r="AE344" s="7">
        <f>Y344*AD344*(1-AB344)</f>
        <v>20053.439999999999</v>
      </c>
      <c r="AF344" s="7">
        <f>W344*AD344</f>
        <v>8863.91</v>
      </c>
      <c r="AG344" s="7">
        <f t="shared" si="70"/>
        <v>11189.529999999999</v>
      </c>
      <c r="AH344" s="13">
        <f t="shared" si="71"/>
        <v>0.55798556257679477</v>
      </c>
    </row>
    <row r="345" spans="1:34" x14ac:dyDescent="0.35">
      <c r="A345" s="2" t="s">
        <v>357</v>
      </c>
      <c r="B345" s="5">
        <v>45339</v>
      </c>
      <c r="C345" s="5">
        <f>IF(H345&lt;B345,H345,B345)</f>
        <v>45339</v>
      </c>
      <c r="D345" s="5" t="str">
        <f t="shared" si="60"/>
        <v>Feb-2024</v>
      </c>
      <c r="E345" s="5" t="str">
        <f t="shared" si="61"/>
        <v>Feb</v>
      </c>
      <c r="F345" s="5" t="str">
        <f t="shared" si="62"/>
        <v>2024</v>
      </c>
      <c r="G345" s="5" t="str">
        <f t="shared" si="63"/>
        <v>Q1-2024</v>
      </c>
      <c r="H345" s="5">
        <v>45355</v>
      </c>
      <c r="I345" s="5">
        <f>IF(H345&lt;B345, B345+7, H345)</f>
        <v>45355</v>
      </c>
      <c r="J345" s="5" t="str">
        <f>IF(H345&lt;B345, "Invalid","Okay")</f>
        <v>Okay</v>
      </c>
      <c r="K345" s="16">
        <f>I345-C345</f>
        <v>16</v>
      </c>
      <c r="L345" s="16" t="str">
        <f t="shared" si="64"/>
        <v>Target Not Met</v>
      </c>
      <c r="M345" s="2" t="s">
        <v>647</v>
      </c>
      <c r="N345" s="2" t="s">
        <v>654</v>
      </c>
      <c r="O345" s="2" t="s">
        <v>680</v>
      </c>
      <c r="P345" s="29" t="str">
        <f t="shared" si="65"/>
        <v>Asia→India→Delhi</v>
      </c>
      <c r="Q345" s="2" t="s">
        <v>705</v>
      </c>
      <c r="R345" s="2" t="s">
        <v>709</v>
      </c>
      <c r="S345" s="2" t="s">
        <v>721</v>
      </c>
      <c r="T345" s="2" t="s">
        <v>730</v>
      </c>
      <c r="U345" t="e">
        <f>(AE345/#REF!)*100</f>
        <v>#REF!</v>
      </c>
      <c r="V345" s="2" t="s">
        <v>1077</v>
      </c>
      <c r="W345" s="7">
        <v>1231.8</v>
      </c>
      <c r="X345" s="7">
        <v>2015.99</v>
      </c>
      <c r="Y345" s="7">
        <f t="shared" si="66"/>
        <v>2015.99</v>
      </c>
      <c r="Z345" s="7" t="str">
        <f t="shared" si="67"/>
        <v>High</v>
      </c>
      <c r="AA345" s="13">
        <v>0.26100000000000001</v>
      </c>
      <c r="AB345" s="13">
        <f t="shared" si="68"/>
        <v>0.26100000000000001</v>
      </c>
      <c r="AC345" s="13" t="str">
        <f t="shared" si="69"/>
        <v>OK</v>
      </c>
      <c r="AD345" s="7">
        <v>6</v>
      </c>
      <c r="AE345" s="7">
        <f>Y345*AD345*(1-AB345)</f>
        <v>8938.8996600000009</v>
      </c>
      <c r="AF345" s="7">
        <f>W345*AD345</f>
        <v>7390.7999999999993</v>
      </c>
      <c r="AG345" s="7">
        <f t="shared" si="70"/>
        <v>1548.0996600000017</v>
      </c>
      <c r="AH345" s="13">
        <f t="shared" si="71"/>
        <v>0.17318682599464391</v>
      </c>
    </row>
    <row r="346" spans="1:34" x14ac:dyDescent="0.35">
      <c r="A346" s="2" t="s">
        <v>358</v>
      </c>
      <c r="B346" s="5">
        <v>45486</v>
      </c>
      <c r="C346" s="5">
        <f>IF(H346&lt;B346,H346,B346)</f>
        <v>45485</v>
      </c>
      <c r="D346" s="5" t="str">
        <f t="shared" si="60"/>
        <v>Jul-2024</v>
      </c>
      <c r="E346" s="5" t="str">
        <f t="shared" si="61"/>
        <v>Jul</v>
      </c>
      <c r="F346" s="5" t="str">
        <f t="shared" si="62"/>
        <v>2024</v>
      </c>
      <c r="G346" s="5" t="str">
        <f t="shared" si="63"/>
        <v>Q3-2024</v>
      </c>
      <c r="H346" s="5">
        <v>45485</v>
      </c>
      <c r="I346" s="5">
        <f>IF(H346&lt;B346, B346+7, H346)</f>
        <v>45493</v>
      </c>
      <c r="J346" s="5" t="str">
        <f>IF(H346&lt;B346, "Invalid","Okay")</f>
        <v>Invalid</v>
      </c>
      <c r="K346" s="16">
        <f>I346-C346</f>
        <v>8</v>
      </c>
      <c r="L346" s="16" t="str">
        <f t="shared" si="64"/>
        <v>Target Not Met</v>
      </c>
      <c r="M346" s="2" t="s">
        <v>647</v>
      </c>
      <c r="N346" s="2" t="s">
        <v>652</v>
      </c>
      <c r="O346" s="2" t="s">
        <v>694</v>
      </c>
      <c r="P346" s="29" t="str">
        <f t="shared" si="65"/>
        <v>Asia→Japan→Nagoya</v>
      </c>
      <c r="Q346" s="2" t="s">
        <v>705</v>
      </c>
      <c r="R346" s="2" t="s">
        <v>709</v>
      </c>
      <c r="S346" s="2" t="s">
        <v>721</v>
      </c>
      <c r="T346" s="2" t="s">
        <v>729</v>
      </c>
      <c r="U346" t="e">
        <f>(AE346/#REF!)*100</f>
        <v>#REF!</v>
      </c>
      <c r="V346" s="2" t="s">
        <v>1078</v>
      </c>
      <c r="W346" s="7">
        <v>105.13</v>
      </c>
      <c r="X346" s="7">
        <v>244.13</v>
      </c>
      <c r="Y346" s="7">
        <f t="shared" si="66"/>
        <v>244.13</v>
      </c>
      <c r="Z346" s="7" t="str">
        <f t="shared" si="67"/>
        <v>Low</v>
      </c>
      <c r="AA346" s="13">
        <v>7.0999999999999994E-2</v>
      </c>
      <c r="AB346" s="13">
        <f t="shared" si="68"/>
        <v>7.0999999999999994E-2</v>
      </c>
      <c r="AC346" s="13" t="str">
        <f t="shared" si="69"/>
        <v>OK</v>
      </c>
      <c r="AD346" s="7">
        <v>14</v>
      </c>
      <c r="AE346" s="7">
        <f>Y346*AD346*(1-AB346)</f>
        <v>3175.1547799999998</v>
      </c>
      <c r="AF346" s="7">
        <f>W346*AD346</f>
        <v>1471.82</v>
      </c>
      <c r="AG346" s="7">
        <f t="shared" si="70"/>
        <v>1703.3347799999999</v>
      </c>
      <c r="AH346" s="13">
        <f t="shared" si="71"/>
        <v>0.53645724319618837</v>
      </c>
    </row>
    <row r="347" spans="1:34" x14ac:dyDescent="0.35">
      <c r="A347" s="2" t="s">
        <v>359</v>
      </c>
      <c r="B347" s="5">
        <v>45261</v>
      </c>
      <c r="C347" s="5">
        <f>IF(H347&lt;B347,H347,B347)</f>
        <v>45261</v>
      </c>
      <c r="D347" s="5" t="str">
        <f t="shared" si="60"/>
        <v>Dec-2023</v>
      </c>
      <c r="E347" s="5" t="str">
        <f t="shared" si="61"/>
        <v>Dec</v>
      </c>
      <c r="F347" s="5" t="str">
        <f t="shared" si="62"/>
        <v>2023</v>
      </c>
      <c r="G347" s="5" t="str">
        <f t="shared" si="63"/>
        <v>Q4-2023</v>
      </c>
      <c r="H347" s="5">
        <v>45278</v>
      </c>
      <c r="I347" s="5">
        <f>IF(H347&lt;B347, B347+7, H347)</f>
        <v>45278</v>
      </c>
      <c r="J347" s="5" t="str">
        <f>IF(H347&lt;B347, "Invalid","Okay")</f>
        <v>Okay</v>
      </c>
      <c r="K347" s="16">
        <f>I347-C347</f>
        <v>17</v>
      </c>
      <c r="L347" s="16" t="str">
        <f t="shared" si="64"/>
        <v>Target Not Met</v>
      </c>
      <c r="M347" s="2" t="s">
        <v>647</v>
      </c>
      <c r="N347" s="2" t="s">
        <v>652</v>
      </c>
      <c r="O347" s="2" t="s">
        <v>694</v>
      </c>
      <c r="P347" s="29" t="str">
        <f t="shared" si="65"/>
        <v>Asia→Japan→Nagoya</v>
      </c>
      <c r="Q347" s="2" t="s">
        <v>705</v>
      </c>
      <c r="R347" s="2" t="s">
        <v>711</v>
      </c>
      <c r="S347" s="2" t="s">
        <v>725</v>
      </c>
      <c r="T347" s="2" t="s">
        <v>731</v>
      </c>
      <c r="U347" t="e">
        <f>(AE347/#REF!)*100</f>
        <v>#REF!</v>
      </c>
      <c r="V347" s="2" t="s">
        <v>1079</v>
      </c>
      <c r="W347" s="7">
        <v>1495.79</v>
      </c>
      <c r="X347" s="7">
        <v>2783.12</v>
      </c>
      <c r="Y347" s="7">
        <f t="shared" si="66"/>
        <v>2783.12</v>
      </c>
      <c r="Z347" s="7" t="str">
        <f t="shared" si="67"/>
        <v>High</v>
      </c>
      <c r="AA347" s="13">
        <v>0.02</v>
      </c>
      <c r="AB347" s="13">
        <f t="shared" si="68"/>
        <v>0.02</v>
      </c>
      <c r="AC347" s="13" t="str">
        <f t="shared" si="69"/>
        <v>OK</v>
      </c>
      <c r="AD347" s="7">
        <v>5</v>
      </c>
      <c r="AE347" s="7">
        <f>Y347*AD347*(1-AB347)</f>
        <v>13637.287999999999</v>
      </c>
      <c r="AF347" s="7">
        <f>W347*AD347</f>
        <v>7478.95</v>
      </c>
      <c r="AG347" s="7">
        <f t="shared" si="70"/>
        <v>6158.3379999999988</v>
      </c>
      <c r="AH347" s="13">
        <f t="shared" si="71"/>
        <v>0.45158084217331185</v>
      </c>
    </row>
    <row r="348" spans="1:34" x14ac:dyDescent="0.35">
      <c r="A348" s="2" t="s">
        <v>360</v>
      </c>
      <c r="B348" s="5">
        <v>45498</v>
      </c>
      <c r="C348" s="5">
        <f>IF(H348&lt;B348,H348,B348)</f>
        <v>45498</v>
      </c>
      <c r="D348" s="5" t="str">
        <f t="shared" si="60"/>
        <v>Jul-2024</v>
      </c>
      <c r="E348" s="5" t="str">
        <f t="shared" si="61"/>
        <v>Jul</v>
      </c>
      <c r="F348" s="5" t="str">
        <f t="shared" si="62"/>
        <v>2024</v>
      </c>
      <c r="G348" s="5" t="str">
        <f t="shared" si="63"/>
        <v>Q3-2024</v>
      </c>
      <c r="H348" s="5">
        <v>45506</v>
      </c>
      <c r="I348" s="5">
        <f>IF(H348&lt;B348, B348+7, H348)</f>
        <v>45506</v>
      </c>
      <c r="J348" s="5" t="str">
        <f>IF(H348&lt;B348, "Invalid","Okay")</f>
        <v>Okay</v>
      </c>
      <c r="K348" s="16">
        <f>I348-C348</f>
        <v>8</v>
      </c>
      <c r="L348" s="16" t="str">
        <f t="shared" si="64"/>
        <v>Target Not Met</v>
      </c>
      <c r="M348" s="2" t="s">
        <v>648</v>
      </c>
      <c r="N348" s="2" t="s">
        <v>653</v>
      </c>
      <c r="O348" s="2" t="s">
        <v>681</v>
      </c>
      <c r="P348" s="29" t="str">
        <f t="shared" si="65"/>
        <v>Americas→Canada→Montreal</v>
      </c>
      <c r="Q348" s="2" t="s">
        <v>704</v>
      </c>
      <c r="R348" s="2" t="s">
        <v>711</v>
      </c>
      <c r="S348" s="2" t="s">
        <v>713</v>
      </c>
      <c r="T348" s="2" t="s">
        <v>733</v>
      </c>
      <c r="U348" t="e">
        <f>(AE348/#REF!)*100</f>
        <v>#REF!</v>
      </c>
      <c r="V348" s="2" t="s">
        <v>1080</v>
      </c>
      <c r="W348" s="7">
        <v>986.81</v>
      </c>
      <c r="X348" s="7">
        <v>2050.31</v>
      </c>
      <c r="Y348" s="7">
        <f t="shared" si="66"/>
        <v>2050.31</v>
      </c>
      <c r="Z348" s="7" t="str">
        <f t="shared" si="67"/>
        <v>High</v>
      </c>
      <c r="AA348" s="13">
        <v>0.10299999999999999</v>
      </c>
      <c r="AB348" s="13">
        <f t="shared" si="68"/>
        <v>0.10299999999999999</v>
      </c>
      <c r="AC348" s="13" t="str">
        <f t="shared" si="69"/>
        <v>OK</v>
      </c>
      <c r="AD348" s="7">
        <v>43</v>
      </c>
      <c r="AE348" s="7">
        <f>Y348*AD348*(1-AB348)</f>
        <v>79082.507010000001</v>
      </c>
      <c r="AF348" s="7">
        <f>W348*AD348</f>
        <v>42432.829999999994</v>
      </c>
      <c r="AG348" s="7">
        <f t="shared" si="70"/>
        <v>36649.677010000007</v>
      </c>
      <c r="AH348" s="13">
        <f t="shared" si="71"/>
        <v>0.46343595310358138</v>
      </c>
    </row>
    <row r="349" spans="1:34" x14ac:dyDescent="0.35">
      <c r="A349" s="2" t="s">
        <v>361</v>
      </c>
      <c r="B349" s="5">
        <v>45050</v>
      </c>
      <c r="C349" s="5">
        <f>IF(H349&lt;B349,H349,B349)</f>
        <v>45050</v>
      </c>
      <c r="D349" s="5" t="str">
        <f t="shared" si="60"/>
        <v>May-2023</v>
      </c>
      <c r="E349" s="5" t="str">
        <f t="shared" si="61"/>
        <v>May</v>
      </c>
      <c r="F349" s="5" t="str">
        <f t="shared" si="62"/>
        <v>2023</v>
      </c>
      <c r="G349" s="5" t="str">
        <f t="shared" si="63"/>
        <v>Q2-2023</v>
      </c>
      <c r="H349" s="5">
        <v>45062</v>
      </c>
      <c r="I349" s="5">
        <f>IF(H349&lt;B349, B349+7, H349)</f>
        <v>45062</v>
      </c>
      <c r="J349" s="5" t="str">
        <f>IF(H349&lt;B349, "Invalid","Okay")</f>
        <v>Okay</v>
      </c>
      <c r="K349" s="16">
        <f>I349-C349</f>
        <v>12</v>
      </c>
      <c r="L349" s="16" t="str">
        <f t="shared" si="64"/>
        <v>Target Not Met</v>
      </c>
      <c r="M349" s="2" t="s">
        <v>646</v>
      </c>
      <c r="N349" s="2" t="s">
        <v>651</v>
      </c>
      <c r="O349" s="2" t="s">
        <v>669</v>
      </c>
      <c r="P349" s="29" t="str">
        <f t="shared" si="65"/>
        <v>Africa→Nigeria→Abuja</v>
      </c>
      <c r="Q349" s="2" t="s">
        <v>705</v>
      </c>
      <c r="R349" s="2" t="s">
        <v>709</v>
      </c>
      <c r="S349" s="2" t="s">
        <v>713</v>
      </c>
      <c r="T349" s="2" t="s">
        <v>730</v>
      </c>
      <c r="U349" t="e">
        <f>(AE349/#REF!)*100</f>
        <v>#REF!</v>
      </c>
      <c r="V349" s="2" t="s">
        <v>1081</v>
      </c>
      <c r="W349" s="7">
        <v>77.739999999999995</v>
      </c>
      <c r="X349" s="7">
        <v>147.12</v>
      </c>
      <c r="Y349" s="7">
        <f t="shared" si="66"/>
        <v>147.12</v>
      </c>
      <c r="Z349" s="7" t="str">
        <f t="shared" si="67"/>
        <v>Low</v>
      </c>
      <c r="AA349" s="13">
        <v>0</v>
      </c>
      <c r="AB349" s="13">
        <f t="shared" si="68"/>
        <v>0</v>
      </c>
      <c r="AC349" s="13" t="str">
        <f t="shared" si="69"/>
        <v>OK</v>
      </c>
      <c r="AD349" s="7">
        <v>15</v>
      </c>
      <c r="AE349" s="7">
        <f>Y349*AD349*(1-AB349)</f>
        <v>2206.8000000000002</v>
      </c>
      <c r="AF349" s="7">
        <f>W349*AD349</f>
        <v>1166.0999999999999</v>
      </c>
      <c r="AG349" s="7">
        <f t="shared" si="70"/>
        <v>1040.7000000000003</v>
      </c>
      <c r="AH349" s="13">
        <f t="shared" si="71"/>
        <v>0.47158781946710177</v>
      </c>
    </row>
    <row r="350" spans="1:34" x14ac:dyDescent="0.35">
      <c r="A350" s="2" t="s">
        <v>362</v>
      </c>
      <c r="B350" s="5">
        <v>45281</v>
      </c>
      <c r="C350" s="5">
        <f>IF(H350&lt;B350,H350,B350)</f>
        <v>45281</v>
      </c>
      <c r="D350" s="5" t="str">
        <f t="shared" si="60"/>
        <v>Dec-2023</v>
      </c>
      <c r="E350" s="5" t="str">
        <f t="shared" si="61"/>
        <v>Dec</v>
      </c>
      <c r="F350" s="5" t="str">
        <f t="shared" si="62"/>
        <v>2023</v>
      </c>
      <c r="G350" s="5" t="str">
        <f t="shared" si="63"/>
        <v>Q4-2023</v>
      </c>
      <c r="H350" s="5">
        <v>45297</v>
      </c>
      <c r="I350" s="5">
        <f>IF(H350&lt;B350, B350+7, H350)</f>
        <v>45297</v>
      </c>
      <c r="J350" s="5" t="str">
        <f>IF(H350&lt;B350, "Invalid","Okay")</f>
        <v>Okay</v>
      </c>
      <c r="K350" s="16">
        <f>I350-C350</f>
        <v>16</v>
      </c>
      <c r="L350" s="16" t="str">
        <f t="shared" si="64"/>
        <v>Target Not Met</v>
      </c>
      <c r="M350" s="2" t="s">
        <v>646</v>
      </c>
      <c r="N350" s="2" t="s">
        <v>651</v>
      </c>
      <c r="O350" s="2" t="s">
        <v>1423</v>
      </c>
      <c r="P350" s="29" t="str">
        <f t="shared" si="65"/>
        <v>Africa→Nigeria→Unknown</v>
      </c>
      <c r="Q350" s="2" t="s">
        <v>701</v>
      </c>
      <c r="R350" s="2" t="s">
        <v>709</v>
      </c>
      <c r="S350" s="2" t="s">
        <v>723</v>
      </c>
      <c r="T350" s="2" t="s">
        <v>727</v>
      </c>
      <c r="U350" t="e">
        <f>(AE350/#REF!)*100</f>
        <v>#REF!</v>
      </c>
      <c r="V350" s="2" t="s">
        <v>1082</v>
      </c>
      <c r="W350" s="7">
        <v>932.61</v>
      </c>
      <c r="X350" s="7">
        <v>1982.98</v>
      </c>
      <c r="Y350" s="7">
        <f t="shared" si="66"/>
        <v>1982.98</v>
      </c>
      <c r="Z350" s="7" t="str">
        <f t="shared" si="67"/>
        <v>High</v>
      </c>
      <c r="AA350" s="13">
        <v>0.14399999999999999</v>
      </c>
      <c r="AB350" s="13">
        <f t="shared" si="68"/>
        <v>0.14399999999999999</v>
      </c>
      <c r="AC350" s="13" t="str">
        <f t="shared" si="69"/>
        <v>OK</v>
      </c>
      <c r="AD350" s="7">
        <v>16</v>
      </c>
      <c r="AE350" s="7">
        <f>Y350*AD350*(1-AB350)</f>
        <v>27158.894079999998</v>
      </c>
      <c r="AF350" s="7">
        <f>W350*AD350</f>
        <v>14921.76</v>
      </c>
      <c r="AG350" s="7">
        <f t="shared" si="70"/>
        <v>12237.134079999998</v>
      </c>
      <c r="AH350" s="13">
        <f t="shared" si="71"/>
        <v>0.45057556629345635</v>
      </c>
    </row>
    <row r="351" spans="1:34" x14ac:dyDescent="0.35">
      <c r="A351" s="2" t="s">
        <v>363</v>
      </c>
      <c r="B351" s="5">
        <v>45825</v>
      </c>
      <c r="C351" s="5">
        <f>IF(H351&lt;B351,H351,B351)</f>
        <v>45825</v>
      </c>
      <c r="D351" s="5" t="str">
        <f t="shared" si="60"/>
        <v>Jun-2025</v>
      </c>
      <c r="E351" s="5" t="str">
        <f t="shared" si="61"/>
        <v>Jun</v>
      </c>
      <c r="F351" s="5" t="str">
        <f t="shared" si="62"/>
        <v>2025</v>
      </c>
      <c r="G351" s="5" t="str">
        <f t="shared" si="63"/>
        <v>Q2-2025</v>
      </c>
      <c r="H351" s="5">
        <v>45843</v>
      </c>
      <c r="I351" s="5">
        <f>IF(H351&lt;B351, B351+7, H351)</f>
        <v>45843</v>
      </c>
      <c r="J351" s="5" t="str">
        <f>IF(H351&lt;B351, "Invalid","Okay")</f>
        <v>Okay</v>
      </c>
      <c r="K351" s="16">
        <f>I351-C351</f>
        <v>18</v>
      </c>
      <c r="L351" s="16" t="str">
        <f t="shared" si="64"/>
        <v>Target Not Met</v>
      </c>
      <c r="M351" s="2" t="s">
        <v>647</v>
      </c>
      <c r="N351" s="2" t="s">
        <v>654</v>
      </c>
      <c r="O351" s="2" t="s">
        <v>680</v>
      </c>
      <c r="P351" s="29" t="str">
        <f t="shared" si="65"/>
        <v>Asia→India→Delhi</v>
      </c>
      <c r="Q351" s="2" t="s">
        <v>704</v>
      </c>
      <c r="R351" s="2" t="s">
        <v>709</v>
      </c>
      <c r="S351" s="2" t="s">
        <v>716</v>
      </c>
      <c r="T351" s="2" t="s">
        <v>731</v>
      </c>
      <c r="U351" t="e">
        <f>(AE351/#REF!)*100</f>
        <v>#REF!</v>
      </c>
      <c r="V351" s="2" t="s">
        <v>1083</v>
      </c>
      <c r="W351" s="7">
        <v>982.93</v>
      </c>
      <c r="X351" s="7">
        <v>2299.3000000000002</v>
      </c>
      <c r="Y351" s="7">
        <f t="shared" si="66"/>
        <v>2299.3000000000002</v>
      </c>
      <c r="Z351" s="7" t="str">
        <f t="shared" si="67"/>
        <v>High</v>
      </c>
      <c r="AA351" s="13">
        <v>0.113</v>
      </c>
      <c r="AB351" s="13">
        <f t="shared" si="68"/>
        <v>0.113</v>
      </c>
      <c r="AC351" s="13" t="str">
        <f t="shared" si="69"/>
        <v>OK</v>
      </c>
      <c r="AD351" s="7">
        <v>6</v>
      </c>
      <c r="AE351" s="7">
        <f>Y351*AD351*(1-AB351)</f>
        <v>12236.874600000001</v>
      </c>
      <c r="AF351" s="7">
        <f>W351*AD351</f>
        <v>5897.58</v>
      </c>
      <c r="AG351" s="7">
        <f t="shared" si="70"/>
        <v>6339.2946000000011</v>
      </c>
      <c r="AH351" s="13">
        <f t="shared" si="71"/>
        <v>0.51804850562087157</v>
      </c>
    </row>
    <row r="352" spans="1:34" x14ac:dyDescent="0.35">
      <c r="A352" s="2" t="s">
        <v>364</v>
      </c>
      <c r="B352" s="5">
        <v>44980</v>
      </c>
      <c r="C352" s="5">
        <f>IF(H352&lt;B352,H352,B352)</f>
        <v>44980</v>
      </c>
      <c r="D352" s="5" t="str">
        <f t="shared" si="60"/>
        <v>Feb-2023</v>
      </c>
      <c r="E352" s="5" t="str">
        <f t="shared" si="61"/>
        <v>Feb</v>
      </c>
      <c r="F352" s="5" t="str">
        <f t="shared" si="62"/>
        <v>2023</v>
      </c>
      <c r="G352" s="5" t="str">
        <f t="shared" si="63"/>
        <v>Q1-2023</v>
      </c>
      <c r="H352" s="5">
        <v>44993</v>
      </c>
      <c r="I352" s="5">
        <f>IF(H352&lt;B352, B352+7, H352)</f>
        <v>44993</v>
      </c>
      <c r="J352" s="5" t="str">
        <f>IF(H352&lt;B352, "Invalid","Okay")</f>
        <v>Okay</v>
      </c>
      <c r="K352" s="16">
        <f>I352-C352</f>
        <v>13</v>
      </c>
      <c r="L352" s="16" t="str">
        <f t="shared" si="64"/>
        <v>Target Not Met</v>
      </c>
      <c r="M352" s="2" t="s">
        <v>649</v>
      </c>
      <c r="N352" s="2" t="s">
        <v>658</v>
      </c>
      <c r="O352" s="2" t="s">
        <v>693</v>
      </c>
      <c r="P352" s="29" t="str">
        <f t="shared" si="65"/>
        <v>Europe→United Kingdom→Manchester</v>
      </c>
      <c r="Q352" s="2" t="s">
        <v>705</v>
      </c>
      <c r="R352" s="2" t="s">
        <v>711</v>
      </c>
      <c r="S352" s="2" t="s">
        <v>712</v>
      </c>
      <c r="T352" s="2" t="s">
        <v>728</v>
      </c>
      <c r="U352" t="e">
        <f>(AE352/#REF!)*100</f>
        <v>#REF!</v>
      </c>
      <c r="V352" s="2" t="s">
        <v>1084</v>
      </c>
      <c r="W352" s="7">
        <v>307.37</v>
      </c>
      <c r="X352" s="7">
        <v>462.61</v>
      </c>
      <c r="Y352" s="7">
        <f t="shared" si="66"/>
        <v>462.61</v>
      </c>
      <c r="Z352" s="7" t="str">
        <f t="shared" si="67"/>
        <v>Low</v>
      </c>
      <c r="AA352" s="13">
        <v>0.188</v>
      </c>
      <c r="AB352" s="13">
        <f t="shared" si="68"/>
        <v>0.188</v>
      </c>
      <c r="AC352" s="13" t="str">
        <f t="shared" si="69"/>
        <v>OK</v>
      </c>
      <c r="AD352" s="7">
        <v>11</v>
      </c>
      <c r="AE352" s="7">
        <f>Y352*AD352*(1-AB352)</f>
        <v>4132.0325200000007</v>
      </c>
      <c r="AF352" s="7">
        <f>W352*AD352</f>
        <v>3381.07</v>
      </c>
      <c r="AG352" s="7">
        <f t="shared" si="70"/>
        <v>750.9625200000005</v>
      </c>
      <c r="AH352" s="13">
        <f t="shared" si="71"/>
        <v>0.18174167709599739</v>
      </c>
    </row>
    <row r="353" spans="1:34" x14ac:dyDescent="0.35">
      <c r="A353" s="2" t="s">
        <v>365</v>
      </c>
      <c r="B353" s="5">
        <v>45262</v>
      </c>
      <c r="C353" s="5">
        <f>IF(H353&lt;B353,H353,B353)</f>
        <v>45262</v>
      </c>
      <c r="D353" s="5" t="str">
        <f t="shared" si="60"/>
        <v>Dec-2023</v>
      </c>
      <c r="E353" s="5" t="str">
        <f t="shared" si="61"/>
        <v>Dec</v>
      </c>
      <c r="F353" s="5" t="str">
        <f t="shared" si="62"/>
        <v>2023</v>
      </c>
      <c r="G353" s="5" t="str">
        <f t="shared" si="63"/>
        <v>Q4-2023</v>
      </c>
      <c r="H353" s="5">
        <v>45276</v>
      </c>
      <c r="I353" s="5">
        <f>IF(H353&lt;B353, B353+7, H353)</f>
        <v>45276</v>
      </c>
      <c r="J353" s="5" t="str">
        <f>IF(H353&lt;B353, "Invalid","Okay")</f>
        <v>Okay</v>
      </c>
      <c r="K353" s="16">
        <f>I353-C353</f>
        <v>14</v>
      </c>
      <c r="L353" s="16" t="str">
        <f t="shared" si="64"/>
        <v>Target Not Met</v>
      </c>
      <c r="M353" s="2" t="s">
        <v>649</v>
      </c>
      <c r="N353" s="2" t="s">
        <v>656</v>
      </c>
      <c r="O353" s="2" t="s">
        <v>698</v>
      </c>
      <c r="P353" s="29" t="str">
        <f t="shared" si="65"/>
        <v>Europe→Germany→Frankfurt</v>
      </c>
      <c r="Q353" s="2" t="s">
        <v>702</v>
      </c>
      <c r="R353" s="2" t="s">
        <v>711</v>
      </c>
      <c r="S353" s="2" t="s">
        <v>725</v>
      </c>
      <c r="T353" s="2" t="s">
        <v>732</v>
      </c>
      <c r="U353" t="e">
        <f>(AE353/#REF!)*100</f>
        <v>#REF!</v>
      </c>
      <c r="V353" s="2" t="s">
        <v>1085</v>
      </c>
      <c r="W353" s="7">
        <v>879.08</v>
      </c>
      <c r="X353" s="7">
        <v>1093.3900000000001</v>
      </c>
      <c r="Y353" s="7">
        <f t="shared" si="66"/>
        <v>1093.3900000000001</v>
      </c>
      <c r="Z353" s="7" t="str">
        <f t="shared" si="67"/>
        <v>Low</v>
      </c>
      <c r="AA353" s="13">
        <v>0.113</v>
      </c>
      <c r="AB353" s="13">
        <f t="shared" si="68"/>
        <v>0.113</v>
      </c>
      <c r="AC353" s="13" t="str">
        <f t="shared" si="69"/>
        <v>OK</v>
      </c>
      <c r="AD353" s="7">
        <v>17</v>
      </c>
      <c r="AE353" s="7">
        <f>Y353*AD353*(1-AB353)</f>
        <v>16487.22781</v>
      </c>
      <c r="AF353" s="7">
        <f>W353*AD353</f>
        <v>14944.36</v>
      </c>
      <c r="AG353" s="7">
        <f t="shared" si="70"/>
        <v>1542.8678099999997</v>
      </c>
      <c r="AH353" s="13">
        <f t="shared" si="71"/>
        <v>9.3579577341935186E-2</v>
      </c>
    </row>
    <row r="354" spans="1:34" x14ac:dyDescent="0.35">
      <c r="A354" s="2" t="s">
        <v>366</v>
      </c>
      <c r="B354" s="5">
        <v>45121</v>
      </c>
      <c r="C354" s="5">
        <f>IF(H354&lt;B354,H354,B354)</f>
        <v>45121</v>
      </c>
      <c r="D354" s="5" t="str">
        <f t="shared" si="60"/>
        <v>Jul-2023</v>
      </c>
      <c r="E354" s="5" t="str">
        <f t="shared" si="61"/>
        <v>Jul</v>
      </c>
      <c r="F354" s="5" t="str">
        <f t="shared" si="62"/>
        <v>2023</v>
      </c>
      <c r="G354" s="5" t="str">
        <f t="shared" si="63"/>
        <v>Q3-2023</v>
      </c>
      <c r="H354" s="5">
        <v>45121</v>
      </c>
      <c r="I354" s="5">
        <f>IF(H354&lt;B354, B354+7, H354)</f>
        <v>45121</v>
      </c>
      <c r="J354" s="5" t="str">
        <f>IF(H354&lt;B354, "Invalid","Okay")</f>
        <v>Okay</v>
      </c>
      <c r="K354" s="16">
        <f>I354-C354</f>
        <v>0</v>
      </c>
      <c r="L354" s="16" t="str">
        <f t="shared" si="64"/>
        <v>Target Met</v>
      </c>
      <c r="M354" s="2" t="s">
        <v>646</v>
      </c>
      <c r="N354" s="2" t="s">
        <v>651</v>
      </c>
      <c r="O354" s="2" t="s">
        <v>665</v>
      </c>
      <c r="P354" s="29" t="str">
        <f t="shared" si="65"/>
        <v>Africa→Nigeria→Lagos</v>
      </c>
      <c r="Q354" s="2" t="s">
        <v>702</v>
      </c>
      <c r="R354" s="2" t="s">
        <v>707</v>
      </c>
      <c r="S354" s="2" t="s">
        <v>714</v>
      </c>
      <c r="T354" s="2" t="s">
        <v>733</v>
      </c>
      <c r="U354" t="e">
        <f>(AE354/#REF!)*100</f>
        <v>#REF!</v>
      </c>
      <c r="V354" s="2" t="s">
        <v>1086</v>
      </c>
      <c r="W354" s="7">
        <v>956.38</v>
      </c>
      <c r="X354" s="7">
        <v>1454.22</v>
      </c>
      <c r="Y354" s="7">
        <f t="shared" si="66"/>
        <v>1454.22</v>
      </c>
      <c r="Z354" s="7" t="str">
        <f t="shared" si="67"/>
        <v>Medium</v>
      </c>
      <c r="AA354" s="13">
        <v>3.9E-2</v>
      </c>
      <c r="AB354" s="13">
        <f t="shared" si="68"/>
        <v>3.9E-2</v>
      </c>
      <c r="AC354" s="13" t="str">
        <f t="shared" si="69"/>
        <v>OK</v>
      </c>
      <c r="AD354" s="7">
        <v>19</v>
      </c>
      <c r="AE354" s="7">
        <f>Y354*AD354*(1-AB354)</f>
        <v>26552.60298</v>
      </c>
      <c r="AF354" s="7">
        <f>W354*AD354</f>
        <v>18171.22</v>
      </c>
      <c r="AG354" s="7">
        <f t="shared" si="70"/>
        <v>8381.3829799999985</v>
      </c>
      <c r="AH354" s="13">
        <f t="shared" si="71"/>
        <v>0.31565202802576603</v>
      </c>
    </row>
    <row r="355" spans="1:34" x14ac:dyDescent="0.35">
      <c r="A355" s="2" t="s">
        <v>367</v>
      </c>
      <c r="B355" s="5">
        <v>45512</v>
      </c>
      <c r="C355" s="5">
        <f>IF(H355&lt;B355,H355,B355)</f>
        <v>45512</v>
      </c>
      <c r="D355" s="5" t="str">
        <f t="shared" si="60"/>
        <v>Aug-2024</v>
      </c>
      <c r="E355" s="5" t="str">
        <f t="shared" si="61"/>
        <v>Aug</v>
      </c>
      <c r="F355" s="5" t="str">
        <f t="shared" si="62"/>
        <v>2024</v>
      </c>
      <c r="G355" s="5" t="str">
        <f t="shared" si="63"/>
        <v>Q3-2024</v>
      </c>
      <c r="H355" s="5">
        <v>45524</v>
      </c>
      <c r="I355" s="5">
        <f>IF(H355&lt;B355, B355+7, H355)</f>
        <v>45524</v>
      </c>
      <c r="J355" s="5" t="str">
        <f>IF(H355&lt;B355, "Invalid","Okay")</f>
        <v>Okay</v>
      </c>
      <c r="K355" s="16">
        <f>I355-C355</f>
        <v>12</v>
      </c>
      <c r="L355" s="16" t="str">
        <f t="shared" si="64"/>
        <v>Target Not Met</v>
      </c>
      <c r="M355" s="2" t="s">
        <v>647</v>
      </c>
      <c r="N355" s="2" t="s">
        <v>652</v>
      </c>
      <c r="O355" s="2" t="s">
        <v>666</v>
      </c>
      <c r="P355" s="29" t="str">
        <f t="shared" si="65"/>
        <v>Asia→Japan→Osaka</v>
      </c>
      <c r="Q355" s="2" t="s">
        <v>705</v>
      </c>
      <c r="R355" s="2" t="s">
        <v>707</v>
      </c>
      <c r="S355" s="2" t="s">
        <v>722</v>
      </c>
      <c r="T355" s="2" t="s">
        <v>729</v>
      </c>
      <c r="U355" t="e">
        <f>(AE355/#REF!)*100</f>
        <v>#REF!</v>
      </c>
      <c r="V355" s="2" t="s">
        <v>1087</v>
      </c>
      <c r="W355" s="7">
        <v>1233.3599999999999</v>
      </c>
      <c r="X355" s="7">
        <v>2120.4</v>
      </c>
      <c r="Y355" s="7">
        <f t="shared" si="66"/>
        <v>2120.4</v>
      </c>
      <c r="Z355" s="7" t="str">
        <f t="shared" si="67"/>
        <v>High</v>
      </c>
      <c r="AA355" s="13">
        <v>0.17899999999999999</v>
      </c>
      <c r="AB355" s="13">
        <f t="shared" si="68"/>
        <v>0.17899999999999999</v>
      </c>
      <c r="AC355" s="13" t="str">
        <f t="shared" si="69"/>
        <v>OK</v>
      </c>
      <c r="AD355" s="7">
        <v>20</v>
      </c>
      <c r="AE355" s="7">
        <f>Y355*AD355*(1-AB355)</f>
        <v>34816.968000000001</v>
      </c>
      <c r="AF355" s="7">
        <f>W355*AD355</f>
        <v>24667.199999999997</v>
      </c>
      <c r="AG355" s="7">
        <f t="shared" si="70"/>
        <v>10149.768000000004</v>
      </c>
      <c r="AH355" s="13">
        <f t="shared" si="71"/>
        <v>0.29151785991244278</v>
      </c>
    </row>
    <row r="356" spans="1:34" x14ac:dyDescent="0.35">
      <c r="A356" s="2" t="s">
        <v>368</v>
      </c>
      <c r="B356" s="5">
        <v>45603</v>
      </c>
      <c r="C356" s="5">
        <f>IF(H356&lt;B356,H356,B356)</f>
        <v>45603</v>
      </c>
      <c r="D356" s="5" t="str">
        <f t="shared" si="60"/>
        <v>Nov-2024</v>
      </c>
      <c r="E356" s="5" t="str">
        <f t="shared" si="61"/>
        <v>Nov</v>
      </c>
      <c r="F356" s="5" t="str">
        <f t="shared" si="62"/>
        <v>2024</v>
      </c>
      <c r="G356" s="5" t="str">
        <f t="shared" si="63"/>
        <v>Q4-2024</v>
      </c>
      <c r="H356" s="5">
        <v>45622</v>
      </c>
      <c r="I356" s="5">
        <f>IF(H356&lt;B356, B356+7, H356)</f>
        <v>45622</v>
      </c>
      <c r="J356" s="5" t="str">
        <f>IF(H356&lt;B356, "Invalid","Okay")</f>
        <v>Okay</v>
      </c>
      <c r="K356" s="16">
        <f>I356-C356</f>
        <v>19</v>
      </c>
      <c r="L356" s="16" t="str">
        <f t="shared" si="64"/>
        <v>Target Not Met</v>
      </c>
      <c r="M356" s="2" t="s">
        <v>648</v>
      </c>
      <c r="N356" s="2" t="s">
        <v>655</v>
      </c>
      <c r="O356" s="2" t="s">
        <v>692</v>
      </c>
      <c r="P356" s="29" t="str">
        <f t="shared" si="65"/>
        <v>Americas→Brazil→Rio de Janeiro</v>
      </c>
      <c r="Q356" s="2" t="s">
        <v>703</v>
      </c>
      <c r="R356" s="2" t="s">
        <v>710</v>
      </c>
      <c r="S356" s="2" t="s">
        <v>713</v>
      </c>
      <c r="T356" s="2" t="s">
        <v>728</v>
      </c>
      <c r="U356" t="e">
        <f>(AE356/#REF!)*100</f>
        <v>#REF!</v>
      </c>
      <c r="V356" s="2" t="s">
        <v>1088</v>
      </c>
      <c r="W356" s="7">
        <v>55.35</v>
      </c>
      <c r="X356" s="7">
        <v>128.68</v>
      </c>
      <c r="Y356" s="7">
        <f t="shared" si="66"/>
        <v>128.68</v>
      </c>
      <c r="Z356" s="7" t="str">
        <f t="shared" si="67"/>
        <v>Low</v>
      </c>
      <c r="AA356" s="13">
        <v>0.128</v>
      </c>
      <c r="AB356" s="13">
        <f t="shared" si="68"/>
        <v>0.128</v>
      </c>
      <c r="AC356" s="13" t="str">
        <f t="shared" si="69"/>
        <v>OK</v>
      </c>
      <c r="AD356" s="7">
        <v>10</v>
      </c>
      <c r="AE356" s="7">
        <f>Y356*AD356*(1-AB356)</f>
        <v>1122.0896000000002</v>
      </c>
      <c r="AF356" s="7">
        <f>W356*AD356</f>
        <v>553.5</v>
      </c>
      <c r="AG356" s="7">
        <f t="shared" si="70"/>
        <v>568.58960000000025</v>
      </c>
      <c r="AH356" s="13">
        <f t="shared" si="71"/>
        <v>0.50672388372550647</v>
      </c>
    </row>
    <row r="357" spans="1:34" x14ac:dyDescent="0.35">
      <c r="A357" s="2" t="s">
        <v>369</v>
      </c>
      <c r="B357" s="5">
        <v>45292</v>
      </c>
      <c r="C357" s="5">
        <f>IF(H357&lt;B357,H357,B357)</f>
        <v>45292</v>
      </c>
      <c r="D357" s="5" t="str">
        <f t="shared" si="60"/>
        <v>Jan-2024</v>
      </c>
      <c r="E357" s="5" t="str">
        <f t="shared" si="61"/>
        <v>Jan</v>
      </c>
      <c r="F357" s="5" t="str">
        <f t="shared" si="62"/>
        <v>2024</v>
      </c>
      <c r="G357" s="5" t="str">
        <f t="shared" si="63"/>
        <v>Q1-2024</v>
      </c>
      <c r="H357" s="5">
        <v>45318</v>
      </c>
      <c r="I357" s="5">
        <f>IF(H357&lt;B357, B357+7, H357)</f>
        <v>45318</v>
      </c>
      <c r="J357" s="5" t="str">
        <f>IF(H357&lt;B357, "Invalid","Okay")</f>
        <v>Okay</v>
      </c>
      <c r="K357" s="16">
        <f>I357-C357</f>
        <v>26</v>
      </c>
      <c r="L357" s="16" t="str">
        <f t="shared" si="64"/>
        <v>Target Not Met</v>
      </c>
      <c r="M357" s="2" t="s">
        <v>649</v>
      </c>
      <c r="N357" s="2" t="s">
        <v>658</v>
      </c>
      <c r="O357" s="2" t="s">
        <v>693</v>
      </c>
      <c r="P357" s="29" t="str">
        <f t="shared" si="65"/>
        <v>Europe→United Kingdom→Manchester</v>
      </c>
      <c r="Q357" s="2" t="s">
        <v>702</v>
      </c>
      <c r="R357" s="2" t="s">
        <v>710</v>
      </c>
      <c r="S357" s="2" t="s">
        <v>726</v>
      </c>
      <c r="T357" s="2" t="s">
        <v>733</v>
      </c>
      <c r="U357" t="e">
        <f>(AE357/#REF!)*100</f>
        <v>#REF!</v>
      </c>
      <c r="V357" s="2" t="s">
        <v>1089</v>
      </c>
      <c r="W357" s="7">
        <v>657.45</v>
      </c>
      <c r="X357" s="7">
        <v>1325.96</v>
      </c>
      <c r="Y357" s="7">
        <f t="shared" si="66"/>
        <v>1325.96</v>
      </c>
      <c r="Z357" s="7" t="str">
        <f t="shared" si="67"/>
        <v>Medium</v>
      </c>
      <c r="AA357" s="13">
        <v>0.16700000000000001</v>
      </c>
      <c r="AB357" s="13">
        <f t="shared" si="68"/>
        <v>0.16700000000000001</v>
      </c>
      <c r="AC357" s="13" t="str">
        <f t="shared" si="69"/>
        <v>OK</v>
      </c>
      <c r="AD357" s="7">
        <v>21</v>
      </c>
      <c r="AE357" s="7">
        <f>Y357*AD357*(1-AB357)</f>
        <v>23195.01828</v>
      </c>
      <c r="AF357" s="7">
        <f>W357*AD357</f>
        <v>13806.45</v>
      </c>
      <c r="AG357" s="7">
        <f t="shared" si="70"/>
        <v>9388.5682799999995</v>
      </c>
      <c r="AH357" s="13">
        <f t="shared" si="71"/>
        <v>0.40476658249048808</v>
      </c>
    </row>
    <row r="358" spans="1:34" x14ac:dyDescent="0.35">
      <c r="A358" s="2" t="s">
        <v>370</v>
      </c>
      <c r="B358" s="5">
        <v>45883</v>
      </c>
      <c r="C358" s="5">
        <f>IF(H358&lt;B358,H358,B358)</f>
        <v>45883</v>
      </c>
      <c r="D358" s="5" t="str">
        <f t="shared" si="60"/>
        <v>Aug-2025</v>
      </c>
      <c r="E358" s="5" t="str">
        <f t="shared" si="61"/>
        <v>Aug</v>
      </c>
      <c r="F358" s="5" t="str">
        <f t="shared" si="62"/>
        <v>2025</v>
      </c>
      <c r="G358" s="5" t="str">
        <f t="shared" si="63"/>
        <v>Q3-2025</v>
      </c>
      <c r="H358" s="5">
        <v>45911</v>
      </c>
      <c r="I358" s="5">
        <f>IF(H358&lt;B358, B358+7, H358)</f>
        <v>45911</v>
      </c>
      <c r="J358" s="5" t="str">
        <f>IF(H358&lt;B358, "Invalid","Okay")</f>
        <v>Okay</v>
      </c>
      <c r="K358" s="16">
        <f>I358-C358</f>
        <v>28</v>
      </c>
      <c r="L358" s="16" t="str">
        <f t="shared" si="64"/>
        <v>Target Not Met</v>
      </c>
      <c r="M358" s="2" t="s">
        <v>648</v>
      </c>
      <c r="N358" s="2" t="s">
        <v>655</v>
      </c>
      <c r="O358" s="2" t="s">
        <v>670</v>
      </c>
      <c r="P358" s="29" t="str">
        <f t="shared" si="65"/>
        <v>Americas→Brazil→São Paulo</v>
      </c>
      <c r="Q358" s="2" t="s">
        <v>703</v>
      </c>
      <c r="R358" s="2" t="s">
        <v>711</v>
      </c>
      <c r="S358" s="2" t="s">
        <v>721</v>
      </c>
      <c r="T358" s="2" t="s">
        <v>728</v>
      </c>
      <c r="U358" t="e">
        <f>(AE358/#REF!)*100</f>
        <v>#REF!</v>
      </c>
      <c r="V358" s="2" t="s">
        <v>1090</v>
      </c>
      <c r="W358" s="7">
        <v>1203.02</v>
      </c>
      <c r="X358" s="7">
        <v>2439.33</v>
      </c>
      <c r="Y358" s="7">
        <f t="shared" si="66"/>
        <v>2439.33</v>
      </c>
      <c r="Z358" s="7" t="str">
        <f t="shared" si="67"/>
        <v>High</v>
      </c>
      <c r="AA358" s="13">
        <v>0</v>
      </c>
      <c r="AB358" s="13">
        <f t="shared" si="68"/>
        <v>0</v>
      </c>
      <c r="AC358" s="13" t="str">
        <f t="shared" si="69"/>
        <v>OK</v>
      </c>
      <c r="AD358" s="7">
        <v>18</v>
      </c>
      <c r="AE358" s="7">
        <f>Y358*AD358*(1-AB358)</f>
        <v>43907.94</v>
      </c>
      <c r="AF358" s="7">
        <f>W358*AD358</f>
        <v>21654.36</v>
      </c>
      <c r="AG358" s="7">
        <f t="shared" si="70"/>
        <v>22253.58</v>
      </c>
      <c r="AH358" s="13">
        <f t="shared" si="71"/>
        <v>0.50682359500354612</v>
      </c>
    </row>
    <row r="359" spans="1:34" x14ac:dyDescent="0.35">
      <c r="A359" s="2" t="s">
        <v>371</v>
      </c>
      <c r="B359" s="5">
        <v>45385</v>
      </c>
      <c r="C359" s="5">
        <f>IF(H359&lt;B359,H359,B359)</f>
        <v>45385</v>
      </c>
      <c r="D359" s="5" t="str">
        <f t="shared" si="60"/>
        <v>Apr-2024</v>
      </c>
      <c r="E359" s="5" t="str">
        <f t="shared" si="61"/>
        <v>Apr</v>
      </c>
      <c r="F359" s="5" t="str">
        <f t="shared" si="62"/>
        <v>2024</v>
      </c>
      <c r="G359" s="5" t="str">
        <f t="shared" si="63"/>
        <v>Q2-2024</v>
      </c>
      <c r="H359" s="5">
        <v>45403</v>
      </c>
      <c r="I359" s="5">
        <f>IF(H359&lt;B359, B359+7, H359)</f>
        <v>45403</v>
      </c>
      <c r="J359" s="5" t="str">
        <f>IF(H359&lt;B359, "Invalid","Okay")</f>
        <v>Okay</v>
      </c>
      <c r="K359" s="16">
        <f>I359-C359</f>
        <v>18</v>
      </c>
      <c r="L359" s="16" t="str">
        <f t="shared" si="64"/>
        <v>Target Not Met</v>
      </c>
      <c r="M359" s="2" t="s">
        <v>648</v>
      </c>
      <c r="N359" s="2" t="s">
        <v>655</v>
      </c>
      <c r="O359" s="2" t="s">
        <v>672</v>
      </c>
      <c r="P359" s="29" t="str">
        <f t="shared" si="65"/>
        <v>Americas→Brazil→Brasília</v>
      </c>
      <c r="Q359" s="2" t="s">
        <v>705</v>
      </c>
      <c r="R359" s="2" t="s">
        <v>710</v>
      </c>
      <c r="S359" s="2" t="s">
        <v>717</v>
      </c>
      <c r="T359" s="2" t="s">
        <v>729</v>
      </c>
      <c r="U359" t="e">
        <f>(AE359/#REF!)*100</f>
        <v>#REF!</v>
      </c>
      <c r="V359" s="2" t="s">
        <v>1091</v>
      </c>
      <c r="W359" s="7">
        <v>1176.69</v>
      </c>
      <c r="X359" s="7">
        <v>2201.54</v>
      </c>
      <c r="Y359" s="7">
        <f t="shared" si="66"/>
        <v>2201.54</v>
      </c>
      <c r="Z359" s="7" t="str">
        <f t="shared" si="67"/>
        <v>High</v>
      </c>
      <c r="AA359" s="13">
        <v>0.17</v>
      </c>
      <c r="AB359" s="13">
        <f t="shared" si="68"/>
        <v>0.17</v>
      </c>
      <c r="AC359" s="13" t="str">
        <f t="shared" si="69"/>
        <v>OK</v>
      </c>
      <c r="AD359" s="7">
        <v>27</v>
      </c>
      <c r="AE359" s="7">
        <f>Y359*AD359*(1-AB359)</f>
        <v>49336.511399999996</v>
      </c>
      <c r="AF359" s="7">
        <f>W359*AD359</f>
        <v>31770.63</v>
      </c>
      <c r="AG359" s="7">
        <f t="shared" si="70"/>
        <v>17565.881399999995</v>
      </c>
      <c r="AH359" s="13">
        <f t="shared" si="71"/>
        <v>0.35604222717701106</v>
      </c>
    </row>
    <row r="360" spans="1:34" x14ac:dyDescent="0.35">
      <c r="A360" s="2" t="s">
        <v>372</v>
      </c>
      <c r="B360" s="5">
        <v>45621</v>
      </c>
      <c r="C360" s="5">
        <f>IF(H360&lt;B360,H360,B360)</f>
        <v>45621</v>
      </c>
      <c r="D360" s="5" t="str">
        <f t="shared" si="60"/>
        <v>Nov-2024</v>
      </c>
      <c r="E360" s="5" t="str">
        <f t="shared" si="61"/>
        <v>Nov</v>
      </c>
      <c r="F360" s="5" t="str">
        <f t="shared" si="62"/>
        <v>2024</v>
      </c>
      <c r="G360" s="5" t="str">
        <f t="shared" si="63"/>
        <v>Q4-2024</v>
      </c>
      <c r="H360" s="5">
        <v>45633</v>
      </c>
      <c r="I360" s="5">
        <f>IF(H360&lt;B360, B360+7, H360)</f>
        <v>45633</v>
      </c>
      <c r="J360" s="5" t="str">
        <f>IF(H360&lt;B360, "Invalid","Okay")</f>
        <v>Okay</v>
      </c>
      <c r="K360" s="16">
        <f>I360-C360</f>
        <v>12</v>
      </c>
      <c r="L360" s="16" t="str">
        <f t="shared" si="64"/>
        <v>Target Not Met</v>
      </c>
      <c r="M360" s="2" t="s">
        <v>647</v>
      </c>
      <c r="N360" s="2" t="s">
        <v>659</v>
      </c>
      <c r="O360" s="2" t="s">
        <v>685</v>
      </c>
      <c r="P360" s="29" t="str">
        <f t="shared" si="65"/>
        <v>Asia→China→Shanghai</v>
      </c>
      <c r="Q360" s="2" t="s">
        <v>701</v>
      </c>
      <c r="R360" s="2" t="s">
        <v>710</v>
      </c>
      <c r="S360" s="2" t="s">
        <v>720</v>
      </c>
      <c r="T360" s="2" t="s">
        <v>733</v>
      </c>
      <c r="U360" t="e">
        <f>(AE360/#REF!)*100</f>
        <v>#REF!</v>
      </c>
      <c r="V360" s="2" t="s">
        <v>1092</v>
      </c>
      <c r="W360" s="7">
        <v>769.9</v>
      </c>
      <c r="X360" s="7">
        <v>814.36</v>
      </c>
      <c r="Y360" s="7">
        <f t="shared" si="66"/>
        <v>814.36</v>
      </c>
      <c r="Z360" s="7" t="str">
        <f t="shared" si="67"/>
        <v>Low</v>
      </c>
      <c r="AA360" s="13">
        <v>0</v>
      </c>
      <c r="AB360" s="13">
        <f t="shared" si="68"/>
        <v>0</v>
      </c>
      <c r="AC360" s="13" t="str">
        <f t="shared" si="69"/>
        <v>OK</v>
      </c>
      <c r="AD360" s="7">
        <v>5</v>
      </c>
      <c r="AE360" s="7">
        <f>Y360*AD360*(1-AB360)</f>
        <v>4071.8</v>
      </c>
      <c r="AF360" s="7">
        <f>W360*AD360</f>
        <v>3849.5</v>
      </c>
      <c r="AG360" s="7">
        <f t="shared" si="70"/>
        <v>222.30000000000018</v>
      </c>
      <c r="AH360" s="13">
        <f t="shared" si="71"/>
        <v>5.4595019401738831E-2</v>
      </c>
    </row>
    <row r="361" spans="1:34" x14ac:dyDescent="0.35">
      <c r="A361" s="2" t="s">
        <v>373</v>
      </c>
      <c r="B361" s="5">
        <v>45309</v>
      </c>
      <c r="C361" s="5">
        <f>IF(H361&lt;B361,H361,B361)</f>
        <v>45309</v>
      </c>
      <c r="D361" s="5" t="str">
        <f t="shared" si="60"/>
        <v>Jan-2024</v>
      </c>
      <c r="E361" s="5" t="str">
        <f t="shared" si="61"/>
        <v>Jan</v>
      </c>
      <c r="F361" s="5" t="str">
        <f t="shared" si="62"/>
        <v>2024</v>
      </c>
      <c r="G361" s="5" t="str">
        <f t="shared" si="63"/>
        <v>Q1-2024</v>
      </c>
      <c r="H361" s="5">
        <v>45325</v>
      </c>
      <c r="I361" s="5">
        <f>IF(H361&lt;B361, B361+7, H361)</f>
        <v>45325</v>
      </c>
      <c r="J361" s="5" t="str">
        <f>IF(H361&lt;B361, "Invalid","Okay")</f>
        <v>Okay</v>
      </c>
      <c r="K361" s="16">
        <f>I361-C361</f>
        <v>16</v>
      </c>
      <c r="L361" s="16" t="str">
        <f t="shared" si="64"/>
        <v>Target Not Met</v>
      </c>
      <c r="M361" s="2" t="s">
        <v>646</v>
      </c>
      <c r="N361" s="2" t="s">
        <v>661</v>
      </c>
      <c r="O361" s="2" t="s">
        <v>695</v>
      </c>
      <c r="P361" s="29" t="str">
        <f t="shared" si="65"/>
        <v>Africa→South Africa→Cape Town</v>
      </c>
      <c r="Q361" s="2" t="s">
        <v>703</v>
      </c>
      <c r="R361" s="2" t="s">
        <v>710</v>
      </c>
      <c r="S361" s="2" t="s">
        <v>716</v>
      </c>
      <c r="T361" s="2" t="s">
        <v>728</v>
      </c>
      <c r="U361" t="e">
        <f>(AE361/#REF!)*100</f>
        <v>#REF!</v>
      </c>
      <c r="V361" s="2" t="s">
        <v>1093</v>
      </c>
      <c r="W361" s="7">
        <v>666.23</v>
      </c>
      <c r="X361" s="7">
        <v>1382.91</v>
      </c>
      <c r="Y361" s="7">
        <f t="shared" si="66"/>
        <v>1382.91</v>
      </c>
      <c r="Z361" s="7" t="str">
        <f t="shared" si="67"/>
        <v>Medium</v>
      </c>
      <c r="AA361" s="13">
        <v>0.17599999999999999</v>
      </c>
      <c r="AB361" s="13">
        <f t="shared" si="68"/>
        <v>0.17599999999999999</v>
      </c>
      <c r="AC361" s="13" t="str">
        <f t="shared" si="69"/>
        <v>OK</v>
      </c>
      <c r="AD361" s="7">
        <v>13</v>
      </c>
      <c r="AE361" s="7">
        <f>Y361*AD361*(1-AB361)</f>
        <v>14813.731920000002</v>
      </c>
      <c r="AF361" s="7">
        <f>W361*AD361</f>
        <v>8660.99</v>
      </c>
      <c r="AG361" s="7">
        <f t="shared" si="70"/>
        <v>6152.7419200000022</v>
      </c>
      <c r="AH361" s="13">
        <f t="shared" si="71"/>
        <v>0.41534043907553048</v>
      </c>
    </row>
    <row r="362" spans="1:34" x14ac:dyDescent="0.35">
      <c r="A362" s="2" t="s">
        <v>374</v>
      </c>
      <c r="B362" s="5">
        <v>45466</v>
      </c>
      <c r="C362" s="5">
        <f>IF(H362&lt;B362,H362,B362)</f>
        <v>45466</v>
      </c>
      <c r="D362" s="5" t="str">
        <f t="shared" si="60"/>
        <v>Jun-2024</v>
      </c>
      <c r="E362" s="5" t="str">
        <f t="shared" si="61"/>
        <v>Jun</v>
      </c>
      <c r="F362" s="5" t="str">
        <f t="shared" si="62"/>
        <v>2024</v>
      </c>
      <c r="G362" s="5" t="str">
        <f t="shared" si="63"/>
        <v>Q2-2024</v>
      </c>
      <c r="H362" s="5">
        <v>45468</v>
      </c>
      <c r="I362" s="5">
        <f>IF(H362&lt;B362, B362+7, H362)</f>
        <v>45468</v>
      </c>
      <c r="J362" s="5" t="str">
        <f>IF(H362&lt;B362, "Invalid","Okay")</f>
        <v>Okay</v>
      </c>
      <c r="K362" s="16">
        <f>I362-C362</f>
        <v>2</v>
      </c>
      <c r="L362" s="16" t="str">
        <f t="shared" si="64"/>
        <v>Target Met</v>
      </c>
      <c r="M362" s="2" t="s">
        <v>649</v>
      </c>
      <c r="N362" s="2" t="s">
        <v>658</v>
      </c>
      <c r="O362" s="2" t="s">
        <v>674</v>
      </c>
      <c r="P362" s="29" t="str">
        <f t="shared" si="65"/>
        <v>Europe→United Kingdom→Birmingham</v>
      </c>
      <c r="Q362" s="2" t="s">
        <v>705</v>
      </c>
      <c r="R362" s="2" t="s">
        <v>709</v>
      </c>
      <c r="S362" s="2" t="s">
        <v>716</v>
      </c>
      <c r="T362" s="2" t="s">
        <v>733</v>
      </c>
      <c r="U362" t="e">
        <f>(AE362/#REF!)*100</f>
        <v>#REF!</v>
      </c>
      <c r="V362" s="2" t="s">
        <v>1094</v>
      </c>
      <c r="W362" s="7">
        <v>951.44</v>
      </c>
      <c r="X362" s="7">
        <v>1646.43</v>
      </c>
      <c r="Y362" s="7">
        <f t="shared" si="66"/>
        <v>1646.43</v>
      </c>
      <c r="Z362" s="7" t="str">
        <f t="shared" si="67"/>
        <v>Medium</v>
      </c>
      <c r="AA362" s="13">
        <v>0.11</v>
      </c>
      <c r="AB362" s="13">
        <f t="shared" si="68"/>
        <v>0.11</v>
      </c>
      <c r="AC362" s="13" t="str">
        <f t="shared" si="69"/>
        <v>OK</v>
      </c>
      <c r="AD362" s="7">
        <v>24</v>
      </c>
      <c r="AE362" s="7">
        <f>Y362*AD362*(1-AB362)</f>
        <v>35167.7448</v>
      </c>
      <c r="AF362" s="7">
        <f>W362*AD362</f>
        <v>22834.560000000001</v>
      </c>
      <c r="AG362" s="7">
        <f t="shared" si="70"/>
        <v>12333.184799999999</v>
      </c>
      <c r="AH362" s="13">
        <f t="shared" si="71"/>
        <v>0.35069592520473475</v>
      </c>
    </row>
    <row r="363" spans="1:34" x14ac:dyDescent="0.35">
      <c r="A363" s="2" t="s">
        <v>375</v>
      </c>
      <c r="B363" s="5">
        <v>45833</v>
      </c>
      <c r="C363" s="5">
        <f>IF(H363&lt;B363,H363,B363)</f>
        <v>45833</v>
      </c>
      <c r="D363" s="5" t="str">
        <f t="shared" si="60"/>
        <v>Jun-2025</v>
      </c>
      <c r="E363" s="5" t="str">
        <f t="shared" si="61"/>
        <v>Jun</v>
      </c>
      <c r="F363" s="5" t="str">
        <f t="shared" si="62"/>
        <v>2025</v>
      </c>
      <c r="G363" s="5" t="str">
        <f t="shared" si="63"/>
        <v>Q2-2025</v>
      </c>
      <c r="H363" s="5">
        <v>45848</v>
      </c>
      <c r="I363" s="5">
        <f>IF(H363&lt;B363, B363+7, H363)</f>
        <v>45848</v>
      </c>
      <c r="J363" s="5" t="str">
        <f>IF(H363&lt;B363, "Invalid","Okay")</f>
        <v>Okay</v>
      </c>
      <c r="K363" s="16">
        <f>I363-C363</f>
        <v>15</v>
      </c>
      <c r="L363" s="16" t="str">
        <f t="shared" si="64"/>
        <v>Target Not Met</v>
      </c>
      <c r="M363" s="2" t="s">
        <v>649</v>
      </c>
      <c r="N363" s="2" t="s">
        <v>658</v>
      </c>
      <c r="O363" s="2" t="s">
        <v>674</v>
      </c>
      <c r="P363" s="29" t="str">
        <f t="shared" si="65"/>
        <v>Europe→United Kingdom→Birmingham</v>
      </c>
      <c r="Q363" s="2" t="s">
        <v>703</v>
      </c>
      <c r="R363" s="2" t="s">
        <v>709</v>
      </c>
      <c r="S363" s="2" t="s">
        <v>726</v>
      </c>
      <c r="T363" s="2" t="s">
        <v>730</v>
      </c>
      <c r="U363" t="e">
        <f>(AE363/#REF!)*100</f>
        <v>#REF!</v>
      </c>
      <c r="V363" s="2" t="s">
        <v>1095</v>
      </c>
      <c r="W363" s="7">
        <v>546.83000000000004</v>
      </c>
      <c r="X363" s="7">
        <v>400.84</v>
      </c>
      <c r="Y363" s="7">
        <f t="shared" si="66"/>
        <v>400.84</v>
      </c>
      <c r="Z363" s="7" t="str">
        <f t="shared" si="67"/>
        <v>Low</v>
      </c>
      <c r="AA363" s="13">
        <v>7.8E-2</v>
      </c>
      <c r="AB363" s="13">
        <f t="shared" si="68"/>
        <v>7.8E-2</v>
      </c>
      <c r="AC363" s="13" t="str">
        <f t="shared" si="69"/>
        <v>OK</v>
      </c>
      <c r="AD363" s="7">
        <v>13</v>
      </c>
      <c r="AE363" s="7">
        <f>Y363*AD363*(1-AB363)</f>
        <v>4804.4682400000002</v>
      </c>
      <c r="AF363" s="7">
        <f>W363*AD363</f>
        <v>7108.7900000000009</v>
      </c>
      <c r="AG363" s="7">
        <f t="shared" si="70"/>
        <v>-2304.3217600000007</v>
      </c>
      <c r="AH363" s="13">
        <f t="shared" si="71"/>
        <v>-0.47962056254533608</v>
      </c>
    </row>
    <row r="364" spans="1:34" x14ac:dyDescent="0.35">
      <c r="A364" s="2" t="s">
        <v>376</v>
      </c>
      <c r="B364" s="5">
        <v>45108</v>
      </c>
      <c r="C364" s="5">
        <f>IF(H364&lt;B364,H364,B364)</f>
        <v>45108</v>
      </c>
      <c r="D364" s="5" t="str">
        <f t="shared" si="60"/>
        <v>Jul-2023</v>
      </c>
      <c r="E364" s="5" t="str">
        <f t="shared" si="61"/>
        <v>Jul</v>
      </c>
      <c r="F364" s="5" t="str">
        <f t="shared" si="62"/>
        <v>2023</v>
      </c>
      <c r="G364" s="5" t="str">
        <f t="shared" si="63"/>
        <v>Q3-2023</v>
      </c>
      <c r="H364" s="5">
        <v>45115</v>
      </c>
      <c r="I364" s="5">
        <f>IF(H364&lt;B364, B364+7, H364)</f>
        <v>45115</v>
      </c>
      <c r="J364" s="5" t="str">
        <f>IF(H364&lt;B364, "Invalid","Okay")</f>
        <v>Okay</v>
      </c>
      <c r="K364" s="16">
        <f>I364-C364</f>
        <v>7</v>
      </c>
      <c r="L364" s="16" t="str">
        <f t="shared" si="64"/>
        <v>Target Met</v>
      </c>
      <c r="M364" s="2" t="s">
        <v>646</v>
      </c>
      <c r="N364" s="2" t="s">
        <v>651</v>
      </c>
      <c r="O364" s="2" t="s">
        <v>663</v>
      </c>
      <c r="P364" s="29" t="str">
        <f t="shared" si="65"/>
        <v>Africa→Nigeria→Port Harcourt</v>
      </c>
      <c r="Q364" s="2" t="s">
        <v>701</v>
      </c>
      <c r="R364" s="2" t="s">
        <v>707</v>
      </c>
      <c r="S364" s="2" t="s">
        <v>720</v>
      </c>
      <c r="T364" s="2" t="s">
        <v>731</v>
      </c>
      <c r="U364" t="e">
        <f>(AE364/#REF!)*100</f>
        <v>#REF!</v>
      </c>
      <c r="V364" s="2" t="s">
        <v>1096</v>
      </c>
      <c r="W364" s="7">
        <v>834.26</v>
      </c>
      <c r="X364" s="7">
        <v>1780.56</v>
      </c>
      <c r="Y364" s="7">
        <f t="shared" si="66"/>
        <v>1780.56</v>
      </c>
      <c r="Z364" s="7" t="str">
        <f t="shared" si="67"/>
        <v>Medium</v>
      </c>
      <c r="AA364" s="13">
        <v>1.4E-2</v>
      </c>
      <c r="AB364" s="13">
        <f t="shared" si="68"/>
        <v>1.4E-2</v>
      </c>
      <c r="AC364" s="13" t="str">
        <f t="shared" si="69"/>
        <v>OK</v>
      </c>
      <c r="AD364" s="7">
        <v>47</v>
      </c>
      <c r="AE364" s="7">
        <f>Y364*AD364*(1-AB364)</f>
        <v>82514.711519999997</v>
      </c>
      <c r="AF364" s="7">
        <f>W364*AD364</f>
        <v>39210.22</v>
      </c>
      <c r="AG364" s="7">
        <f t="shared" si="70"/>
        <v>43304.491519999996</v>
      </c>
      <c r="AH364" s="13">
        <f t="shared" si="71"/>
        <v>0.5248093427497933</v>
      </c>
    </row>
    <row r="365" spans="1:34" x14ac:dyDescent="0.35">
      <c r="A365" s="2" t="s">
        <v>377</v>
      </c>
      <c r="B365" s="5">
        <v>45360</v>
      </c>
      <c r="C365" s="5">
        <f>IF(H365&lt;B365,H365,B365)</f>
        <v>45360</v>
      </c>
      <c r="D365" s="5" t="str">
        <f t="shared" si="60"/>
        <v>Mar-2024</v>
      </c>
      <c r="E365" s="5" t="str">
        <f t="shared" si="61"/>
        <v>Mar</v>
      </c>
      <c r="F365" s="5" t="str">
        <f t="shared" si="62"/>
        <v>2024</v>
      </c>
      <c r="G365" s="5" t="str">
        <f t="shared" si="63"/>
        <v>Q1-2024</v>
      </c>
      <c r="H365" s="5">
        <v>45377</v>
      </c>
      <c r="I365" s="5">
        <f>IF(H365&lt;B365, B365+7, H365)</f>
        <v>45377</v>
      </c>
      <c r="J365" s="5" t="str">
        <f>IF(H365&lt;B365, "Invalid","Okay")</f>
        <v>Okay</v>
      </c>
      <c r="K365" s="16">
        <f>I365-C365</f>
        <v>17</v>
      </c>
      <c r="L365" s="16" t="str">
        <f t="shared" si="64"/>
        <v>Target Not Met</v>
      </c>
      <c r="M365" s="2" t="s">
        <v>647</v>
      </c>
      <c r="N365" s="2" t="s">
        <v>659</v>
      </c>
      <c r="O365" s="2" t="s">
        <v>676</v>
      </c>
      <c r="P365" s="29" t="str">
        <f t="shared" si="65"/>
        <v>Asia→China→Shenzhen</v>
      </c>
      <c r="Q365" s="2" t="s">
        <v>706</v>
      </c>
      <c r="R365" s="2" t="s">
        <v>708</v>
      </c>
      <c r="S365" s="2" t="s">
        <v>723</v>
      </c>
      <c r="T365" s="2" t="s">
        <v>732</v>
      </c>
      <c r="U365" t="e">
        <f>(AE365/#REF!)*100</f>
        <v>#REF!</v>
      </c>
      <c r="V365" s="2" t="s">
        <v>1097</v>
      </c>
      <c r="W365" s="7">
        <v>1029.67</v>
      </c>
      <c r="X365" s="7">
        <v>1118.43</v>
      </c>
      <c r="Y365" s="7">
        <f t="shared" si="66"/>
        <v>1118.43</v>
      </c>
      <c r="Z365" s="7" t="str">
        <f t="shared" si="67"/>
        <v>Low</v>
      </c>
      <c r="AA365" s="13">
        <v>0.27200000000000002</v>
      </c>
      <c r="AB365" s="13">
        <f t="shared" si="68"/>
        <v>0.27200000000000002</v>
      </c>
      <c r="AC365" s="13" t="str">
        <f t="shared" si="69"/>
        <v>OK</v>
      </c>
      <c r="AD365" s="7">
        <v>9</v>
      </c>
      <c r="AE365" s="7">
        <f>Y365*AD365*(1-AB365)</f>
        <v>7327.9533600000004</v>
      </c>
      <c r="AF365" s="7">
        <f>W365*AD365</f>
        <v>9267.0300000000007</v>
      </c>
      <c r="AG365" s="7">
        <f t="shared" si="70"/>
        <v>-1939.0766400000002</v>
      </c>
      <c r="AH365" s="13">
        <f t="shared" si="71"/>
        <v>-0.26461367106736061</v>
      </c>
    </row>
    <row r="366" spans="1:34" x14ac:dyDescent="0.35">
      <c r="A366" s="2" t="s">
        <v>378</v>
      </c>
      <c r="B366" s="5">
        <v>45082</v>
      </c>
      <c r="C366" s="5">
        <f>IF(H366&lt;B366,H366,B366)</f>
        <v>45082</v>
      </c>
      <c r="D366" s="5" t="str">
        <f t="shared" si="60"/>
        <v>Jun-2023</v>
      </c>
      <c r="E366" s="5" t="str">
        <f t="shared" si="61"/>
        <v>Jun</v>
      </c>
      <c r="F366" s="5" t="str">
        <f t="shared" si="62"/>
        <v>2023</v>
      </c>
      <c r="G366" s="5" t="str">
        <f t="shared" si="63"/>
        <v>Q2-2023</v>
      </c>
      <c r="H366" s="5">
        <v>45105</v>
      </c>
      <c r="I366" s="5">
        <f>IF(H366&lt;B366, B366+7, H366)</f>
        <v>45105</v>
      </c>
      <c r="J366" s="5" t="str">
        <f>IF(H366&lt;B366, "Invalid","Okay")</f>
        <v>Okay</v>
      </c>
      <c r="K366" s="16">
        <f>I366-C366</f>
        <v>23</v>
      </c>
      <c r="L366" s="16" t="str">
        <f t="shared" si="64"/>
        <v>Target Not Met</v>
      </c>
      <c r="M366" s="2" t="s">
        <v>649</v>
      </c>
      <c r="N366" s="2" t="s">
        <v>658</v>
      </c>
      <c r="O366" s="2" t="s">
        <v>674</v>
      </c>
      <c r="P366" s="29" t="str">
        <f t="shared" si="65"/>
        <v>Europe→United Kingdom→Birmingham</v>
      </c>
      <c r="Q366" s="2" t="s">
        <v>701</v>
      </c>
      <c r="R366" s="2" t="s">
        <v>711</v>
      </c>
      <c r="S366" s="2" t="s">
        <v>723</v>
      </c>
      <c r="T366" s="2" t="s">
        <v>728</v>
      </c>
      <c r="U366" t="e">
        <f>(AE366/#REF!)*100</f>
        <v>#REF!</v>
      </c>
      <c r="V366" s="2" t="s">
        <v>1098</v>
      </c>
      <c r="W366" s="7">
        <v>605.82000000000005</v>
      </c>
      <c r="X366" s="7">
        <v>771.12</v>
      </c>
      <c r="Y366" s="7">
        <f t="shared" si="66"/>
        <v>771.12</v>
      </c>
      <c r="Z366" s="7" t="str">
        <f t="shared" si="67"/>
        <v>Low</v>
      </c>
      <c r="AA366" s="13">
        <v>0.13200000000000001</v>
      </c>
      <c r="AB366" s="13">
        <f t="shared" si="68"/>
        <v>0.13200000000000001</v>
      </c>
      <c r="AC366" s="13" t="str">
        <f t="shared" si="69"/>
        <v>OK</v>
      </c>
      <c r="AD366" s="7">
        <v>19</v>
      </c>
      <c r="AE366" s="7">
        <f>Y366*AD366*(1-AB366)</f>
        <v>12717.311040000001</v>
      </c>
      <c r="AF366" s="7">
        <f>W366*AD366</f>
        <v>11510.580000000002</v>
      </c>
      <c r="AG366" s="7">
        <f t="shared" si="70"/>
        <v>1206.7310399999988</v>
      </c>
      <c r="AH366" s="13">
        <f t="shared" si="71"/>
        <v>9.4888851597986767E-2</v>
      </c>
    </row>
    <row r="367" spans="1:34" x14ac:dyDescent="0.35">
      <c r="A367" s="2" t="s">
        <v>379</v>
      </c>
      <c r="B367" s="5">
        <v>45737</v>
      </c>
      <c r="C367" s="5">
        <f>IF(H367&lt;B367,H367,B367)</f>
        <v>45737</v>
      </c>
      <c r="D367" s="5" t="str">
        <f t="shared" si="60"/>
        <v>Mar-2025</v>
      </c>
      <c r="E367" s="5" t="str">
        <f t="shared" si="61"/>
        <v>Mar</v>
      </c>
      <c r="F367" s="5" t="str">
        <f t="shared" si="62"/>
        <v>2025</v>
      </c>
      <c r="G367" s="5" t="str">
        <f t="shared" si="63"/>
        <v>Q1-2025</v>
      </c>
      <c r="H367" s="5">
        <v>45756</v>
      </c>
      <c r="I367" s="5">
        <f>IF(H367&lt;B367, B367+7, H367)</f>
        <v>45756</v>
      </c>
      <c r="J367" s="5" t="str">
        <f>IF(H367&lt;B367, "Invalid","Okay")</f>
        <v>Okay</v>
      </c>
      <c r="K367" s="16">
        <f>I367-C367</f>
        <v>19</v>
      </c>
      <c r="L367" s="16" t="str">
        <f t="shared" si="64"/>
        <v>Target Not Met</v>
      </c>
      <c r="M367" s="2" t="s">
        <v>647</v>
      </c>
      <c r="N367" s="2" t="s">
        <v>652</v>
      </c>
      <c r="O367" s="2" t="s">
        <v>689</v>
      </c>
      <c r="P367" s="29" t="str">
        <f t="shared" si="65"/>
        <v>Asia→Japan→Tokyo</v>
      </c>
      <c r="Q367" s="2" t="s">
        <v>705</v>
      </c>
      <c r="R367" s="2" t="s">
        <v>710</v>
      </c>
      <c r="S367" s="2" t="s">
        <v>718</v>
      </c>
      <c r="T367" s="2" t="s">
        <v>727</v>
      </c>
      <c r="U367" t="e">
        <f>(AE367/#REF!)*100</f>
        <v>#REF!</v>
      </c>
      <c r="V367" s="2" t="s">
        <v>1099</v>
      </c>
      <c r="W367" s="7">
        <v>1055.45</v>
      </c>
      <c r="X367" s="7">
        <v>1210.04</v>
      </c>
      <c r="Y367" s="7">
        <f t="shared" si="66"/>
        <v>1210.04</v>
      </c>
      <c r="Z367" s="7" t="str">
        <f t="shared" si="67"/>
        <v>Medium</v>
      </c>
      <c r="AA367" s="13">
        <v>8.9999999999999993E-3</v>
      </c>
      <c r="AB367" s="13">
        <f t="shared" si="68"/>
        <v>8.9999999999999993E-3</v>
      </c>
      <c r="AC367" s="13" t="str">
        <f t="shared" si="69"/>
        <v>OK</v>
      </c>
      <c r="AD367" s="7">
        <v>18</v>
      </c>
      <c r="AE367" s="7">
        <f>Y367*AD367*(1-AB367)</f>
        <v>21584.693520000001</v>
      </c>
      <c r="AF367" s="7">
        <f>W367*AD367</f>
        <v>18998.100000000002</v>
      </c>
      <c r="AG367" s="7">
        <f t="shared" si="70"/>
        <v>2586.5935199999985</v>
      </c>
      <c r="AH367" s="13">
        <f t="shared" si="71"/>
        <v>0.1198346188053727</v>
      </c>
    </row>
    <row r="368" spans="1:34" x14ac:dyDescent="0.35">
      <c r="A368" s="2" t="s">
        <v>380</v>
      </c>
      <c r="B368" s="5">
        <v>45445</v>
      </c>
      <c r="C368" s="5">
        <f>IF(H368&lt;B368,H368,B368)</f>
        <v>45445</v>
      </c>
      <c r="D368" s="5" t="str">
        <f t="shared" si="60"/>
        <v>Jun-2024</v>
      </c>
      <c r="E368" s="5" t="str">
        <f t="shared" si="61"/>
        <v>Jun</v>
      </c>
      <c r="F368" s="5" t="str">
        <f t="shared" si="62"/>
        <v>2024</v>
      </c>
      <c r="G368" s="5" t="str">
        <f t="shared" si="63"/>
        <v>Q2-2024</v>
      </c>
      <c r="H368" s="5">
        <v>45458</v>
      </c>
      <c r="I368" s="5">
        <f>IF(H368&lt;B368, B368+7, H368)</f>
        <v>45458</v>
      </c>
      <c r="J368" s="5" t="str">
        <f>IF(H368&lt;B368, "Invalid","Okay")</f>
        <v>Okay</v>
      </c>
      <c r="K368" s="16">
        <f>I368-C368</f>
        <v>13</v>
      </c>
      <c r="L368" s="16" t="str">
        <f t="shared" si="64"/>
        <v>Target Not Met</v>
      </c>
      <c r="M368" s="2" t="s">
        <v>646</v>
      </c>
      <c r="N368" s="2" t="s">
        <v>650</v>
      </c>
      <c r="O368" s="2" t="s">
        <v>675</v>
      </c>
      <c r="P368" s="29" t="str">
        <f t="shared" si="65"/>
        <v>Africa→Kenya→Mombasa</v>
      </c>
      <c r="Q368" s="2" t="s">
        <v>702</v>
      </c>
      <c r="R368" s="2" t="s">
        <v>708</v>
      </c>
      <c r="S368" s="2" t="s">
        <v>719</v>
      </c>
      <c r="T368" s="2" t="s">
        <v>730</v>
      </c>
      <c r="U368" t="e">
        <f>(AE368/#REF!)*100</f>
        <v>#REF!</v>
      </c>
      <c r="V368" s="2" t="s">
        <v>1100</v>
      </c>
      <c r="W368" s="7">
        <v>1295.18</v>
      </c>
      <c r="X368" s="7">
        <v>3024.03</v>
      </c>
      <c r="Y368" s="7">
        <f t="shared" si="66"/>
        <v>3024.03</v>
      </c>
      <c r="Z368" s="7" t="str">
        <f t="shared" si="67"/>
        <v>High</v>
      </c>
      <c r="AA368" s="13">
        <v>0.192</v>
      </c>
      <c r="AB368" s="13">
        <f t="shared" si="68"/>
        <v>0.192</v>
      </c>
      <c r="AC368" s="13" t="str">
        <f t="shared" si="69"/>
        <v>OK</v>
      </c>
      <c r="AD368" s="7">
        <v>8</v>
      </c>
      <c r="AE368" s="7">
        <f>Y368*AD368*(1-AB368)</f>
        <v>19547.329920000004</v>
      </c>
      <c r="AF368" s="7">
        <f>W368*AD368</f>
        <v>10361.44</v>
      </c>
      <c r="AG368" s="7">
        <f t="shared" si="70"/>
        <v>9185.8899200000033</v>
      </c>
      <c r="AH368" s="13">
        <f t="shared" si="71"/>
        <v>0.46993067378483178</v>
      </c>
    </row>
    <row r="369" spans="1:34" x14ac:dyDescent="0.35">
      <c r="A369" s="2" t="s">
        <v>381</v>
      </c>
      <c r="B369" s="5">
        <v>45731</v>
      </c>
      <c r="C369" s="5">
        <f>IF(H369&lt;B369,H369,B369)</f>
        <v>45731</v>
      </c>
      <c r="D369" s="5" t="str">
        <f t="shared" si="60"/>
        <v>Mar-2025</v>
      </c>
      <c r="E369" s="5" t="str">
        <f t="shared" si="61"/>
        <v>Mar</v>
      </c>
      <c r="F369" s="5" t="str">
        <f t="shared" si="62"/>
        <v>2025</v>
      </c>
      <c r="G369" s="5" t="str">
        <f t="shared" si="63"/>
        <v>Q1-2025</v>
      </c>
      <c r="H369" s="5">
        <v>45745</v>
      </c>
      <c r="I369" s="5">
        <f>IF(H369&lt;B369, B369+7, H369)</f>
        <v>45745</v>
      </c>
      <c r="J369" s="5" t="str">
        <f>IF(H369&lt;B369, "Invalid","Okay")</f>
        <v>Okay</v>
      </c>
      <c r="K369" s="16">
        <f>I369-C369</f>
        <v>14</v>
      </c>
      <c r="L369" s="16" t="str">
        <f t="shared" si="64"/>
        <v>Target Not Met</v>
      </c>
      <c r="M369" s="2" t="s">
        <v>647</v>
      </c>
      <c r="N369" s="2" t="s">
        <v>654</v>
      </c>
      <c r="O369" s="2" t="s">
        <v>691</v>
      </c>
      <c r="P369" s="29" t="str">
        <f t="shared" si="65"/>
        <v>Asia→India→Mumbai</v>
      </c>
      <c r="Q369" s="2" t="s">
        <v>706</v>
      </c>
      <c r="R369" s="2" t="s">
        <v>711</v>
      </c>
      <c r="S369" s="2" t="s">
        <v>712</v>
      </c>
      <c r="T369" s="2" t="s">
        <v>727</v>
      </c>
      <c r="U369" t="e">
        <f>(AE369/#REF!)*100</f>
        <v>#REF!</v>
      </c>
      <c r="V369" s="2" t="s">
        <v>1101</v>
      </c>
      <c r="W369" s="7">
        <v>935.83</v>
      </c>
      <c r="X369" s="7">
        <v>2303.46</v>
      </c>
      <c r="Y369" s="7">
        <f t="shared" si="66"/>
        <v>2303.46</v>
      </c>
      <c r="Z369" s="7" t="str">
        <f t="shared" si="67"/>
        <v>High</v>
      </c>
      <c r="AA369" s="13">
        <v>0.105</v>
      </c>
      <c r="AB369" s="13">
        <f t="shared" si="68"/>
        <v>0.105</v>
      </c>
      <c r="AC369" s="13" t="str">
        <f t="shared" si="69"/>
        <v>OK</v>
      </c>
      <c r="AD369" s="7">
        <v>9</v>
      </c>
      <c r="AE369" s="7">
        <f>Y369*AD369*(1-AB369)</f>
        <v>18554.370299999999</v>
      </c>
      <c r="AF369" s="7">
        <f>W369*AD369</f>
        <v>8422.4700000000012</v>
      </c>
      <c r="AG369" s="7">
        <f t="shared" si="70"/>
        <v>10131.900299999998</v>
      </c>
      <c r="AH369" s="13">
        <f t="shared" si="71"/>
        <v>0.54606543559174292</v>
      </c>
    </row>
    <row r="370" spans="1:34" x14ac:dyDescent="0.35">
      <c r="A370" s="2" t="s">
        <v>382</v>
      </c>
      <c r="B370" s="5">
        <v>45194</v>
      </c>
      <c r="C370" s="5">
        <f>IF(H370&lt;B370,H370,B370)</f>
        <v>45194</v>
      </c>
      <c r="D370" s="5" t="str">
        <f t="shared" si="60"/>
        <v>Sep-2023</v>
      </c>
      <c r="E370" s="5" t="str">
        <f t="shared" si="61"/>
        <v>Sep</v>
      </c>
      <c r="F370" s="5" t="str">
        <f t="shared" si="62"/>
        <v>2023</v>
      </c>
      <c r="G370" s="5" t="str">
        <f t="shared" si="63"/>
        <v>Q3-2023</v>
      </c>
      <c r="H370" s="5">
        <v>45208</v>
      </c>
      <c r="I370" s="5">
        <f>IF(H370&lt;B370, B370+7, H370)</f>
        <v>45208</v>
      </c>
      <c r="J370" s="5" t="str">
        <f>IF(H370&lt;B370, "Invalid","Okay")</f>
        <v>Okay</v>
      </c>
      <c r="K370" s="16">
        <f>I370-C370</f>
        <v>14</v>
      </c>
      <c r="L370" s="16" t="str">
        <f t="shared" si="64"/>
        <v>Target Not Met</v>
      </c>
      <c r="M370" s="2" t="s">
        <v>648</v>
      </c>
      <c r="N370" s="2" t="s">
        <v>660</v>
      </c>
      <c r="O370" s="2" t="s">
        <v>700</v>
      </c>
      <c r="P370" s="29" t="str">
        <f t="shared" si="65"/>
        <v>Americas→USA→New York</v>
      </c>
      <c r="Q370" s="2" t="s">
        <v>705</v>
      </c>
      <c r="R370" s="2" t="s">
        <v>709</v>
      </c>
      <c r="S370" s="2" t="s">
        <v>713</v>
      </c>
      <c r="T370" s="2" t="s">
        <v>731</v>
      </c>
      <c r="U370" t="e">
        <f>(AE370/#REF!)*100</f>
        <v>#REF!</v>
      </c>
      <c r="V370" s="2" t="s">
        <v>1102</v>
      </c>
      <c r="W370" s="7">
        <v>1279.56</v>
      </c>
      <c r="X370" s="7">
        <v>3083.8</v>
      </c>
      <c r="Y370" s="7">
        <f t="shared" si="66"/>
        <v>3083.8</v>
      </c>
      <c r="Z370" s="7" t="str">
        <f t="shared" si="67"/>
        <v>High</v>
      </c>
      <c r="AA370" s="13">
        <v>0.106</v>
      </c>
      <c r="AB370" s="13">
        <f t="shared" si="68"/>
        <v>0.106</v>
      </c>
      <c r="AC370" s="13" t="str">
        <f t="shared" si="69"/>
        <v>OK</v>
      </c>
      <c r="AD370" s="7">
        <v>5</v>
      </c>
      <c r="AE370" s="7">
        <f>Y370*AD370*(1-AB370)</f>
        <v>13784.586000000001</v>
      </c>
      <c r="AF370" s="7">
        <f>W370*AD370</f>
        <v>6397.7999999999993</v>
      </c>
      <c r="AG370" s="7">
        <f t="shared" si="70"/>
        <v>7386.7860000000019</v>
      </c>
      <c r="AH370" s="13">
        <f t="shared" si="71"/>
        <v>0.53587289455047848</v>
      </c>
    </row>
    <row r="371" spans="1:34" x14ac:dyDescent="0.35">
      <c r="A371" s="2" t="s">
        <v>383</v>
      </c>
      <c r="B371" s="5">
        <v>45832</v>
      </c>
      <c r="C371" s="5">
        <f>IF(H371&lt;B371,H371,B371)</f>
        <v>45832</v>
      </c>
      <c r="D371" s="5" t="str">
        <f t="shared" si="60"/>
        <v>Jun-2025</v>
      </c>
      <c r="E371" s="5" t="str">
        <f t="shared" si="61"/>
        <v>Jun</v>
      </c>
      <c r="F371" s="5" t="str">
        <f t="shared" si="62"/>
        <v>2025</v>
      </c>
      <c r="G371" s="5" t="str">
        <f t="shared" si="63"/>
        <v>Q2-2025</v>
      </c>
      <c r="H371" s="5">
        <v>45861</v>
      </c>
      <c r="I371" s="5">
        <f>IF(H371&lt;B371, B371+7, H371)</f>
        <v>45861</v>
      </c>
      <c r="J371" s="5" t="str">
        <f>IF(H371&lt;B371, "Invalid","Okay")</f>
        <v>Okay</v>
      </c>
      <c r="K371" s="16">
        <f>I371-C371</f>
        <v>29</v>
      </c>
      <c r="L371" s="16" t="str">
        <f t="shared" si="64"/>
        <v>Target Not Met</v>
      </c>
      <c r="M371" s="2" t="s">
        <v>648</v>
      </c>
      <c r="N371" s="2" t="s">
        <v>653</v>
      </c>
      <c r="O371" s="2" t="s">
        <v>688</v>
      </c>
      <c r="P371" s="29" t="str">
        <f t="shared" si="65"/>
        <v>Americas→Canada→Vancouver</v>
      </c>
      <c r="Q371" s="2" t="s">
        <v>703</v>
      </c>
      <c r="R371" s="2" t="s">
        <v>709</v>
      </c>
      <c r="S371" s="2" t="s">
        <v>714</v>
      </c>
      <c r="T371" s="2" t="s">
        <v>728</v>
      </c>
      <c r="U371" t="e">
        <f>(AE371/#REF!)*100</f>
        <v>#REF!</v>
      </c>
      <c r="V371" s="2" t="s">
        <v>1103</v>
      </c>
      <c r="W371" s="7">
        <v>255.4</v>
      </c>
      <c r="X371" s="7">
        <v>322.70999999999998</v>
      </c>
      <c r="Y371" s="7">
        <f t="shared" si="66"/>
        <v>322.70999999999998</v>
      </c>
      <c r="Z371" s="7" t="str">
        <f t="shared" si="67"/>
        <v>Low</v>
      </c>
      <c r="AA371" s="13">
        <v>0.115</v>
      </c>
      <c r="AB371" s="13">
        <f t="shared" si="68"/>
        <v>0.115</v>
      </c>
      <c r="AC371" s="13" t="str">
        <f t="shared" si="69"/>
        <v>OK</v>
      </c>
      <c r="AD371" s="7">
        <v>16</v>
      </c>
      <c r="AE371" s="7">
        <f>Y371*AD371*(1-AB371)</f>
        <v>4569.5735999999997</v>
      </c>
      <c r="AF371" s="7">
        <f>W371*AD371</f>
        <v>4086.4</v>
      </c>
      <c r="AG371" s="7">
        <f t="shared" si="70"/>
        <v>483.17359999999962</v>
      </c>
      <c r="AH371" s="13">
        <f t="shared" si="71"/>
        <v>0.10573713048412212</v>
      </c>
    </row>
    <row r="372" spans="1:34" x14ac:dyDescent="0.35">
      <c r="A372" s="2" t="s">
        <v>384</v>
      </c>
      <c r="B372" s="5">
        <v>45286</v>
      </c>
      <c r="C372" s="5">
        <f>IF(H372&lt;B372,H372,B372)</f>
        <v>45286</v>
      </c>
      <c r="D372" s="5" t="str">
        <f t="shared" si="60"/>
        <v>Dec-2023</v>
      </c>
      <c r="E372" s="5" t="str">
        <f t="shared" si="61"/>
        <v>Dec</v>
      </c>
      <c r="F372" s="5" t="str">
        <f t="shared" si="62"/>
        <v>2023</v>
      </c>
      <c r="G372" s="5" t="str">
        <f t="shared" si="63"/>
        <v>Q4-2023</v>
      </c>
      <c r="H372" s="5">
        <v>45294</v>
      </c>
      <c r="I372" s="5">
        <f>IF(H372&lt;B372, B372+7, H372)</f>
        <v>45294</v>
      </c>
      <c r="J372" s="5" t="str">
        <f>IF(H372&lt;B372, "Invalid","Okay")</f>
        <v>Okay</v>
      </c>
      <c r="K372" s="16">
        <f>I372-C372</f>
        <v>8</v>
      </c>
      <c r="L372" s="16" t="str">
        <f t="shared" si="64"/>
        <v>Target Not Met</v>
      </c>
      <c r="M372" s="2" t="s">
        <v>649</v>
      </c>
      <c r="N372" s="2" t="s">
        <v>657</v>
      </c>
      <c r="O372" s="2" t="s">
        <v>679</v>
      </c>
      <c r="P372" s="29" t="str">
        <f t="shared" si="65"/>
        <v>Europe→France→Lyon</v>
      </c>
      <c r="Q372" s="2" t="s">
        <v>705</v>
      </c>
      <c r="R372" s="2" t="s">
        <v>707</v>
      </c>
      <c r="S372" s="2" t="s">
        <v>724</v>
      </c>
      <c r="T372" s="2" t="s">
        <v>731</v>
      </c>
      <c r="U372" t="e">
        <f>(AE372/#REF!)*100</f>
        <v>#REF!</v>
      </c>
      <c r="V372" s="2" t="s">
        <v>1104</v>
      </c>
      <c r="W372" s="7">
        <v>492.75</v>
      </c>
      <c r="X372" s="7">
        <v>731.29</v>
      </c>
      <c r="Y372" s="7">
        <f t="shared" si="66"/>
        <v>731.29</v>
      </c>
      <c r="Z372" s="7" t="str">
        <f t="shared" si="67"/>
        <v>Low</v>
      </c>
      <c r="AA372" s="13">
        <v>5.8000000000000003E-2</v>
      </c>
      <c r="AB372" s="13">
        <f t="shared" si="68"/>
        <v>5.8000000000000003E-2</v>
      </c>
      <c r="AC372" s="13" t="str">
        <f t="shared" si="69"/>
        <v>OK</v>
      </c>
      <c r="AD372" s="7">
        <v>6</v>
      </c>
      <c r="AE372" s="7">
        <f>Y372*AD372*(1-AB372)</f>
        <v>4133.25108</v>
      </c>
      <c r="AF372" s="7">
        <f>W372*AD372</f>
        <v>2956.5</v>
      </c>
      <c r="AG372" s="7">
        <f t="shared" si="70"/>
        <v>1176.75108</v>
      </c>
      <c r="AH372" s="13">
        <f t="shared" si="71"/>
        <v>0.28470350753528384</v>
      </c>
    </row>
    <row r="373" spans="1:34" x14ac:dyDescent="0.35">
      <c r="A373" s="2" t="s">
        <v>385</v>
      </c>
      <c r="B373" s="5">
        <v>44962</v>
      </c>
      <c r="C373" s="5">
        <f>IF(H373&lt;B373,H373,B373)</f>
        <v>44962</v>
      </c>
      <c r="D373" s="5" t="str">
        <f t="shared" si="60"/>
        <v>Feb-2023</v>
      </c>
      <c r="E373" s="5" t="str">
        <f t="shared" si="61"/>
        <v>Feb</v>
      </c>
      <c r="F373" s="5" t="str">
        <f t="shared" si="62"/>
        <v>2023</v>
      </c>
      <c r="G373" s="5" t="str">
        <f t="shared" si="63"/>
        <v>Q1-2023</v>
      </c>
      <c r="H373" s="5">
        <v>44985</v>
      </c>
      <c r="I373" s="5">
        <f>IF(H373&lt;B373, B373+7, H373)</f>
        <v>44985</v>
      </c>
      <c r="J373" s="5" t="str">
        <f>IF(H373&lt;B373, "Invalid","Okay")</f>
        <v>Okay</v>
      </c>
      <c r="K373" s="16">
        <f>I373-C373</f>
        <v>23</v>
      </c>
      <c r="L373" s="16" t="str">
        <f t="shared" si="64"/>
        <v>Target Not Met</v>
      </c>
      <c r="M373" s="2" t="s">
        <v>648</v>
      </c>
      <c r="N373" s="2" t="s">
        <v>660</v>
      </c>
      <c r="O373" s="2" t="s">
        <v>697</v>
      </c>
      <c r="P373" s="29" t="str">
        <f t="shared" si="65"/>
        <v>Americas→USA→Austin</v>
      </c>
      <c r="Q373" s="2" t="s">
        <v>703</v>
      </c>
      <c r="R373" s="2" t="s">
        <v>710</v>
      </c>
      <c r="S373" s="2" t="s">
        <v>716</v>
      </c>
      <c r="T373" s="2" t="s">
        <v>730</v>
      </c>
      <c r="U373" t="e">
        <f>(AE373/#REF!)*100</f>
        <v>#REF!</v>
      </c>
      <c r="V373" s="2" t="s">
        <v>1105</v>
      </c>
      <c r="W373" s="7">
        <v>1214.49</v>
      </c>
      <c r="X373" s="7">
        <v>1533.95</v>
      </c>
      <c r="Y373" s="7">
        <f t="shared" si="66"/>
        <v>1533.95</v>
      </c>
      <c r="Z373" s="7" t="str">
        <f t="shared" si="67"/>
        <v>Medium</v>
      </c>
      <c r="AA373" s="13">
        <v>0</v>
      </c>
      <c r="AB373" s="13">
        <f t="shared" si="68"/>
        <v>0</v>
      </c>
      <c r="AC373" s="13" t="str">
        <f t="shared" si="69"/>
        <v>OK</v>
      </c>
      <c r="AD373" s="7">
        <v>11</v>
      </c>
      <c r="AE373" s="7">
        <f>Y373*AD373*(1-AB373)</f>
        <v>16873.45</v>
      </c>
      <c r="AF373" s="7">
        <f>W373*AD373</f>
        <v>13359.39</v>
      </c>
      <c r="AG373" s="7">
        <f t="shared" si="70"/>
        <v>3514.0600000000013</v>
      </c>
      <c r="AH373" s="13">
        <f t="shared" si="71"/>
        <v>0.20825972163369086</v>
      </c>
    </row>
    <row r="374" spans="1:34" x14ac:dyDescent="0.35">
      <c r="A374" s="2" t="s">
        <v>386</v>
      </c>
      <c r="B374" s="5">
        <v>45022</v>
      </c>
      <c r="C374" s="5">
        <f>IF(H374&lt;B374,H374,B374)</f>
        <v>45022</v>
      </c>
      <c r="D374" s="5" t="str">
        <f t="shared" si="60"/>
        <v>Apr-2023</v>
      </c>
      <c r="E374" s="5" t="str">
        <f t="shared" si="61"/>
        <v>Apr</v>
      </c>
      <c r="F374" s="5" t="str">
        <f t="shared" si="62"/>
        <v>2023</v>
      </c>
      <c r="G374" s="5" t="str">
        <f t="shared" si="63"/>
        <v>Q2-2023</v>
      </c>
      <c r="H374" s="5">
        <v>45024</v>
      </c>
      <c r="I374" s="5">
        <f>IF(H374&lt;B374, B374+7, H374)</f>
        <v>45024</v>
      </c>
      <c r="J374" s="5" t="str">
        <f>IF(H374&lt;B374, "Invalid","Okay")</f>
        <v>Okay</v>
      </c>
      <c r="K374" s="16">
        <f>I374-C374</f>
        <v>2</v>
      </c>
      <c r="L374" s="16" t="str">
        <f t="shared" si="64"/>
        <v>Target Met</v>
      </c>
      <c r="M374" s="2" t="s">
        <v>646</v>
      </c>
      <c r="N374" s="2" t="s">
        <v>651</v>
      </c>
      <c r="O374" s="2" t="s">
        <v>669</v>
      </c>
      <c r="P374" s="29" t="str">
        <f t="shared" si="65"/>
        <v>Africa→Nigeria→Abuja</v>
      </c>
      <c r="Q374" s="2" t="s">
        <v>705</v>
      </c>
      <c r="R374" s="2" t="s">
        <v>709</v>
      </c>
      <c r="S374" s="2" t="s">
        <v>723</v>
      </c>
      <c r="T374" s="2" t="s">
        <v>732</v>
      </c>
      <c r="U374" t="e">
        <f>(AE374/#REF!)*100</f>
        <v>#REF!</v>
      </c>
      <c r="V374" s="2" t="s">
        <v>1106</v>
      </c>
      <c r="W374" s="7">
        <v>720.35</v>
      </c>
      <c r="X374" s="7">
        <v>1571.66</v>
      </c>
      <c r="Y374" s="7">
        <f t="shared" si="66"/>
        <v>1571.66</v>
      </c>
      <c r="Z374" s="7" t="str">
        <f t="shared" si="67"/>
        <v>Medium</v>
      </c>
      <c r="AA374" s="13">
        <v>0.107</v>
      </c>
      <c r="AB374" s="13">
        <f t="shared" si="68"/>
        <v>0.107</v>
      </c>
      <c r="AC374" s="13" t="str">
        <f t="shared" si="69"/>
        <v>OK</v>
      </c>
      <c r="AD374" s="7">
        <v>23</v>
      </c>
      <c r="AE374" s="7">
        <f>Y374*AD374*(1-AB374)</f>
        <v>32280.32474</v>
      </c>
      <c r="AF374" s="7">
        <f>W374*AD374</f>
        <v>16568.05</v>
      </c>
      <c r="AG374" s="7">
        <f t="shared" si="70"/>
        <v>15712.274740000001</v>
      </c>
      <c r="AH374" s="13">
        <f t="shared" si="71"/>
        <v>0.4867446305622265</v>
      </c>
    </row>
    <row r="375" spans="1:34" x14ac:dyDescent="0.35">
      <c r="A375" s="2" t="s">
        <v>387</v>
      </c>
      <c r="B375" s="5">
        <v>45751</v>
      </c>
      <c r="C375" s="5">
        <f>IF(H375&lt;B375,H375,B375)</f>
        <v>45751</v>
      </c>
      <c r="D375" s="5" t="str">
        <f t="shared" si="60"/>
        <v>Apr-2025</v>
      </c>
      <c r="E375" s="5" t="str">
        <f t="shared" si="61"/>
        <v>Apr</v>
      </c>
      <c r="F375" s="5" t="str">
        <f t="shared" si="62"/>
        <v>2025</v>
      </c>
      <c r="G375" s="5" t="str">
        <f t="shared" si="63"/>
        <v>Q2-2025</v>
      </c>
      <c r="H375" s="5">
        <v>45757</v>
      </c>
      <c r="I375" s="5">
        <f>IF(H375&lt;B375, B375+7, H375)</f>
        <v>45757</v>
      </c>
      <c r="J375" s="5" t="str">
        <f>IF(H375&lt;B375, "Invalid","Okay")</f>
        <v>Okay</v>
      </c>
      <c r="K375" s="16">
        <f>I375-C375</f>
        <v>6</v>
      </c>
      <c r="L375" s="16" t="str">
        <f t="shared" si="64"/>
        <v>Target Met</v>
      </c>
      <c r="M375" s="2" t="s">
        <v>649</v>
      </c>
      <c r="N375" s="2" t="s">
        <v>658</v>
      </c>
      <c r="O375" s="2" t="s">
        <v>674</v>
      </c>
      <c r="P375" s="29" t="str">
        <f t="shared" si="65"/>
        <v>Europe→United Kingdom→Birmingham</v>
      </c>
      <c r="Q375" s="2" t="s">
        <v>703</v>
      </c>
      <c r="R375" s="2" t="s">
        <v>711</v>
      </c>
      <c r="S375" s="2" t="s">
        <v>725</v>
      </c>
      <c r="T375" s="2" t="s">
        <v>728</v>
      </c>
      <c r="U375" t="e">
        <f>(AE375/#REF!)*100</f>
        <v>#REF!</v>
      </c>
      <c r="V375" s="2" t="s">
        <v>1107</v>
      </c>
      <c r="W375" s="7">
        <v>290.14</v>
      </c>
      <c r="X375" s="7">
        <v>250.73</v>
      </c>
      <c r="Y375" s="7">
        <f t="shared" si="66"/>
        <v>250.73</v>
      </c>
      <c r="Z375" s="7" t="str">
        <f t="shared" si="67"/>
        <v>Low</v>
      </c>
      <c r="AA375" s="13">
        <v>3.4000000000000002E-2</v>
      </c>
      <c r="AB375" s="13">
        <f t="shared" si="68"/>
        <v>3.4000000000000002E-2</v>
      </c>
      <c r="AC375" s="13" t="str">
        <f t="shared" si="69"/>
        <v>OK</v>
      </c>
      <c r="AD375" s="7">
        <v>17</v>
      </c>
      <c r="AE375" s="7">
        <f>Y375*AD375*(1-AB375)</f>
        <v>4117.4880599999997</v>
      </c>
      <c r="AF375" s="7">
        <f>W375*AD375</f>
        <v>4932.38</v>
      </c>
      <c r="AG375" s="7">
        <f t="shared" si="70"/>
        <v>-814.89194000000043</v>
      </c>
      <c r="AH375" s="13">
        <f t="shared" si="71"/>
        <v>-0.19790997038131072</v>
      </c>
    </row>
    <row r="376" spans="1:34" x14ac:dyDescent="0.35">
      <c r="A376" s="2" t="s">
        <v>388</v>
      </c>
      <c r="B376" s="5">
        <v>45429</v>
      </c>
      <c r="C376" s="5">
        <f>IF(H376&lt;B376,H376,B376)</f>
        <v>45429</v>
      </c>
      <c r="D376" s="5" t="str">
        <f t="shared" si="60"/>
        <v>May-2024</v>
      </c>
      <c r="E376" s="5" t="str">
        <f t="shared" si="61"/>
        <v>May</v>
      </c>
      <c r="F376" s="5" t="str">
        <f t="shared" si="62"/>
        <v>2024</v>
      </c>
      <c r="G376" s="5" t="str">
        <f t="shared" si="63"/>
        <v>Q2-2024</v>
      </c>
      <c r="H376" s="5">
        <v>45439</v>
      </c>
      <c r="I376" s="5">
        <f>IF(H376&lt;B376, B376+7, H376)</f>
        <v>45439</v>
      </c>
      <c r="J376" s="5" t="str">
        <f>IF(H376&lt;B376, "Invalid","Okay")</f>
        <v>Okay</v>
      </c>
      <c r="K376" s="16">
        <f>I376-C376</f>
        <v>10</v>
      </c>
      <c r="L376" s="16" t="str">
        <f t="shared" si="64"/>
        <v>Target Not Met</v>
      </c>
      <c r="M376" s="2" t="s">
        <v>648</v>
      </c>
      <c r="N376" s="2" t="s">
        <v>660</v>
      </c>
      <c r="O376" s="2" t="s">
        <v>697</v>
      </c>
      <c r="P376" s="29" t="str">
        <f t="shared" si="65"/>
        <v>Americas→USA→Austin</v>
      </c>
      <c r="Q376" s="2" t="s">
        <v>703</v>
      </c>
      <c r="R376" s="2" t="s">
        <v>708</v>
      </c>
      <c r="S376" s="2" t="s">
        <v>712</v>
      </c>
      <c r="T376" s="2" t="s">
        <v>730</v>
      </c>
      <c r="U376" t="e">
        <f>(AE376/#REF!)*100</f>
        <v>#REF!</v>
      </c>
      <c r="V376" s="2" t="s">
        <v>1108</v>
      </c>
      <c r="W376" s="7">
        <v>1484.23</v>
      </c>
      <c r="X376" s="7">
        <v>3472.81</v>
      </c>
      <c r="Y376" s="7">
        <f t="shared" si="66"/>
        <v>3472.81</v>
      </c>
      <c r="Z376" s="7" t="str">
        <f t="shared" si="67"/>
        <v>High</v>
      </c>
      <c r="AA376" s="13">
        <v>0.25600000000000001</v>
      </c>
      <c r="AB376" s="13">
        <f t="shared" si="68"/>
        <v>0.25600000000000001</v>
      </c>
      <c r="AC376" s="13" t="str">
        <f t="shared" si="69"/>
        <v>OK</v>
      </c>
      <c r="AD376" s="7">
        <v>12</v>
      </c>
      <c r="AE376" s="7">
        <f>Y376*AD376*(1-AB376)</f>
        <v>31005.24768</v>
      </c>
      <c r="AF376" s="7">
        <f>W376*AD376</f>
        <v>17810.760000000002</v>
      </c>
      <c r="AG376" s="7">
        <f t="shared" si="70"/>
        <v>13194.487679999998</v>
      </c>
      <c r="AH376" s="13">
        <f t="shared" si="71"/>
        <v>0.42555659661803413</v>
      </c>
    </row>
    <row r="377" spans="1:34" x14ac:dyDescent="0.35">
      <c r="A377" s="2" t="s">
        <v>389</v>
      </c>
      <c r="B377" s="5">
        <v>45354</v>
      </c>
      <c r="C377" s="5">
        <f>IF(H377&lt;B377,H377,B377)</f>
        <v>45354</v>
      </c>
      <c r="D377" s="5" t="str">
        <f t="shared" si="60"/>
        <v>Mar-2024</v>
      </c>
      <c r="E377" s="5" t="str">
        <f t="shared" si="61"/>
        <v>Mar</v>
      </c>
      <c r="F377" s="5" t="str">
        <f t="shared" si="62"/>
        <v>2024</v>
      </c>
      <c r="G377" s="5" t="str">
        <f t="shared" si="63"/>
        <v>Q1-2024</v>
      </c>
      <c r="H377" s="5">
        <v>45370</v>
      </c>
      <c r="I377" s="5">
        <f>IF(H377&lt;B377, B377+7, H377)</f>
        <v>45370</v>
      </c>
      <c r="J377" s="5" t="str">
        <f>IF(H377&lt;B377, "Invalid","Okay")</f>
        <v>Okay</v>
      </c>
      <c r="K377" s="16">
        <f>I377-C377</f>
        <v>16</v>
      </c>
      <c r="L377" s="16" t="str">
        <f t="shared" si="64"/>
        <v>Target Not Met</v>
      </c>
      <c r="M377" s="2" t="s">
        <v>647</v>
      </c>
      <c r="N377" s="2" t="s">
        <v>659</v>
      </c>
      <c r="O377" s="2" t="s">
        <v>699</v>
      </c>
      <c r="P377" s="29" t="str">
        <f t="shared" si="65"/>
        <v>Asia→China→Beijing</v>
      </c>
      <c r="Q377" s="2" t="s">
        <v>704</v>
      </c>
      <c r="R377" s="2" t="s">
        <v>710</v>
      </c>
      <c r="S377" s="2" t="s">
        <v>715</v>
      </c>
      <c r="T377" s="2" t="s">
        <v>730</v>
      </c>
      <c r="U377" t="e">
        <f>(AE377/#REF!)*100</f>
        <v>#REF!</v>
      </c>
      <c r="V377" s="2" t="s">
        <v>1109</v>
      </c>
      <c r="W377" s="7">
        <v>988.83</v>
      </c>
      <c r="X377" s="7">
        <v>1206.04</v>
      </c>
      <c r="Y377" s="7">
        <f t="shared" si="66"/>
        <v>1206.04</v>
      </c>
      <c r="Z377" s="7" t="str">
        <f t="shared" si="67"/>
        <v>Medium</v>
      </c>
      <c r="AA377" s="13">
        <v>6.3E-2</v>
      </c>
      <c r="AB377" s="13">
        <f t="shared" si="68"/>
        <v>6.3E-2</v>
      </c>
      <c r="AC377" s="13" t="str">
        <f t="shared" si="69"/>
        <v>OK</v>
      </c>
      <c r="AD377" s="7">
        <v>34</v>
      </c>
      <c r="AE377" s="7">
        <f>Y377*AD377*(1-AB377)</f>
        <v>38422.022320000004</v>
      </c>
      <c r="AF377" s="7">
        <f>W377*AD377</f>
        <v>33620.22</v>
      </c>
      <c r="AG377" s="7">
        <f t="shared" si="70"/>
        <v>4801.8023200000025</v>
      </c>
      <c r="AH377" s="13">
        <f t="shared" si="71"/>
        <v>0.12497526236406606</v>
      </c>
    </row>
    <row r="378" spans="1:34" x14ac:dyDescent="0.35">
      <c r="A378" s="2" t="s">
        <v>390</v>
      </c>
      <c r="B378" s="5">
        <v>45835</v>
      </c>
      <c r="C378" s="5">
        <f>IF(H378&lt;B378,H378,B378)</f>
        <v>45835</v>
      </c>
      <c r="D378" s="5" t="str">
        <f t="shared" si="60"/>
        <v>Jun-2025</v>
      </c>
      <c r="E378" s="5" t="str">
        <f t="shared" si="61"/>
        <v>Jun</v>
      </c>
      <c r="F378" s="5" t="str">
        <f t="shared" si="62"/>
        <v>2025</v>
      </c>
      <c r="G378" s="5" t="str">
        <f t="shared" si="63"/>
        <v>Q2-2025</v>
      </c>
      <c r="H378" s="5">
        <v>45849</v>
      </c>
      <c r="I378" s="5">
        <f>IF(H378&lt;B378, B378+7, H378)</f>
        <v>45849</v>
      </c>
      <c r="J378" s="5" t="str">
        <f>IF(H378&lt;B378, "Invalid","Okay")</f>
        <v>Okay</v>
      </c>
      <c r="K378" s="16">
        <f>I378-C378</f>
        <v>14</v>
      </c>
      <c r="L378" s="16" t="str">
        <f t="shared" si="64"/>
        <v>Target Not Met</v>
      </c>
      <c r="M378" s="2" t="s">
        <v>647</v>
      </c>
      <c r="N378" s="2" t="s">
        <v>659</v>
      </c>
      <c r="O378" s="2" t="s">
        <v>685</v>
      </c>
      <c r="P378" s="29" t="str">
        <f t="shared" si="65"/>
        <v>Asia→China→Shanghai</v>
      </c>
      <c r="Q378" s="2" t="s">
        <v>705</v>
      </c>
      <c r="R378" s="2" t="s">
        <v>709</v>
      </c>
      <c r="S378" s="2" t="s">
        <v>716</v>
      </c>
      <c r="T378" s="2" t="s">
        <v>729</v>
      </c>
      <c r="U378" t="e">
        <f>(AE378/#REF!)*100</f>
        <v>#REF!</v>
      </c>
      <c r="V378" s="2" t="s">
        <v>1110</v>
      </c>
      <c r="W378" s="7">
        <v>1227.7</v>
      </c>
      <c r="X378" s="7">
        <v>2197.23</v>
      </c>
      <c r="Y378" s="7">
        <f t="shared" si="66"/>
        <v>2197.23</v>
      </c>
      <c r="Z378" s="7" t="str">
        <f t="shared" si="67"/>
        <v>High</v>
      </c>
      <c r="AA378" s="13">
        <v>9.9000000000000005E-2</v>
      </c>
      <c r="AB378" s="13">
        <f t="shared" si="68"/>
        <v>9.9000000000000005E-2</v>
      </c>
      <c r="AC378" s="13" t="str">
        <f t="shared" si="69"/>
        <v>OK</v>
      </c>
      <c r="AD378" s="7">
        <v>22</v>
      </c>
      <c r="AE378" s="7">
        <f>Y378*AD378*(1-AB378)</f>
        <v>43553.493060000001</v>
      </c>
      <c r="AF378" s="7">
        <f>W378*AD378</f>
        <v>27009.4</v>
      </c>
      <c r="AG378" s="7">
        <f t="shared" si="70"/>
        <v>16544.093059999999</v>
      </c>
      <c r="AH378" s="13">
        <f t="shared" si="71"/>
        <v>0.37985685871873898</v>
      </c>
    </row>
    <row r="379" spans="1:34" x14ac:dyDescent="0.35">
      <c r="A379" s="2" t="s">
        <v>391</v>
      </c>
      <c r="B379" s="5">
        <v>44998</v>
      </c>
      <c r="C379" s="5">
        <f>IF(H379&lt;B379,H379,B379)</f>
        <v>44998</v>
      </c>
      <c r="D379" s="5" t="str">
        <f t="shared" si="60"/>
        <v>Mar-2023</v>
      </c>
      <c r="E379" s="5" t="str">
        <f t="shared" si="61"/>
        <v>Mar</v>
      </c>
      <c r="F379" s="5" t="str">
        <f t="shared" si="62"/>
        <v>2023</v>
      </c>
      <c r="G379" s="5" t="str">
        <f t="shared" si="63"/>
        <v>Q1-2023</v>
      </c>
      <c r="H379" s="5">
        <v>45020</v>
      </c>
      <c r="I379" s="5">
        <f>IF(H379&lt;B379, B379+7, H379)</f>
        <v>45020</v>
      </c>
      <c r="J379" s="5" t="str">
        <f>IF(H379&lt;B379, "Invalid","Okay")</f>
        <v>Okay</v>
      </c>
      <c r="K379" s="16">
        <f>I379-C379</f>
        <v>22</v>
      </c>
      <c r="L379" s="16" t="str">
        <f t="shared" si="64"/>
        <v>Target Not Met</v>
      </c>
      <c r="M379" s="2" t="s">
        <v>646</v>
      </c>
      <c r="N379" s="2" t="s">
        <v>661</v>
      </c>
      <c r="O379" s="2" t="s">
        <v>687</v>
      </c>
      <c r="P379" s="29" t="str">
        <f t="shared" si="65"/>
        <v>Africa→South Africa→Durban</v>
      </c>
      <c r="Q379" s="2" t="s">
        <v>705</v>
      </c>
      <c r="R379" s="2" t="s">
        <v>707</v>
      </c>
      <c r="S379" s="2" t="s">
        <v>720</v>
      </c>
      <c r="T379" s="2" t="s">
        <v>727</v>
      </c>
      <c r="U379" t="e">
        <f>(AE379/#REF!)*100</f>
        <v>#REF!</v>
      </c>
      <c r="V379" s="2" t="s">
        <v>1111</v>
      </c>
      <c r="W379" s="7">
        <v>1113.7</v>
      </c>
      <c r="X379" s="7">
        <v>1620.6</v>
      </c>
      <c r="Y379" s="7">
        <f t="shared" si="66"/>
        <v>1620.6</v>
      </c>
      <c r="Z379" s="7" t="str">
        <f t="shared" si="67"/>
        <v>Medium</v>
      </c>
      <c r="AA379" s="13">
        <v>0.13900000000000001</v>
      </c>
      <c r="AB379" s="13">
        <f t="shared" si="68"/>
        <v>0.13900000000000001</v>
      </c>
      <c r="AC379" s="13" t="str">
        <f t="shared" si="69"/>
        <v>OK</v>
      </c>
      <c r="AD379" s="7">
        <v>11</v>
      </c>
      <c r="AE379" s="7">
        <f>Y379*AD379*(1-AB379)</f>
        <v>15348.702599999999</v>
      </c>
      <c r="AF379" s="7">
        <f>W379*AD379</f>
        <v>12250.7</v>
      </c>
      <c r="AG379" s="7">
        <f t="shared" si="70"/>
        <v>3098.002599999998</v>
      </c>
      <c r="AH379" s="13">
        <f t="shared" si="71"/>
        <v>0.20184133348182787</v>
      </c>
    </row>
    <row r="380" spans="1:34" x14ac:dyDescent="0.35">
      <c r="A380" s="2" t="s">
        <v>392</v>
      </c>
      <c r="B380" s="5">
        <v>45664</v>
      </c>
      <c r="C380" s="5">
        <f>IF(H380&lt;B380,H380,B380)</f>
        <v>45664</v>
      </c>
      <c r="D380" s="5" t="str">
        <f t="shared" si="60"/>
        <v>Jan-2025</v>
      </c>
      <c r="E380" s="5" t="str">
        <f t="shared" si="61"/>
        <v>Jan</v>
      </c>
      <c r="F380" s="5" t="str">
        <f t="shared" si="62"/>
        <v>2025</v>
      </c>
      <c r="G380" s="5" t="str">
        <f t="shared" si="63"/>
        <v>Q1-2025</v>
      </c>
      <c r="H380" s="5">
        <v>45677</v>
      </c>
      <c r="I380" s="5">
        <f>IF(H380&lt;B380, B380+7, H380)</f>
        <v>45677</v>
      </c>
      <c r="J380" s="5" t="str">
        <f>IF(H380&lt;B380, "Invalid","Okay")</f>
        <v>Okay</v>
      </c>
      <c r="K380" s="16">
        <f>I380-C380</f>
        <v>13</v>
      </c>
      <c r="L380" s="16" t="str">
        <f t="shared" si="64"/>
        <v>Target Not Met</v>
      </c>
      <c r="M380" s="2" t="s">
        <v>646</v>
      </c>
      <c r="N380" s="2" t="s">
        <v>661</v>
      </c>
      <c r="O380" s="2" t="s">
        <v>695</v>
      </c>
      <c r="P380" s="29" t="str">
        <f t="shared" si="65"/>
        <v>Africa→South Africa→Cape Town</v>
      </c>
      <c r="Q380" s="2" t="s">
        <v>701</v>
      </c>
      <c r="R380" s="2" t="s">
        <v>711</v>
      </c>
      <c r="S380" s="2" t="s">
        <v>723</v>
      </c>
      <c r="T380" s="2" t="s">
        <v>729</v>
      </c>
      <c r="U380" t="e">
        <f>(AE380/#REF!)*100</f>
        <v>#REF!</v>
      </c>
      <c r="V380" s="2" t="s">
        <v>1112</v>
      </c>
      <c r="W380" s="7">
        <v>432.13</v>
      </c>
      <c r="X380" s="7">
        <v>1034.6600000000001</v>
      </c>
      <c r="Y380" s="7">
        <f t="shared" si="66"/>
        <v>1034.6600000000001</v>
      </c>
      <c r="Z380" s="7" t="str">
        <f t="shared" si="67"/>
        <v>Low</v>
      </c>
      <c r="AA380" s="13">
        <v>9.1999999999999998E-2</v>
      </c>
      <c r="AB380" s="13">
        <f t="shared" si="68"/>
        <v>9.1999999999999998E-2</v>
      </c>
      <c r="AC380" s="13" t="str">
        <f t="shared" si="69"/>
        <v>OK</v>
      </c>
      <c r="AD380" s="7">
        <v>7</v>
      </c>
      <c r="AE380" s="7">
        <f>Y380*AD380*(1-AB380)</f>
        <v>6576.298960000001</v>
      </c>
      <c r="AF380" s="7">
        <f>W380*AD380</f>
        <v>3024.91</v>
      </c>
      <c r="AG380" s="7">
        <f t="shared" si="70"/>
        <v>3551.3889600000011</v>
      </c>
      <c r="AH380" s="13">
        <f t="shared" si="71"/>
        <v>0.54002851476204794</v>
      </c>
    </row>
    <row r="381" spans="1:34" x14ac:dyDescent="0.35">
      <c r="A381" s="2" t="s">
        <v>393</v>
      </c>
      <c r="B381" s="5">
        <v>45694</v>
      </c>
      <c r="C381" s="5">
        <f>IF(H381&lt;B381,H381,B381)</f>
        <v>45694</v>
      </c>
      <c r="D381" s="5" t="str">
        <f t="shared" si="60"/>
        <v>Feb-2025</v>
      </c>
      <c r="E381" s="5" t="str">
        <f t="shared" si="61"/>
        <v>Feb</v>
      </c>
      <c r="F381" s="5" t="str">
        <f t="shared" si="62"/>
        <v>2025</v>
      </c>
      <c r="G381" s="5" t="str">
        <f t="shared" si="63"/>
        <v>Q1-2025</v>
      </c>
      <c r="H381" s="5">
        <v>45703</v>
      </c>
      <c r="I381" s="5">
        <f>IF(H381&lt;B381, B381+7, H381)</f>
        <v>45703</v>
      </c>
      <c r="J381" s="5" t="str">
        <f>IF(H381&lt;B381, "Invalid","Okay")</f>
        <v>Okay</v>
      </c>
      <c r="K381" s="16">
        <f>I381-C381</f>
        <v>9</v>
      </c>
      <c r="L381" s="16" t="str">
        <f t="shared" si="64"/>
        <v>Target Not Met</v>
      </c>
      <c r="M381" s="2" t="s">
        <v>648</v>
      </c>
      <c r="N381" s="2" t="s">
        <v>655</v>
      </c>
      <c r="O381" s="2" t="s">
        <v>670</v>
      </c>
      <c r="P381" s="29" t="str">
        <f t="shared" si="65"/>
        <v>Americas→Brazil→São Paulo</v>
      </c>
      <c r="Q381" s="2" t="s">
        <v>703</v>
      </c>
      <c r="R381" s="2" t="s">
        <v>710</v>
      </c>
      <c r="S381" s="2" t="s">
        <v>721</v>
      </c>
      <c r="T381" s="2" t="s">
        <v>729</v>
      </c>
      <c r="U381" t="e">
        <f>(AE381/#REF!)*100</f>
        <v>#REF!</v>
      </c>
      <c r="V381" s="2" t="s">
        <v>1113</v>
      </c>
      <c r="W381" s="7">
        <v>837.39</v>
      </c>
      <c r="X381" s="7">
        <v>1905.42</v>
      </c>
      <c r="Y381" s="7">
        <f t="shared" si="66"/>
        <v>1905.42</v>
      </c>
      <c r="Z381" s="7" t="str">
        <f t="shared" si="67"/>
        <v>Medium</v>
      </c>
      <c r="AA381" s="13">
        <v>3.2000000000000001E-2</v>
      </c>
      <c r="AB381" s="13">
        <f t="shared" si="68"/>
        <v>3.2000000000000001E-2</v>
      </c>
      <c r="AC381" s="13" t="str">
        <f t="shared" si="69"/>
        <v>OK</v>
      </c>
      <c r="AD381" s="7">
        <v>18</v>
      </c>
      <c r="AE381" s="7">
        <f>Y381*AD381*(1-AB381)</f>
        <v>33200.038079999998</v>
      </c>
      <c r="AF381" s="7">
        <f>W381*AD381</f>
        <v>15073.02</v>
      </c>
      <c r="AG381" s="7">
        <f t="shared" si="70"/>
        <v>18127.018079999998</v>
      </c>
      <c r="AH381" s="13">
        <f t="shared" si="71"/>
        <v>0.54599389423350919</v>
      </c>
    </row>
    <row r="382" spans="1:34" x14ac:dyDescent="0.35">
      <c r="A382" s="2" t="s">
        <v>394</v>
      </c>
      <c r="B382" s="5">
        <v>45688</v>
      </c>
      <c r="C382" s="5">
        <f>IF(H382&lt;B382,H382,B382)</f>
        <v>45688</v>
      </c>
      <c r="D382" s="5" t="str">
        <f t="shared" si="60"/>
        <v>Jan-2025</v>
      </c>
      <c r="E382" s="5" t="str">
        <f t="shared" si="61"/>
        <v>Jan</v>
      </c>
      <c r="F382" s="5" t="str">
        <f t="shared" si="62"/>
        <v>2025</v>
      </c>
      <c r="G382" s="5" t="str">
        <f t="shared" si="63"/>
        <v>Q1-2025</v>
      </c>
      <c r="H382" s="5">
        <v>45705</v>
      </c>
      <c r="I382" s="5">
        <f>IF(H382&lt;B382, B382+7, H382)</f>
        <v>45705</v>
      </c>
      <c r="J382" s="5" t="str">
        <f>IF(H382&lt;B382, "Invalid","Okay")</f>
        <v>Okay</v>
      </c>
      <c r="K382" s="16">
        <f>I382-C382</f>
        <v>17</v>
      </c>
      <c r="L382" s="16" t="str">
        <f t="shared" si="64"/>
        <v>Target Not Met</v>
      </c>
      <c r="M382" s="2" t="s">
        <v>649</v>
      </c>
      <c r="N382" s="2" t="s">
        <v>658</v>
      </c>
      <c r="O382" s="2" t="s">
        <v>683</v>
      </c>
      <c r="P382" s="29" t="str">
        <f t="shared" si="65"/>
        <v>Europe→United Kingdom→London</v>
      </c>
      <c r="Q382" s="2" t="s">
        <v>706</v>
      </c>
      <c r="R382" s="2" t="s">
        <v>707</v>
      </c>
      <c r="S382" s="2" t="s">
        <v>722</v>
      </c>
      <c r="T382" s="2" t="s">
        <v>727</v>
      </c>
      <c r="U382" t="e">
        <f>(AE382/#REF!)*100</f>
        <v>#REF!</v>
      </c>
      <c r="V382" s="2" t="s">
        <v>812</v>
      </c>
      <c r="W382" s="7">
        <v>378.26</v>
      </c>
      <c r="X382" s="7">
        <v>541.55999999999995</v>
      </c>
      <c r="Y382" s="7">
        <f t="shared" si="66"/>
        <v>541.55999999999995</v>
      </c>
      <c r="Z382" s="7" t="str">
        <f t="shared" si="67"/>
        <v>Low</v>
      </c>
      <c r="AA382" s="13">
        <v>0.16300000000000001</v>
      </c>
      <c r="AB382" s="13">
        <f t="shared" si="68"/>
        <v>0.16300000000000001</v>
      </c>
      <c r="AC382" s="13" t="str">
        <f t="shared" si="69"/>
        <v>OK</v>
      </c>
      <c r="AD382" s="7">
        <v>25</v>
      </c>
      <c r="AE382" s="7">
        <f>Y382*AD382*(1-AB382)</f>
        <v>11332.142999999998</v>
      </c>
      <c r="AF382" s="7">
        <f>W382*AD382</f>
        <v>9456.5</v>
      </c>
      <c r="AG382" s="7">
        <f t="shared" si="70"/>
        <v>1875.6429999999982</v>
      </c>
      <c r="AH382" s="13">
        <f t="shared" si="71"/>
        <v>0.16551529573885526</v>
      </c>
    </row>
    <row r="383" spans="1:34" x14ac:dyDescent="0.35">
      <c r="A383" s="2" t="s">
        <v>395</v>
      </c>
      <c r="B383" s="5">
        <v>45876</v>
      </c>
      <c r="C383" s="5">
        <f>IF(H383&lt;B383,H383,B383)</f>
        <v>45876</v>
      </c>
      <c r="D383" s="5" t="str">
        <f t="shared" si="60"/>
        <v>Aug-2025</v>
      </c>
      <c r="E383" s="5" t="str">
        <f t="shared" si="61"/>
        <v>Aug</v>
      </c>
      <c r="F383" s="5" t="str">
        <f t="shared" si="62"/>
        <v>2025</v>
      </c>
      <c r="G383" s="5" t="str">
        <f t="shared" si="63"/>
        <v>Q3-2025</v>
      </c>
      <c r="H383" s="5">
        <v>45906</v>
      </c>
      <c r="I383" s="5">
        <f>IF(H383&lt;B383, B383+7, H383)</f>
        <v>45906</v>
      </c>
      <c r="J383" s="5" t="str">
        <f>IF(H383&lt;B383, "Invalid","Okay")</f>
        <v>Okay</v>
      </c>
      <c r="K383" s="16">
        <f>I383-C383</f>
        <v>30</v>
      </c>
      <c r="L383" s="16" t="str">
        <f t="shared" si="64"/>
        <v>Target Not Met</v>
      </c>
      <c r="M383" s="2" t="s">
        <v>648</v>
      </c>
      <c r="N383" s="2" t="s">
        <v>653</v>
      </c>
      <c r="O383" s="2" t="s">
        <v>681</v>
      </c>
      <c r="P383" s="29" t="str">
        <f t="shared" si="65"/>
        <v>Americas→Canada→Montreal</v>
      </c>
      <c r="Q383" s="2" t="s">
        <v>702</v>
      </c>
      <c r="R383" s="2" t="s">
        <v>711</v>
      </c>
      <c r="S383" s="2" t="s">
        <v>724</v>
      </c>
      <c r="T383" s="2" t="s">
        <v>729</v>
      </c>
      <c r="U383" t="e">
        <f>(AE383/#REF!)*100</f>
        <v>#REF!</v>
      </c>
      <c r="V383" s="2" t="s">
        <v>1114</v>
      </c>
      <c r="W383" s="7">
        <v>833.73</v>
      </c>
      <c r="X383" s="7">
        <v>1116.5999999999999</v>
      </c>
      <c r="Y383" s="7">
        <f t="shared" si="66"/>
        <v>1116.5999999999999</v>
      </c>
      <c r="Z383" s="7" t="str">
        <f t="shared" si="67"/>
        <v>Low</v>
      </c>
      <c r="AA383" s="13">
        <v>0.17599999999999999</v>
      </c>
      <c r="AB383" s="13">
        <f t="shared" si="68"/>
        <v>0.17599999999999999</v>
      </c>
      <c r="AC383" s="13" t="str">
        <f t="shared" si="69"/>
        <v>OK</v>
      </c>
      <c r="AD383" s="7">
        <v>14</v>
      </c>
      <c r="AE383" s="7">
        <f>Y383*AD383*(1-AB383)</f>
        <v>12881.097599999999</v>
      </c>
      <c r="AF383" s="7">
        <f>W383*AD383</f>
        <v>11672.220000000001</v>
      </c>
      <c r="AG383" s="7">
        <f t="shared" si="70"/>
        <v>1208.877599999998</v>
      </c>
      <c r="AH383" s="13">
        <f t="shared" si="71"/>
        <v>9.3848958958279924E-2</v>
      </c>
    </row>
    <row r="384" spans="1:34" x14ac:dyDescent="0.35">
      <c r="A384" s="2" t="s">
        <v>396</v>
      </c>
      <c r="B384" s="5">
        <v>45861</v>
      </c>
      <c r="C384" s="5">
        <f>IF(H384&lt;B384,H384,B384)</f>
        <v>45861</v>
      </c>
      <c r="D384" s="5" t="str">
        <f t="shared" si="60"/>
        <v>Jul-2025</v>
      </c>
      <c r="E384" s="5" t="str">
        <f t="shared" si="61"/>
        <v>Jul</v>
      </c>
      <c r="F384" s="5" t="str">
        <f t="shared" si="62"/>
        <v>2025</v>
      </c>
      <c r="G384" s="5" t="str">
        <f t="shared" si="63"/>
        <v>Q3-2025</v>
      </c>
      <c r="H384" s="5">
        <v>45886</v>
      </c>
      <c r="I384" s="5">
        <f>IF(H384&lt;B384, B384+7, H384)</f>
        <v>45886</v>
      </c>
      <c r="J384" s="5" t="str">
        <f>IF(H384&lt;B384, "Invalid","Okay")</f>
        <v>Okay</v>
      </c>
      <c r="K384" s="16">
        <f>I384-C384</f>
        <v>25</v>
      </c>
      <c r="L384" s="16" t="str">
        <f t="shared" si="64"/>
        <v>Target Not Met</v>
      </c>
      <c r="M384" s="2" t="s">
        <v>649</v>
      </c>
      <c r="N384" s="2" t="s">
        <v>658</v>
      </c>
      <c r="O384" s="2" t="s">
        <v>674</v>
      </c>
      <c r="P384" s="29" t="str">
        <f t="shared" si="65"/>
        <v>Europe→United Kingdom→Birmingham</v>
      </c>
      <c r="Q384" s="2" t="s">
        <v>702</v>
      </c>
      <c r="R384" s="2" t="s">
        <v>708</v>
      </c>
      <c r="S384" s="2" t="s">
        <v>714</v>
      </c>
      <c r="T384" s="2" t="s">
        <v>728</v>
      </c>
      <c r="U384" t="e">
        <f>(AE384/#REF!)*100</f>
        <v>#REF!</v>
      </c>
      <c r="V384" s="2" t="s">
        <v>1115</v>
      </c>
      <c r="W384" s="7">
        <v>1142.06</v>
      </c>
      <c r="X384" s="7">
        <v>1455</v>
      </c>
      <c r="Y384" s="7">
        <f t="shared" si="66"/>
        <v>1455</v>
      </c>
      <c r="Z384" s="7" t="str">
        <f t="shared" si="67"/>
        <v>Medium</v>
      </c>
      <c r="AA384" s="13">
        <v>7.8E-2</v>
      </c>
      <c r="AB384" s="13">
        <f t="shared" si="68"/>
        <v>7.8E-2</v>
      </c>
      <c r="AC384" s="13" t="str">
        <f t="shared" si="69"/>
        <v>OK</v>
      </c>
      <c r="AD384" s="7">
        <v>28</v>
      </c>
      <c r="AE384" s="7">
        <f>Y384*AD384*(1-AB384)</f>
        <v>37562.28</v>
      </c>
      <c r="AF384" s="7">
        <f>W384*AD384</f>
        <v>31977.68</v>
      </c>
      <c r="AG384" s="7">
        <f t="shared" si="70"/>
        <v>5584.5999999999985</v>
      </c>
      <c r="AH384" s="13">
        <f t="shared" si="71"/>
        <v>0.1486757459877302</v>
      </c>
    </row>
    <row r="385" spans="1:34" x14ac:dyDescent="0.35">
      <c r="A385" s="2" t="s">
        <v>397</v>
      </c>
      <c r="B385" s="5">
        <v>45097</v>
      </c>
      <c r="C385" s="5">
        <f>IF(H385&lt;B385,H385,B385)</f>
        <v>45097</v>
      </c>
      <c r="D385" s="5" t="str">
        <f t="shared" si="60"/>
        <v>Jun-2023</v>
      </c>
      <c r="E385" s="5" t="str">
        <f t="shared" si="61"/>
        <v>Jun</v>
      </c>
      <c r="F385" s="5" t="str">
        <f t="shared" si="62"/>
        <v>2023</v>
      </c>
      <c r="G385" s="5" t="str">
        <f t="shared" si="63"/>
        <v>Q2-2023</v>
      </c>
      <c r="H385" s="5">
        <v>45115</v>
      </c>
      <c r="I385" s="5">
        <f>IF(H385&lt;B385, B385+7, H385)</f>
        <v>45115</v>
      </c>
      <c r="J385" s="5" t="str">
        <f>IF(H385&lt;B385, "Invalid","Okay")</f>
        <v>Okay</v>
      </c>
      <c r="K385" s="16">
        <f>I385-C385</f>
        <v>18</v>
      </c>
      <c r="L385" s="16" t="str">
        <f t="shared" si="64"/>
        <v>Target Not Met</v>
      </c>
      <c r="M385" s="2" t="s">
        <v>648</v>
      </c>
      <c r="N385" s="2" t="s">
        <v>660</v>
      </c>
      <c r="O385" s="2" t="s">
        <v>700</v>
      </c>
      <c r="P385" s="29" t="str">
        <f t="shared" si="65"/>
        <v>Americas→USA→New York</v>
      </c>
      <c r="Q385" s="2" t="s">
        <v>704</v>
      </c>
      <c r="R385" s="2" t="s">
        <v>709</v>
      </c>
      <c r="S385" s="2" t="s">
        <v>719</v>
      </c>
      <c r="T385" s="2" t="s">
        <v>729</v>
      </c>
      <c r="U385" t="e">
        <f>(AE385/#REF!)*100</f>
        <v>#REF!</v>
      </c>
      <c r="V385" s="2" t="s">
        <v>1116</v>
      </c>
      <c r="W385" s="7">
        <v>1145.53</v>
      </c>
      <c r="X385" s="7">
        <v>1278.3</v>
      </c>
      <c r="Y385" s="7">
        <f t="shared" si="66"/>
        <v>1278.3</v>
      </c>
      <c r="Z385" s="7" t="str">
        <f t="shared" si="67"/>
        <v>Medium</v>
      </c>
      <c r="AA385" s="13">
        <v>0.09</v>
      </c>
      <c r="AB385" s="13">
        <f t="shared" si="68"/>
        <v>0.09</v>
      </c>
      <c r="AC385" s="13" t="str">
        <f t="shared" si="69"/>
        <v>OK</v>
      </c>
      <c r="AD385" s="7">
        <v>41</v>
      </c>
      <c r="AE385" s="7">
        <f>Y385*AD385*(1-AB385)</f>
        <v>47693.373</v>
      </c>
      <c r="AF385" s="7">
        <f>W385*AD385</f>
        <v>46966.729999999996</v>
      </c>
      <c r="AG385" s="7">
        <f t="shared" si="70"/>
        <v>726.64300000000367</v>
      </c>
      <c r="AH385" s="13">
        <f t="shared" si="71"/>
        <v>1.5235722581416158E-2</v>
      </c>
    </row>
    <row r="386" spans="1:34" x14ac:dyDescent="0.35">
      <c r="A386" s="2" t="s">
        <v>398</v>
      </c>
      <c r="B386" s="5">
        <v>45491</v>
      </c>
      <c r="C386" s="5">
        <f>IF(H386&lt;B386,H386,B386)</f>
        <v>45491</v>
      </c>
      <c r="D386" s="5" t="str">
        <f t="shared" si="60"/>
        <v>Jul-2024</v>
      </c>
      <c r="E386" s="5" t="str">
        <f t="shared" si="61"/>
        <v>Jul</v>
      </c>
      <c r="F386" s="5" t="str">
        <f t="shared" si="62"/>
        <v>2024</v>
      </c>
      <c r="G386" s="5" t="str">
        <f t="shared" si="63"/>
        <v>Q3-2024</v>
      </c>
      <c r="H386" s="5">
        <v>45511</v>
      </c>
      <c r="I386" s="5">
        <f>IF(H386&lt;B386, B386+7, H386)</f>
        <v>45511</v>
      </c>
      <c r="J386" s="5" t="str">
        <f>IF(H386&lt;B386, "Invalid","Okay")</f>
        <v>Okay</v>
      </c>
      <c r="K386" s="16">
        <f>I386-C386</f>
        <v>20</v>
      </c>
      <c r="L386" s="16" t="str">
        <f t="shared" si="64"/>
        <v>Target Not Met</v>
      </c>
      <c r="M386" s="2" t="s">
        <v>649</v>
      </c>
      <c r="N386" s="2" t="s">
        <v>657</v>
      </c>
      <c r="O386" s="2" t="s">
        <v>673</v>
      </c>
      <c r="P386" s="29" t="str">
        <f t="shared" si="65"/>
        <v>Europe→France→Marseille</v>
      </c>
      <c r="Q386" s="2" t="s">
        <v>701</v>
      </c>
      <c r="R386" s="2" t="s">
        <v>707</v>
      </c>
      <c r="S386" s="2" t="s">
        <v>721</v>
      </c>
      <c r="T386" s="2" t="s">
        <v>732</v>
      </c>
      <c r="U386" t="e">
        <f>(AE386/#REF!)*100</f>
        <v>#REF!</v>
      </c>
      <c r="V386" s="2" t="s">
        <v>1117</v>
      </c>
      <c r="W386" s="7">
        <v>941.35</v>
      </c>
      <c r="X386" s="7">
        <v>899.83</v>
      </c>
      <c r="Y386" s="7">
        <f t="shared" si="66"/>
        <v>899.83</v>
      </c>
      <c r="Z386" s="7" t="str">
        <f t="shared" si="67"/>
        <v>Low</v>
      </c>
      <c r="AA386" s="13">
        <v>5.8000000000000003E-2</v>
      </c>
      <c r="AB386" s="13">
        <f t="shared" si="68"/>
        <v>5.8000000000000003E-2</v>
      </c>
      <c r="AC386" s="13" t="str">
        <f t="shared" si="69"/>
        <v>OK</v>
      </c>
      <c r="AD386" s="7">
        <v>18</v>
      </c>
      <c r="AE386" s="7">
        <f>Y386*AD386*(1-AB386)</f>
        <v>15257.51748</v>
      </c>
      <c r="AF386" s="7">
        <f>W386*AD386</f>
        <v>16944.3</v>
      </c>
      <c r="AG386" s="7">
        <f t="shared" si="70"/>
        <v>-1686.7825199999988</v>
      </c>
      <c r="AH386" s="13">
        <f t="shared" si="71"/>
        <v>-0.11055419220139073</v>
      </c>
    </row>
    <row r="387" spans="1:34" x14ac:dyDescent="0.35">
      <c r="A387" s="2" t="s">
        <v>399</v>
      </c>
      <c r="B387" s="5">
        <v>45066</v>
      </c>
      <c r="C387" s="5">
        <f>IF(H387&lt;B387,H387,B387)</f>
        <v>45066</v>
      </c>
      <c r="D387" s="5" t="str">
        <f t="shared" ref="D387:D450" si="72">TEXT(B387,"MMM-YYYY")</f>
        <v>May-2023</v>
      </c>
      <c r="E387" s="5" t="str">
        <f t="shared" ref="E387:E450" si="73">TEXT(C387,"MMM")</f>
        <v>May</v>
      </c>
      <c r="F387" s="5" t="str">
        <f t="shared" ref="F387:F450" si="74">TEXT(C387,"YYYY")</f>
        <v>2023</v>
      </c>
      <c r="G387" s="5" t="str">
        <f t="shared" ref="G387:G450" si="75">IF(MONTH(D387)&lt;=3,"Q1",IF(MONTH(D387)&lt;=6,"Q2",IF(MONTH(D387)&lt;=9,"Q3","Q4")))&amp;"-"&amp;YEAR(C387)</f>
        <v>Q2-2023</v>
      </c>
      <c r="H387" s="5">
        <v>45096</v>
      </c>
      <c r="I387" s="5">
        <f>IF(H387&lt;B387, B387+7, H387)</f>
        <v>45096</v>
      </c>
      <c r="J387" s="5" t="str">
        <f>IF(H387&lt;B387, "Invalid","Okay")</f>
        <v>Okay</v>
      </c>
      <c r="K387" s="16">
        <f>I387-C387</f>
        <v>30</v>
      </c>
      <c r="L387" s="16" t="str">
        <f t="shared" ref="L387:L450" si="76">IF(K387&lt;=7,"Target Met","Target Not Met")</f>
        <v>Target Not Met</v>
      </c>
      <c r="M387" s="2" t="s">
        <v>647</v>
      </c>
      <c r="N387" s="2" t="s">
        <v>654</v>
      </c>
      <c r="O387" s="2" t="s">
        <v>680</v>
      </c>
      <c r="P387" s="29" t="str">
        <f t="shared" ref="P387:P450" si="77">_xlfn.CONCAT(M387,"→",N387,"→",O387)</f>
        <v>Asia→India→Delhi</v>
      </c>
      <c r="Q387" s="2" t="s">
        <v>703</v>
      </c>
      <c r="R387" s="2" t="s">
        <v>709</v>
      </c>
      <c r="S387" s="2" t="s">
        <v>722</v>
      </c>
      <c r="T387" s="2" t="s">
        <v>731</v>
      </c>
      <c r="U387" t="e">
        <f>(AE387/#REF!)*100</f>
        <v>#REF!</v>
      </c>
      <c r="V387" s="2" t="s">
        <v>1118</v>
      </c>
      <c r="W387" s="7">
        <v>1161.2</v>
      </c>
      <c r="X387" s="7">
        <v>878.73</v>
      </c>
      <c r="Y387" s="7">
        <f t="shared" ref="Y387:Y450" si="78">ABS(X387)</f>
        <v>878.73</v>
      </c>
      <c r="Z387" s="7" t="str">
        <f t="shared" ref="Z387:Z450" si="79">IF(Y387&lt;1193.97,"Low",IF(Y387&lt;1912.05,"Medium","High"))</f>
        <v>Low</v>
      </c>
      <c r="AA387" s="13">
        <v>0.19</v>
      </c>
      <c r="AB387" s="13">
        <f t="shared" ref="AB387:AB450" si="80">IF(AA387&gt;30%,"12.14%", AA387)</f>
        <v>0.19</v>
      </c>
      <c r="AC387" s="13" t="str">
        <f t="shared" ref="AC387:AC450" si="81">IF(AA387&gt;30%, "High", "OK")</f>
        <v>OK</v>
      </c>
      <c r="AD387" s="7">
        <v>31</v>
      </c>
      <c r="AE387" s="7">
        <f>Y387*AD387*(1-AB387)</f>
        <v>22064.910300000003</v>
      </c>
      <c r="AF387" s="7">
        <f>W387*AD387</f>
        <v>35997.200000000004</v>
      </c>
      <c r="AG387" s="7">
        <f t="shared" ref="AG387:AG450" si="82">AE387-AF387</f>
        <v>-13932.289700000001</v>
      </c>
      <c r="AH387" s="13">
        <f t="shared" ref="AH387:AH450" si="83">IF(AE387=0,0,AG387/AE387)</f>
        <v>-0.63142290227212028</v>
      </c>
    </row>
    <row r="388" spans="1:34" x14ac:dyDescent="0.35">
      <c r="A388" s="2" t="s">
        <v>400</v>
      </c>
      <c r="B388" s="5">
        <v>45789</v>
      </c>
      <c r="C388" s="5">
        <f>IF(H388&lt;B388,H388,B388)</f>
        <v>45789</v>
      </c>
      <c r="D388" s="5" t="str">
        <f t="shared" si="72"/>
        <v>May-2025</v>
      </c>
      <c r="E388" s="5" t="str">
        <f t="shared" si="73"/>
        <v>May</v>
      </c>
      <c r="F388" s="5" t="str">
        <f t="shared" si="74"/>
        <v>2025</v>
      </c>
      <c r="G388" s="5" t="str">
        <f t="shared" si="75"/>
        <v>Q2-2025</v>
      </c>
      <c r="H388" s="5">
        <v>45803</v>
      </c>
      <c r="I388" s="5">
        <f>IF(H388&lt;B388, B388+7, H388)</f>
        <v>45803</v>
      </c>
      <c r="J388" s="5" t="str">
        <f>IF(H388&lt;B388, "Invalid","Okay")</f>
        <v>Okay</v>
      </c>
      <c r="K388" s="16">
        <f>I388-C388</f>
        <v>14</v>
      </c>
      <c r="L388" s="16" t="str">
        <f t="shared" si="76"/>
        <v>Target Not Met</v>
      </c>
      <c r="M388" s="2" t="s">
        <v>647</v>
      </c>
      <c r="N388" s="2" t="s">
        <v>654</v>
      </c>
      <c r="O388" s="2" t="s">
        <v>696</v>
      </c>
      <c r="P388" s="29" t="str">
        <f t="shared" si="77"/>
        <v>Asia→India→Hyderabad</v>
      </c>
      <c r="Q388" s="2" t="s">
        <v>701</v>
      </c>
      <c r="R388" s="2" t="s">
        <v>709</v>
      </c>
      <c r="S388" s="2" t="s">
        <v>715</v>
      </c>
      <c r="T388" s="2" t="s">
        <v>728</v>
      </c>
      <c r="U388" t="e">
        <f>(AE388/#REF!)*100</f>
        <v>#REF!</v>
      </c>
      <c r="V388" s="2" t="s">
        <v>1119</v>
      </c>
      <c r="W388" s="7">
        <v>320.12</v>
      </c>
      <c r="X388" s="7">
        <v>594.41999999999996</v>
      </c>
      <c r="Y388" s="7">
        <f t="shared" si="78"/>
        <v>594.41999999999996</v>
      </c>
      <c r="Z388" s="7" t="str">
        <f t="shared" si="79"/>
        <v>Low</v>
      </c>
      <c r="AA388" s="13">
        <v>0.104</v>
      </c>
      <c r="AB388" s="13">
        <f t="shared" si="80"/>
        <v>0.104</v>
      </c>
      <c r="AC388" s="13" t="str">
        <f t="shared" si="81"/>
        <v>OK</v>
      </c>
      <c r="AD388" s="7">
        <v>18</v>
      </c>
      <c r="AE388" s="7">
        <f>Y388*AD388*(1-AB388)</f>
        <v>9586.8057599999993</v>
      </c>
      <c r="AF388" s="7">
        <f>W388*AD388</f>
        <v>5762.16</v>
      </c>
      <c r="AG388" s="7">
        <f t="shared" si="82"/>
        <v>3824.6457599999994</v>
      </c>
      <c r="AH388" s="13">
        <f t="shared" si="83"/>
        <v>0.39894891538931104</v>
      </c>
    </row>
    <row r="389" spans="1:34" x14ac:dyDescent="0.35">
      <c r="A389" s="2" t="s">
        <v>401</v>
      </c>
      <c r="B389" s="5">
        <v>45419</v>
      </c>
      <c r="C389" s="5">
        <f>IF(H389&lt;B389,H389,B389)</f>
        <v>45419</v>
      </c>
      <c r="D389" s="5" t="str">
        <f t="shared" si="72"/>
        <v>May-2024</v>
      </c>
      <c r="E389" s="5" t="str">
        <f t="shared" si="73"/>
        <v>May</v>
      </c>
      <c r="F389" s="5" t="str">
        <f t="shared" si="74"/>
        <v>2024</v>
      </c>
      <c r="G389" s="5" t="str">
        <f t="shared" si="75"/>
        <v>Q2-2024</v>
      </c>
      <c r="H389" s="5">
        <v>45424</v>
      </c>
      <c r="I389" s="5">
        <f>IF(H389&lt;B389, B389+7, H389)</f>
        <v>45424</v>
      </c>
      <c r="J389" s="5" t="str">
        <f>IF(H389&lt;B389, "Invalid","Okay")</f>
        <v>Okay</v>
      </c>
      <c r="K389" s="16">
        <f>I389-C389</f>
        <v>5</v>
      </c>
      <c r="L389" s="16" t="str">
        <f t="shared" si="76"/>
        <v>Target Met</v>
      </c>
      <c r="M389" s="2" t="s">
        <v>646</v>
      </c>
      <c r="N389" s="2" t="s">
        <v>651</v>
      </c>
      <c r="O389" s="2" t="s">
        <v>669</v>
      </c>
      <c r="P389" s="29" t="str">
        <f t="shared" si="77"/>
        <v>Africa→Nigeria→Abuja</v>
      </c>
      <c r="Q389" s="2" t="s">
        <v>703</v>
      </c>
      <c r="R389" s="2" t="s">
        <v>710</v>
      </c>
      <c r="S389" s="2" t="s">
        <v>716</v>
      </c>
      <c r="T389" s="2" t="s">
        <v>731</v>
      </c>
      <c r="U389" t="e">
        <f>(AE389/#REF!)*100</f>
        <v>#REF!</v>
      </c>
      <c r="V389" s="2" t="s">
        <v>1120</v>
      </c>
      <c r="W389" s="7">
        <v>1163.99</v>
      </c>
      <c r="X389" s="7">
        <v>1617.85</v>
      </c>
      <c r="Y389" s="7">
        <f t="shared" si="78"/>
        <v>1617.85</v>
      </c>
      <c r="Z389" s="7" t="str">
        <f t="shared" si="79"/>
        <v>Medium</v>
      </c>
      <c r="AA389" s="13">
        <v>0.127</v>
      </c>
      <c r="AB389" s="13">
        <f t="shared" si="80"/>
        <v>0.127</v>
      </c>
      <c r="AC389" s="13" t="str">
        <f t="shared" si="81"/>
        <v>OK</v>
      </c>
      <c r="AD389" s="7">
        <v>14</v>
      </c>
      <c r="AE389" s="7">
        <f>Y389*AD389*(1-AB389)</f>
        <v>19773.362699999998</v>
      </c>
      <c r="AF389" s="7">
        <f>W389*AD389</f>
        <v>16295.86</v>
      </c>
      <c r="AG389" s="7">
        <f t="shared" si="82"/>
        <v>3477.5026999999973</v>
      </c>
      <c r="AH389" s="13">
        <f t="shared" si="83"/>
        <v>0.17586804797749436</v>
      </c>
    </row>
    <row r="390" spans="1:34" x14ac:dyDescent="0.35">
      <c r="A390" s="2" t="s">
        <v>402</v>
      </c>
      <c r="B390" s="5">
        <v>45199</v>
      </c>
      <c r="C390" s="5">
        <f>IF(H390&lt;B390,H390,B390)</f>
        <v>45199</v>
      </c>
      <c r="D390" s="5" t="str">
        <f t="shared" si="72"/>
        <v>Sep-2023</v>
      </c>
      <c r="E390" s="5" t="str">
        <f t="shared" si="73"/>
        <v>Sep</v>
      </c>
      <c r="F390" s="5" t="str">
        <f t="shared" si="74"/>
        <v>2023</v>
      </c>
      <c r="G390" s="5" t="str">
        <f t="shared" si="75"/>
        <v>Q3-2023</v>
      </c>
      <c r="H390" s="5">
        <v>45202</v>
      </c>
      <c r="I390" s="5">
        <f>IF(H390&lt;B390, B390+7, H390)</f>
        <v>45202</v>
      </c>
      <c r="J390" s="5" t="str">
        <f>IF(H390&lt;B390, "Invalid","Okay")</f>
        <v>Okay</v>
      </c>
      <c r="K390" s="16">
        <f>I390-C390</f>
        <v>3</v>
      </c>
      <c r="L390" s="16" t="str">
        <f t="shared" si="76"/>
        <v>Target Met</v>
      </c>
      <c r="M390" s="2" t="s">
        <v>647</v>
      </c>
      <c r="N390" s="2" t="s">
        <v>659</v>
      </c>
      <c r="O390" s="2" t="s">
        <v>699</v>
      </c>
      <c r="P390" s="29" t="str">
        <f t="shared" si="77"/>
        <v>Asia→China→Beijing</v>
      </c>
      <c r="Q390" s="2" t="s">
        <v>703</v>
      </c>
      <c r="R390" s="2" t="s">
        <v>707</v>
      </c>
      <c r="S390" s="2" t="s">
        <v>713</v>
      </c>
      <c r="T390" s="2" t="s">
        <v>731</v>
      </c>
      <c r="U390" t="e">
        <f>(AE390/#REF!)*100</f>
        <v>#REF!</v>
      </c>
      <c r="V390" s="2" t="s">
        <v>1121</v>
      </c>
      <c r="W390" s="7">
        <v>1019.36</v>
      </c>
      <c r="X390" s="7">
        <v>972.91</v>
      </c>
      <c r="Y390" s="7">
        <f t="shared" si="78"/>
        <v>972.91</v>
      </c>
      <c r="Z390" s="7" t="str">
        <f t="shared" si="79"/>
        <v>Low</v>
      </c>
      <c r="AA390" s="13">
        <v>0.14699999999999999</v>
      </c>
      <c r="AB390" s="13">
        <f t="shared" si="80"/>
        <v>0.14699999999999999</v>
      </c>
      <c r="AC390" s="13" t="str">
        <f t="shared" si="81"/>
        <v>OK</v>
      </c>
      <c r="AD390" s="7">
        <v>17</v>
      </c>
      <c r="AE390" s="7">
        <f>Y390*AD390*(1-AB390)</f>
        <v>14108.16791</v>
      </c>
      <c r="AF390" s="7">
        <f>W390*AD390</f>
        <v>17329.12</v>
      </c>
      <c r="AG390" s="7">
        <f t="shared" si="82"/>
        <v>-3220.9520899999989</v>
      </c>
      <c r="AH390" s="13">
        <f t="shared" si="83"/>
        <v>-0.22830406545678819</v>
      </c>
    </row>
    <row r="391" spans="1:34" x14ac:dyDescent="0.35">
      <c r="A391" s="2" t="s">
        <v>403</v>
      </c>
      <c r="B391" s="5">
        <v>45225</v>
      </c>
      <c r="C391" s="5">
        <f>IF(H391&lt;B391,H391,B391)</f>
        <v>45225</v>
      </c>
      <c r="D391" s="5" t="str">
        <f t="shared" si="72"/>
        <v>Oct-2023</v>
      </c>
      <c r="E391" s="5" t="str">
        <f t="shared" si="73"/>
        <v>Oct</v>
      </c>
      <c r="F391" s="5" t="str">
        <f t="shared" si="74"/>
        <v>2023</v>
      </c>
      <c r="G391" s="5" t="str">
        <f t="shared" si="75"/>
        <v>Q4-2023</v>
      </c>
      <c r="H391" s="5">
        <v>45235</v>
      </c>
      <c r="I391" s="5">
        <f>IF(H391&lt;B391, B391+7, H391)</f>
        <v>45235</v>
      </c>
      <c r="J391" s="5" t="str">
        <f>IF(H391&lt;B391, "Invalid","Okay")</f>
        <v>Okay</v>
      </c>
      <c r="K391" s="16">
        <f>I391-C391</f>
        <v>10</v>
      </c>
      <c r="L391" s="16" t="str">
        <f t="shared" si="76"/>
        <v>Target Not Met</v>
      </c>
      <c r="M391" s="2" t="s">
        <v>646</v>
      </c>
      <c r="N391" s="2" t="s">
        <v>661</v>
      </c>
      <c r="O391" s="2" t="s">
        <v>695</v>
      </c>
      <c r="P391" s="29" t="str">
        <f t="shared" si="77"/>
        <v>Africa→South Africa→Cape Town</v>
      </c>
      <c r="Q391" s="2" t="s">
        <v>703</v>
      </c>
      <c r="R391" s="2" t="s">
        <v>708</v>
      </c>
      <c r="S391" s="2" t="s">
        <v>714</v>
      </c>
      <c r="T391" s="2" t="s">
        <v>731</v>
      </c>
      <c r="U391" t="e">
        <f>(AE391/#REF!)*100</f>
        <v>#REF!</v>
      </c>
      <c r="V391" s="2" t="s">
        <v>1122</v>
      </c>
      <c r="W391" s="7">
        <v>20.38</v>
      </c>
      <c r="X391" s="7">
        <v>42.56</v>
      </c>
      <c r="Y391" s="7">
        <f t="shared" si="78"/>
        <v>42.56</v>
      </c>
      <c r="Z391" s="7" t="str">
        <f t="shared" si="79"/>
        <v>Low</v>
      </c>
      <c r="AA391" s="13">
        <v>7.1999999999999995E-2</v>
      </c>
      <c r="AB391" s="13">
        <f t="shared" si="80"/>
        <v>7.1999999999999995E-2</v>
      </c>
      <c r="AC391" s="13" t="str">
        <f t="shared" si="81"/>
        <v>OK</v>
      </c>
      <c r="AD391" s="7">
        <v>11</v>
      </c>
      <c r="AE391" s="7">
        <f>Y391*AD391*(1-AB391)</f>
        <v>434.45248000000004</v>
      </c>
      <c r="AF391" s="7">
        <f>W391*AD391</f>
        <v>224.17999999999998</v>
      </c>
      <c r="AG391" s="7">
        <f t="shared" si="82"/>
        <v>210.27248000000006</v>
      </c>
      <c r="AH391" s="13">
        <f t="shared" si="83"/>
        <v>0.48399419885921713</v>
      </c>
    </row>
    <row r="392" spans="1:34" x14ac:dyDescent="0.35">
      <c r="A392" s="2" t="s">
        <v>404</v>
      </c>
      <c r="B392" s="5">
        <v>45823</v>
      </c>
      <c r="C392" s="5">
        <f>IF(H392&lt;B392,H392,B392)</f>
        <v>45823</v>
      </c>
      <c r="D392" s="5" t="str">
        <f t="shared" si="72"/>
        <v>Jun-2025</v>
      </c>
      <c r="E392" s="5" t="str">
        <f t="shared" si="73"/>
        <v>Jun</v>
      </c>
      <c r="F392" s="5" t="str">
        <f t="shared" si="74"/>
        <v>2025</v>
      </c>
      <c r="G392" s="5" t="str">
        <f t="shared" si="75"/>
        <v>Q2-2025</v>
      </c>
      <c r="H392" s="5">
        <v>45838</v>
      </c>
      <c r="I392" s="5">
        <f>IF(H392&lt;B392, B392+7, H392)</f>
        <v>45838</v>
      </c>
      <c r="J392" s="5" t="str">
        <f>IF(H392&lt;B392, "Invalid","Okay")</f>
        <v>Okay</v>
      </c>
      <c r="K392" s="16">
        <f>I392-C392</f>
        <v>15</v>
      </c>
      <c r="L392" s="16" t="str">
        <f t="shared" si="76"/>
        <v>Target Not Met</v>
      </c>
      <c r="M392" s="2" t="s">
        <v>646</v>
      </c>
      <c r="N392" s="2" t="s">
        <v>661</v>
      </c>
      <c r="O392" s="2" t="s">
        <v>682</v>
      </c>
      <c r="P392" s="29" t="str">
        <f t="shared" si="77"/>
        <v>Africa→South Africa→Johannesburg</v>
      </c>
      <c r="Q392" s="2" t="s">
        <v>705</v>
      </c>
      <c r="R392" s="2" t="s">
        <v>711</v>
      </c>
      <c r="S392" s="2" t="s">
        <v>712</v>
      </c>
      <c r="T392" s="2" t="s">
        <v>732</v>
      </c>
      <c r="U392" t="e">
        <f>(AE392/#REF!)*100</f>
        <v>#REF!</v>
      </c>
      <c r="V392" s="2" t="s">
        <v>1123</v>
      </c>
      <c r="W392" s="7">
        <v>1487.59</v>
      </c>
      <c r="X392" s="7">
        <v>1480.83</v>
      </c>
      <c r="Y392" s="7">
        <f t="shared" si="78"/>
        <v>1480.83</v>
      </c>
      <c r="Z392" s="7" t="str">
        <f t="shared" si="79"/>
        <v>Medium</v>
      </c>
      <c r="AA392" s="13">
        <v>8.9999999999999993E-3</v>
      </c>
      <c r="AB392" s="13">
        <f t="shared" si="80"/>
        <v>8.9999999999999993E-3</v>
      </c>
      <c r="AC392" s="13" t="str">
        <f t="shared" si="81"/>
        <v>OK</v>
      </c>
      <c r="AD392" s="7">
        <v>11</v>
      </c>
      <c r="AE392" s="7">
        <f>Y392*AD392*(1-AB392)</f>
        <v>16142.527829999999</v>
      </c>
      <c r="AF392" s="7">
        <f>W392*AD392</f>
        <v>16363.49</v>
      </c>
      <c r="AG392" s="7">
        <f t="shared" si="82"/>
        <v>-220.9621700000007</v>
      </c>
      <c r="AH392" s="13">
        <f t="shared" si="83"/>
        <v>-1.3688201273492908E-2</v>
      </c>
    </row>
    <row r="393" spans="1:34" x14ac:dyDescent="0.35">
      <c r="A393" s="2" t="s">
        <v>405</v>
      </c>
      <c r="B393" s="5">
        <v>45514</v>
      </c>
      <c r="C393" s="5">
        <f>IF(H393&lt;B393,H393,B393)</f>
        <v>45514</v>
      </c>
      <c r="D393" s="5" t="str">
        <f t="shared" si="72"/>
        <v>Aug-2024</v>
      </c>
      <c r="E393" s="5" t="str">
        <f t="shared" si="73"/>
        <v>Aug</v>
      </c>
      <c r="F393" s="5" t="str">
        <f t="shared" si="74"/>
        <v>2024</v>
      </c>
      <c r="G393" s="5" t="str">
        <f t="shared" si="75"/>
        <v>Q3-2024</v>
      </c>
      <c r="H393" s="5">
        <v>45542</v>
      </c>
      <c r="I393" s="5">
        <f>IF(H393&lt;B393, B393+7, H393)</f>
        <v>45542</v>
      </c>
      <c r="J393" s="5" t="str">
        <f>IF(H393&lt;B393, "Invalid","Okay")</f>
        <v>Okay</v>
      </c>
      <c r="K393" s="16">
        <f>I393-C393</f>
        <v>28</v>
      </c>
      <c r="L393" s="16" t="str">
        <f t="shared" si="76"/>
        <v>Target Not Met</v>
      </c>
      <c r="M393" s="2" t="s">
        <v>649</v>
      </c>
      <c r="N393" s="2" t="s">
        <v>657</v>
      </c>
      <c r="O393" s="2" t="s">
        <v>673</v>
      </c>
      <c r="P393" s="29" t="str">
        <f t="shared" si="77"/>
        <v>Europe→France→Marseille</v>
      </c>
      <c r="Q393" s="2" t="s">
        <v>703</v>
      </c>
      <c r="R393" s="2" t="s">
        <v>711</v>
      </c>
      <c r="S393" s="2" t="s">
        <v>721</v>
      </c>
      <c r="T393" s="2" t="s">
        <v>728</v>
      </c>
      <c r="U393" t="e">
        <f>(AE393/#REF!)*100</f>
        <v>#REF!</v>
      </c>
      <c r="V393" s="2" t="s">
        <v>1124</v>
      </c>
      <c r="W393" s="7">
        <v>229.96</v>
      </c>
      <c r="X393" s="7">
        <v>564.26</v>
      </c>
      <c r="Y393" s="7">
        <f t="shared" si="78"/>
        <v>564.26</v>
      </c>
      <c r="Z393" s="7" t="str">
        <f t="shared" si="79"/>
        <v>Low</v>
      </c>
      <c r="AA393" s="13">
        <v>0.105</v>
      </c>
      <c r="AB393" s="13">
        <f t="shared" si="80"/>
        <v>0.105</v>
      </c>
      <c r="AC393" s="13" t="str">
        <f t="shared" si="81"/>
        <v>OK</v>
      </c>
      <c r="AD393" s="7">
        <v>5</v>
      </c>
      <c r="AE393" s="7">
        <f>Y393*AD393*(1-AB393)</f>
        <v>2525.0635000000002</v>
      </c>
      <c r="AF393" s="7">
        <f>W393*AD393</f>
        <v>1149.8</v>
      </c>
      <c r="AG393" s="7">
        <f t="shared" si="82"/>
        <v>1375.2635000000002</v>
      </c>
      <c r="AH393" s="13">
        <f t="shared" si="83"/>
        <v>0.54464511486542821</v>
      </c>
    </row>
    <row r="394" spans="1:34" x14ac:dyDescent="0.35">
      <c r="A394" s="2" t="s">
        <v>406</v>
      </c>
      <c r="B394" s="5">
        <v>45208</v>
      </c>
      <c r="C394" s="5">
        <f>IF(H394&lt;B394,H394,B394)</f>
        <v>45208</v>
      </c>
      <c r="D394" s="5" t="str">
        <f t="shared" si="72"/>
        <v>Oct-2023</v>
      </c>
      <c r="E394" s="5" t="str">
        <f t="shared" si="73"/>
        <v>Oct</v>
      </c>
      <c r="F394" s="5" t="str">
        <f t="shared" si="74"/>
        <v>2023</v>
      </c>
      <c r="G394" s="5" t="str">
        <f t="shared" si="75"/>
        <v>Q4-2023</v>
      </c>
      <c r="H394" s="5">
        <v>45225</v>
      </c>
      <c r="I394" s="5">
        <f>IF(H394&lt;B394, B394+7, H394)</f>
        <v>45225</v>
      </c>
      <c r="J394" s="5" t="str">
        <f>IF(H394&lt;B394, "Invalid","Okay")</f>
        <v>Okay</v>
      </c>
      <c r="K394" s="16">
        <f>I394-C394</f>
        <v>17</v>
      </c>
      <c r="L394" s="16" t="str">
        <f t="shared" si="76"/>
        <v>Target Not Met</v>
      </c>
      <c r="M394" s="2" t="s">
        <v>647</v>
      </c>
      <c r="N394" s="2" t="s">
        <v>659</v>
      </c>
      <c r="O394" s="2" t="s">
        <v>685</v>
      </c>
      <c r="P394" s="29" t="str">
        <f t="shared" si="77"/>
        <v>Asia→China→Shanghai</v>
      </c>
      <c r="Q394" s="2" t="s">
        <v>704</v>
      </c>
      <c r="R394" s="2" t="s">
        <v>709</v>
      </c>
      <c r="S394" s="2" t="s">
        <v>712</v>
      </c>
      <c r="T394" s="2" t="s">
        <v>727</v>
      </c>
      <c r="U394" t="e">
        <f>(AE394/#REF!)*100</f>
        <v>#REF!</v>
      </c>
      <c r="V394" s="2" t="s">
        <v>1125</v>
      </c>
      <c r="W394" s="7">
        <v>1132.03</v>
      </c>
      <c r="X394" s="7">
        <v>2137.21</v>
      </c>
      <c r="Y394" s="7">
        <f t="shared" si="78"/>
        <v>2137.21</v>
      </c>
      <c r="Z394" s="7" t="str">
        <f t="shared" si="79"/>
        <v>High</v>
      </c>
      <c r="AA394" s="13">
        <v>0.35699999999999998</v>
      </c>
      <c r="AB394" s="13" t="str">
        <f t="shared" si="80"/>
        <v>12.14%</v>
      </c>
      <c r="AC394" s="13" t="str">
        <f t="shared" si="81"/>
        <v>High</v>
      </c>
      <c r="AD394" s="7">
        <v>35</v>
      </c>
      <c r="AE394" s="7">
        <f>Y394*AD394*(1-AB394)</f>
        <v>65721.344710000005</v>
      </c>
      <c r="AF394" s="7">
        <f>W394*AD394</f>
        <v>39621.049999999996</v>
      </c>
      <c r="AG394" s="7">
        <f t="shared" si="82"/>
        <v>26100.294710000009</v>
      </c>
      <c r="AH394" s="13">
        <f t="shared" si="83"/>
        <v>0.39713573763850041</v>
      </c>
    </row>
    <row r="395" spans="1:34" x14ac:dyDescent="0.35">
      <c r="A395" s="2" t="s">
        <v>407</v>
      </c>
      <c r="B395" s="5">
        <v>45360</v>
      </c>
      <c r="C395" s="5">
        <f>IF(H395&lt;B395,H395,B395)</f>
        <v>45360</v>
      </c>
      <c r="D395" s="5" t="str">
        <f t="shared" si="72"/>
        <v>Mar-2024</v>
      </c>
      <c r="E395" s="5" t="str">
        <f t="shared" si="73"/>
        <v>Mar</v>
      </c>
      <c r="F395" s="5" t="str">
        <f t="shared" si="74"/>
        <v>2024</v>
      </c>
      <c r="G395" s="5" t="str">
        <f t="shared" si="75"/>
        <v>Q1-2024</v>
      </c>
      <c r="H395" s="5">
        <v>45377</v>
      </c>
      <c r="I395" s="5">
        <f>IF(H395&lt;B395, B395+7, H395)</f>
        <v>45377</v>
      </c>
      <c r="J395" s="5" t="str">
        <f>IF(H395&lt;B395, "Invalid","Okay")</f>
        <v>Okay</v>
      </c>
      <c r="K395" s="16">
        <f>I395-C395</f>
        <v>17</v>
      </c>
      <c r="L395" s="16" t="str">
        <f t="shared" si="76"/>
        <v>Target Not Met</v>
      </c>
      <c r="M395" s="2" t="s">
        <v>648</v>
      </c>
      <c r="N395" s="2" t="s">
        <v>660</v>
      </c>
      <c r="O395" s="2" t="s">
        <v>686</v>
      </c>
      <c r="P395" s="29" t="str">
        <f t="shared" si="77"/>
        <v>Americas→USA→San Francisco</v>
      </c>
      <c r="Q395" s="2" t="s">
        <v>702</v>
      </c>
      <c r="R395" s="2" t="s">
        <v>711</v>
      </c>
      <c r="S395" s="2" t="s">
        <v>714</v>
      </c>
      <c r="T395" s="2" t="s">
        <v>730</v>
      </c>
      <c r="U395" t="e">
        <f>(AE395/#REF!)*100</f>
        <v>#REF!</v>
      </c>
      <c r="V395" s="2" t="s">
        <v>1126</v>
      </c>
      <c r="W395" s="7">
        <v>1137.4100000000001</v>
      </c>
      <c r="X395" s="7">
        <v>1680.93</v>
      </c>
      <c r="Y395" s="7">
        <f t="shared" si="78"/>
        <v>1680.93</v>
      </c>
      <c r="Z395" s="7" t="str">
        <f t="shared" si="79"/>
        <v>Medium</v>
      </c>
      <c r="AA395" s="13">
        <v>0.254</v>
      </c>
      <c r="AB395" s="13">
        <f t="shared" si="80"/>
        <v>0.254</v>
      </c>
      <c r="AC395" s="13" t="str">
        <f t="shared" si="81"/>
        <v>OK</v>
      </c>
      <c r="AD395" s="7">
        <v>9</v>
      </c>
      <c r="AE395" s="7">
        <f>Y395*AD395*(1-AB395)</f>
        <v>11285.764020000001</v>
      </c>
      <c r="AF395" s="7">
        <f>W395*AD395</f>
        <v>10236.69</v>
      </c>
      <c r="AG395" s="7">
        <f t="shared" si="82"/>
        <v>1049.07402</v>
      </c>
      <c r="AH395" s="13">
        <f t="shared" si="83"/>
        <v>9.2955516183121464E-2</v>
      </c>
    </row>
    <row r="396" spans="1:34" x14ac:dyDescent="0.35">
      <c r="A396" s="2" t="s">
        <v>408</v>
      </c>
      <c r="B396" s="5">
        <v>45075</v>
      </c>
      <c r="C396" s="5">
        <f>IF(H396&lt;B396,H396,B396)</f>
        <v>45075</v>
      </c>
      <c r="D396" s="5" t="str">
        <f t="shared" si="72"/>
        <v>May-2023</v>
      </c>
      <c r="E396" s="5" t="str">
        <f t="shared" si="73"/>
        <v>May</v>
      </c>
      <c r="F396" s="5" t="str">
        <f t="shared" si="74"/>
        <v>2023</v>
      </c>
      <c r="G396" s="5" t="str">
        <f t="shared" si="75"/>
        <v>Q2-2023</v>
      </c>
      <c r="H396" s="5">
        <v>45097</v>
      </c>
      <c r="I396" s="5">
        <f>IF(H396&lt;B396, B396+7, H396)</f>
        <v>45097</v>
      </c>
      <c r="J396" s="5" t="str">
        <f>IF(H396&lt;B396, "Invalid","Okay")</f>
        <v>Okay</v>
      </c>
      <c r="K396" s="16">
        <f>I396-C396</f>
        <v>22</v>
      </c>
      <c r="L396" s="16" t="str">
        <f t="shared" si="76"/>
        <v>Target Not Met</v>
      </c>
      <c r="M396" s="2" t="s">
        <v>649</v>
      </c>
      <c r="N396" s="2" t="s">
        <v>658</v>
      </c>
      <c r="O396" s="2" t="s">
        <v>683</v>
      </c>
      <c r="P396" s="29" t="str">
        <f t="shared" si="77"/>
        <v>Europe→United Kingdom→London</v>
      </c>
      <c r="Q396" s="2" t="s">
        <v>705</v>
      </c>
      <c r="R396" s="2" t="s">
        <v>711</v>
      </c>
      <c r="S396" s="2" t="s">
        <v>723</v>
      </c>
      <c r="T396" s="2" t="s">
        <v>727</v>
      </c>
      <c r="U396" t="e">
        <f>(AE396/#REF!)*100</f>
        <v>#REF!</v>
      </c>
      <c r="V396" s="2" t="s">
        <v>1127</v>
      </c>
      <c r="W396" s="7">
        <v>1295.3900000000001</v>
      </c>
      <c r="X396" s="7">
        <v>2905.06</v>
      </c>
      <c r="Y396" s="7">
        <f t="shared" si="78"/>
        <v>2905.06</v>
      </c>
      <c r="Z396" s="7" t="str">
        <f t="shared" si="79"/>
        <v>High</v>
      </c>
      <c r="AA396" s="13">
        <v>0.14799999999999999</v>
      </c>
      <c r="AB396" s="13">
        <f t="shared" si="80"/>
        <v>0.14799999999999999</v>
      </c>
      <c r="AC396" s="13" t="str">
        <f t="shared" si="81"/>
        <v>OK</v>
      </c>
      <c r="AD396" s="7">
        <v>8</v>
      </c>
      <c r="AE396" s="7">
        <f>Y396*AD396*(1-AB396)</f>
        <v>19800.88896</v>
      </c>
      <c r="AF396" s="7">
        <f>W396*AD396</f>
        <v>10363.120000000001</v>
      </c>
      <c r="AG396" s="7">
        <f t="shared" si="82"/>
        <v>9437.7689599999994</v>
      </c>
      <c r="AH396" s="13">
        <f t="shared" si="83"/>
        <v>0.47663359857556614</v>
      </c>
    </row>
    <row r="397" spans="1:34" x14ac:dyDescent="0.35">
      <c r="A397" s="2" t="s">
        <v>409</v>
      </c>
      <c r="B397" s="5">
        <v>45804</v>
      </c>
      <c r="C397" s="5">
        <f>IF(H397&lt;B397,H397,B397)</f>
        <v>45804</v>
      </c>
      <c r="D397" s="5" t="str">
        <f t="shared" si="72"/>
        <v>May-2025</v>
      </c>
      <c r="E397" s="5" t="str">
        <f t="shared" si="73"/>
        <v>May</v>
      </c>
      <c r="F397" s="5" t="str">
        <f t="shared" si="74"/>
        <v>2025</v>
      </c>
      <c r="G397" s="5" t="str">
        <f t="shared" si="75"/>
        <v>Q2-2025</v>
      </c>
      <c r="H397" s="5">
        <v>45816</v>
      </c>
      <c r="I397" s="5">
        <f>IF(H397&lt;B397, B397+7, H397)</f>
        <v>45816</v>
      </c>
      <c r="J397" s="5" t="str">
        <f>IF(H397&lt;B397, "Invalid","Okay")</f>
        <v>Okay</v>
      </c>
      <c r="K397" s="16">
        <f>I397-C397</f>
        <v>12</v>
      </c>
      <c r="L397" s="16" t="str">
        <f t="shared" si="76"/>
        <v>Target Not Met</v>
      </c>
      <c r="M397" s="2" t="s">
        <v>647</v>
      </c>
      <c r="N397" s="2" t="s">
        <v>652</v>
      </c>
      <c r="O397" s="2" t="s">
        <v>666</v>
      </c>
      <c r="P397" s="29" t="str">
        <f t="shared" si="77"/>
        <v>Asia→Japan→Osaka</v>
      </c>
      <c r="Q397" s="2" t="s">
        <v>701</v>
      </c>
      <c r="R397" s="2" t="s">
        <v>707</v>
      </c>
      <c r="S397" s="2" t="s">
        <v>722</v>
      </c>
      <c r="T397" s="2" t="s">
        <v>733</v>
      </c>
      <c r="U397" t="e">
        <f>(AE397/#REF!)*100</f>
        <v>#REF!</v>
      </c>
      <c r="V397" s="2" t="s">
        <v>1128</v>
      </c>
      <c r="W397" s="7">
        <v>653.6</v>
      </c>
      <c r="X397" s="7">
        <v>842.09</v>
      </c>
      <c r="Y397" s="7">
        <f t="shared" si="78"/>
        <v>842.09</v>
      </c>
      <c r="Z397" s="7" t="str">
        <f t="shared" si="79"/>
        <v>Low</v>
      </c>
      <c r="AA397" s="13">
        <v>9.8000000000000004E-2</v>
      </c>
      <c r="AB397" s="13">
        <f t="shared" si="80"/>
        <v>9.8000000000000004E-2</v>
      </c>
      <c r="AC397" s="13" t="str">
        <f t="shared" si="81"/>
        <v>OK</v>
      </c>
      <c r="AD397" s="7">
        <v>19</v>
      </c>
      <c r="AE397" s="7">
        <f>Y397*AD397*(1-AB397)</f>
        <v>14431.738420000001</v>
      </c>
      <c r="AF397" s="7">
        <f>W397*AD397</f>
        <v>12418.4</v>
      </c>
      <c r="AG397" s="7">
        <f t="shared" si="82"/>
        <v>2013.3384200000019</v>
      </c>
      <c r="AH397" s="13">
        <f t="shared" si="83"/>
        <v>0.13950768517324622</v>
      </c>
    </row>
    <row r="398" spans="1:34" x14ac:dyDescent="0.35">
      <c r="A398" s="2" t="s">
        <v>410</v>
      </c>
      <c r="B398" s="5">
        <v>45890</v>
      </c>
      <c r="C398" s="5">
        <f>IF(H398&lt;B398,H398,B398)</f>
        <v>45890</v>
      </c>
      <c r="D398" s="5" t="str">
        <f t="shared" si="72"/>
        <v>Aug-2025</v>
      </c>
      <c r="E398" s="5" t="str">
        <f t="shared" si="73"/>
        <v>Aug</v>
      </c>
      <c r="F398" s="5" t="str">
        <f t="shared" si="74"/>
        <v>2025</v>
      </c>
      <c r="G398" s="5" t="str">
        <f t="shared" si="75"/>
        <v>Q3-2025</v>
      </c>
      <c r="H398" s="5">
        <v>45914</v>
      </c>
      <c r="I398" s="5">
        <f>IF(H398&lt;B398, B398+7, H398)</f>
        <v>45914</v>
      </c>
      <c r="J398" s="5" t="str">
        <f>IF(H398&lt;B398, "Invalid","Okay")</f>
        <v>Okay</v>
      </c>
      <c r="K398" s="16">
        <f>I398-C398</f>
        <v>24</v>
      </c>
      <c r="L398" s="16" t="str">
        <f t="shared" si="76"/>
        <v>Target Not Met</v>
      </c>
      <c r="M398" s="2" t="s">
        <v>649</v>
      </c>
      <c r="N398" s="2" t="s">
        <v>656</v>
      </c>
      <c r="O398" s="2" t="s">
        <v>671</v>
      </c>
      <c r="P398" s="29" t="str">
        <f t="shared" si="77"/>
        <v>Europe→Germany→Berlin</v>
      </c>
      <c r="Q398" s="2" t="s">
        <v>703</v>
      </c>
      <c r="R398" s="2" t="s">
        <v>708</v>
      </c>
      <c r="S398" s="2" t="s">
        <v>720</v>
      </c>
      <c r="T398" s="2" t="s">
        <v>732</v>
      </c>
      <c r="U398" t="e">
        <f>(AE398/#REF!)*100</f>
        <v>#REF!</v>
      </c>
      <c r="V398" s="2" t="s">
        <v>1129</v>
      </c>
      <c r="W398" s="7">
        <v>1397.67</v>
      </c>
      <c r="X398" s="7">
        <v>3131.37</v>
      </c>
      <c r="Y398" s="7">
        <f t="shared" si="78"/>
        <v>3131.37</v>
      </c>
      <c r="Z398" s="7" t="str">
        <f t="shared" si="79"/>
        <v>High</v>
      </c>
      <c r="AA398" s="13">
        <v>0.10299999999999999</v>
      </c>
      <c r="AB398" s="13">
        <f t="shared" si="80"/>
        <v>0.10299999999999999</v>
      </c>
      <c r="AC398" s="13" t="str">
        <f t="shared" si="81"/>
        <v>OK</v>
      </c>
      <c r="AD398" s="7">
        <v>20</v>
      </c>
      <c r="AE398" s="7">
        <f>Y398*AD398*(1-AB398)</f>
        <v>56176.777799999996</v>
      </c>
      <c r="AF398" s="7">
        <f>W398*AD398</f>
        <v>27953.4</v>
      </c>
      <c r="AG398" s="7">
        <f t="shared" si="82"/>
        <v>28223.377799999995</v>
      </c>
      <c r="AH398" s="13">
        <f t="shared" si="83"/>
        <v>0.50240293062874808</v>
      </c>
    </row>
    <row r="399" spans="1:34" x14ac:dyDescent="0.35">
      <c r="A399" s="2" t="s">
        <v>411</v>
      </c>
      <c r="B399" s="5">
        <v>45638</v>
      </c>
      <c r="C399" s="5">
        <f>IF(H399&lt;B399,H399,B399)</f>
        <v>45638</v>
      </c>
      <c r="D399" s="5" t="str">
        <f t="shared" si="72"/>
        <v>Dec-2024</v>
      </c>
      <c r="E399" s="5" t="str">
        <f t="shared" si="73"/>
        <v>Dec</v>
      </c>
      <c r="F399" s="5" t="str">
        <f t="shared" si="74"/>
        <v>2024</v>
      </c>
      <c r="G399" s="5" t="str">
        <f t="shared" si="75"/>
        <v>Q4-2024</v>
      </c>
      <c r="H399" s="5">
        <v>45646</v>
      </c>
      <c r="I399" s="5">
        <f>IF(H399&lt;B399, B399+7, H399)</f>
        <v>45646</v>
      </c>
      <c r="J399" s="5" t="str">
        <f>IF(H399&lt;B399, "Invalid","Okay")</f>
        <v>Okay</v>
      </c>
      <c r="K399" s="16">
        <f>I399-C399</f>
        <v>8</v>
      </c>
      <c r="L399" s="16" t="str">
        <f t="shared" si="76"/>
        <v>Target Not Met</v>
      </c>
      <c r="M399" s="2" t="s">
        <v>647</v>
      </c>
      <c r="N399" s="2" t="s">
        <v>652</v>
      </c>
      <c r="O399" s="2" t="s">
        <v>689</v>
      </c>
      <c r="P399" s="29" t="str">
        <f t="shared" si="77"/>
        <v>Asia→Japan→Tokyo</v>
      </c>
      <c r="Q399" s="2" t="s">
        <v>701</v>
      </c>
      <c r="R399" s="2" t="s">
        <v>707</v>
      </c>
      <c r="S399" s="2" t="s">
        <v>717</v>
      </c>
      <c r="T399" s="2" t="s">
        <v>731</v>
      </c>
      <c r="U399" t="e">
        <f>(AE399/#REF!)*100</f>
        <v>#REF!</v>
      </c>
      <c r="V399" s="2" t="s">
        <v>1130</v>
      </c>
      <c r="W399" s="7">
        <v>1202.47</v>
      </c>
      <c r="X399" s="7">
        <v>1444.72</v>
      </c>
      <c r="Y399" s="7">
        <f t="shared" si="78"/>
        <v>1444.72</v>
      </c>
      <c r="Z399" s="7" t="str">
        <f t="shared" si="79"/>
        <v>Medium</v>
      </c>
      <c r="AA399" s="13">
        <v>0.24099999999999999</v>
      </c>
      <c r="AB399" s="13">
        <f t="shared" si="80"/>
        <v>0.24099999999999999</v>
      </c>
      <c r="AC399" s="13" t="str">
        <f t="shared" si="81"/>
        <v>OK</v>
      </c>
      <c r="AD399" s="7">
        <v>17</v>
      </c>
      <c r="AE399" s="7">
        <f>Y399*AD399*(1-AB399)</f>
        <v>18641.222160000001</v>
      </c>
      <c r="AF399" s="7">
        <f>W399*AD399</f>
        <v>20441.990000000002</v>
      </c>
      <c r="AG399" s="7">
        <f t="shared" si="82"/>
        <v>-1800.7678400000004</v>
      </c>
      <c r="AH399" s="13">
        <f t="shared" si="83"/>
        <v>-9.6601382921343834E-2</v>
      </c>
    </row>
    <row r="400" spans="1:34" x14ac:dyDescent="0.35">
      <c r="A400" s="2" t="s">
        <v>412</v>
      </c>
      <c r="B400" s="5">
        <v>45914</v>
      </c>
      <c r="C400" s="5">
        <f>IF(H400&lt;B400,H400,B400)</f>
        <v>45914</v>
      </c>
      <c r="D400" s="5" t="str">
        <f t="shared" si="72"/>
        <v>Sep-2025</v>
      </c>
      <c r="E400" s="5" t="str">
        <f t="shared" si="73"/>
        <v>Sep</v>
      </c>
      <c r="F400" s="5" t="str">
        <f t="shared" si="74"/>
        <v>2025</v>
      </c>
      <c r="G400" s="5" t="str">
        <f t="shared" si="75"/>
        <v>Q3-2025</v>
      </c>
      <c r="H400" s="5">
        <v>45923</v>
      </c>
      <c r="I400" s="5">
        <f>IF(H400&lt;B400, B400+7, H400)</f>
        <v>45923</v>
      </c>
      <c r="J400" s="5" t="str">
        <f>IF(H400&lt;B400, "Invalid","Okay")</f>
        <v>Okay</v>
      </c>
      <c r="K400" s="16">
        <f>I400-C400</f>
        <v>9</v>
      </c>
      <c r="L400" s="16" t="str">
        <f t="shared" si="76"/>
        <v>Target Not Met</v>
      </c>
      <c r="M400" s="2" t="s">
        <v>646</v>
      </c>
      <c r="N400" s="2" t="s">
        <v>661</v>
      </c>
      <c r="O400" s="2" t="s">
        <v>687</v>
      </c>
      <c r="P400" s="29" t="str">
        <f t="shared" si="77"/>
        <v>Africa→South Africa→Durban</v>
      </c>
      <c r="Q400" s="2" t="s">
        <v>703</v>
      </c>
      <c r="R400" s="2" t="s">
        <v>708</v>
      </c>
      <c r="S400" s="2" t="s">
        <v>726</v>
      </c>
      <c r="T400" s="2" t="s">
        <v>727</v>
      </c>
      <c r="U400" t="e">
        <f>(AE400/#REF!)*100</f>
        <v>#REF!</v>
      </c>
      <c r="V400" s="2" t="s">
        <v>1131</v>
      </c>
      <c r="W400" s="7">
        <v>1310.3</v>
      </c>
      <c r="X400" s="7">
        <v>2875.8</v>
      </c>
      <c r="Y400" s="7">
        <f t="shared" si="78"/>
        <v>2875.8</v>
      </c>
      <c r="Z400" s="7" t="str">
        <f t="shared" si="79"/>
        <v>High</v>
      </c>
      <c r="AA400" s="13">
        <v>8.3000000000000004E-2</v>
      </c>
      <c r="AB400" s="13">
        <f t="shared" si="80"/>
        <v>8.3000000000000004E-2</v>
      </c>
      <c r="AC400" s="13" t="str">
        <f t="shared" si="81"/>
        <v>OK</v>
      </c>
      <c r="AD400" s="7">
        <v>5</v>
      </c>
      <c r="AE400" s="7">
        <f>Y400*AD400*(1-AB400)</f>
        <v>13185.543</v>
      </c>
      <c r="AF400" s="7">
        <f>W400*AD400</f>
        <v>6551.5</v>
      </c>
      <c r="AG400" s="7">
        <f t="shared" si="82"/>
        <v>6634.0429999999997</v>
      </c>
      <c r="AH400" s="13">
        <f t="shared" si="83"/>
        <v>0.50313005691157353</v>
      </c>
    </row>
    <row r="401" spans="1:34" x14ac:dyDescent="0.35">
      <c r="A401" s="2" t="s">
        <v>413</v>
      </c>
      <c r="B401" s="5">
        <v>45541</v>
      </c>
      <c r="C401" s="5">
        <f>IF(H401&lt;B401,H401,B401)</f>
        <v>45541</v>
      </c>
      <c r="D401" s="5" t="str">
        <f t="shared" si="72"/>
        <v>Sep-2024</v>
      </c>
      <c r="E401" s="5" t="str">
        <f t="shared" si="73"/>
        <v>Sep</v>
      </c>
      <c r="F401" s="5" t="str">
        <f t="shared" si="74"/>
        <v>2024</v>
      </c>
      <c r="G401" s="5" t="str">
        <f t="shared" si="75"/>
        <v>Q3-2024</v>
      </c>
      <c r="H401" s="5">
        <v>45569</v>
      </c>
      <c r="I401" s="5">
        <f>IF(H401&lt;B401, B401+7, H401)</f>
        <v>45569</v>
      </c>
      <c r="J401" s="5" t="str">
        <f>IF(H401&lt;B401, "Invalid","Okay")</f>
        <v>Okay</v>
      </c>
      <c r="K401" s="16">
        <f>I401-C401</f>
        <v>28</v>
      </c>
      <c r="L401" s="16" t="str">
        <f t="shared" si="76"/>
        <v>Target Not Met</v>
      </c>
      <c r="M401" s="2" t="s">
        <v>646</v>
      </c>
      <c r="N401" s="2" t="s">
        <v>661</v>
      </c>
      <c r="O401" s="2" t="s">
        <v>695</v>
      </c>
      <c r="P401" s="29" t="str">
        <f t="shared" si="77"/>
        <v>Africa→South Africa→Cape Town</v>
      </c>
      <c r="Q401" s="2" t="s">
        <v>701</v>
      </c>
      <c r="R401" s="2" t="s">
        <v>709</v>
      </c>
      <c r="S401" s="2" t="s">
        <v>726</v>
      </c>
      <c r="T401" s="2" t="s">
        <v>732</v>
      </c>
      <c r="U401" t="e">
        <f>(AE401/#REF!)*100</f>
        <v>#REF!</v>
      </c>
      <c r="V401" s="2" t="s">
        <v>1132</v>
      </c>
      <c r="W401" s="7">
        <v>1174.17</v>
      </c>
      <c r="X401" s="7">
        <v>1641.61</v>
      </c>
      <c r="Y401" s="7">
        <f t="shared" si="78"/>
        <v>1641.61</v>
      </c>
      <c r="Z401" s="7" t="str">
        <f t="shared" si="79"/>
        <v>Medium</v>
      </c>
      <c r="AA401" s="13">
        <v>0.122</v>
      </c>
      <c r="AB401" s="13">
        <f t="shared" si="80"/>
        <v>0.122</v>
      </c>
      <c r="AC401" s="13" t="str">
        <f t="shared" si="81"/>
        <v>OK</v>
      </c>
      <c r="AD401" s="7">
        <v>9</v>
      </c>
      <c r="AE401" s="7">
        <f>Y401*AD401*(1-AB401)</f>
        <v>12972.00222</v>
      </c>
      <c r="AF401" s="7">
        <f>W401*AD401</f>
        <v>10567.53</v>
      </c>
      <c r="AG401" s="7">
        <f t="shared" si="82"/>
        <v>2404.4722199999997</v>
      </c>
      <c r="AH401" s="13">
        <f t="shared" si="83"/>
        <v>0.18535860380079394</v>
      </c>
    </row>
    <row r="402" spans="1:34" x14ac:dyDescent="0.35">
      <c r="A402" s="2" t="s">
        <v>414</v>
      </c>
      <c r="B402" s="5">
        <v>45759</v>
      </c>
      <c r="C402" s="5">
        <f>IF(H402&lt;B402,H402,B402)</f>
        <v>45759</v>
      </c>
      <c r="D402" s="5" t="str">
        <f t="shared" si="72"/>
        <v>Apr-2025</v>
      </c>
      <c r="E402" s="5" t="str">
        <f t="shared" si="73"/>
        <v>Apr</v>
      </c>
      <c r="F402" s="5" t="str">
        <f t="shared" si="74"/>
        <v>2025</v>
      </c>
      <c r="G402" s="5" t="str">
        <f t="shared" si="75"/>
        <v>Q2-2025</v>
      </c>
      <c r="H402" s="5">
        <v>45777</v>
      </c>
      <c r="I402" s="5">
        <f>IF(H402&lt;B402, B402+7, H402)</f>
        <v>45777</v>
      </c>
      <c r="J402" s="5" t="str">
        <f>IF(H402&lt;B402, "Invalid","Okay")</f>
        <v>Okay</v>
      </c>
      <c r="K402" s="16">
        <f>I402-C402</f>
        <v>18</v>
      </c>
      <c r="L402" s="16" t="str">
        <f t="shared" si="76"/>
        <v>Target Not Met</v>
      </c>
      <c r="M402" s="2" t="s">
        <v>646</v>
      </c>
      <c r="N402" s="2" t="s">
        <v>650</v>
      </c>
      <c r="O402" s="2" t="s">
        <v>662</v>
      </c>
      <c r="P402" s="29" t="str">
        <f t="shared" si="77"/>
        <v>Africa→Kenya→Kisumu</v>
      </c>
      <c r="Q402" s="2" t="s">
        <v>701</v>
      </c>
      <c r="R402" s="2" t="s">
        <v>709</v>
      </c>
      <c r="S402" s="2" t="s">
        <v>721</v>
      </c>
      <c r="T402" s="2" t="s">
        <v>729</v>
      </c>
      <c r="U402" t="e">
        <f>(AE402/#REF!)*100</f>
        <v>#REF!</v>
      </c>
      <c r="V402" s="2" t="s">
        <v>1133</v>
      </c>
      <c r="W402" s="7">
        <v>1119.04</v>
      </c>
      <c r="X402" s="7">
        <v>1299.02</v>
      </c>
      <c r="Y402" s="7">
        <f t="shared" si="78"/>
        <v>1299.02</v>
      </c>
      <c r="Z402" s="7" t="str">
        <f t="shared" si="79"/>
        <v>Medium</v>
      </c>
      <c r="AA402" s="13">
        <v>2.5000000000000001E-2</v>
      </c>
      <c r="AB402" s="13">
        <f t="shared" si="80"/>
        <v>2.5000000000000001E-2</v>
      </c>
      <c r="AC402" s="13" t="str">
        <f t="shared" si="81"/>
        <v>OK</v>
      </c>
      <c r="AD402" s="7">
        <v>14</v>
      </c>
      <c r="AE402" s="7">
        <f>Y402*AD402*(1-AB402)</f>
        <v>17731.623</v>
      </c>
      <c r="AF402" s="7">
        <f>W402*AD402</f>
        <v>15666.56</v>
      </c>
      <c r="AG402" s="7">
        <f t="shared" si="82"/>
        <v>2065.0630000000001</v>
      </c>
      <c r="AH402" s="13">
        <f t="shared" si="83"/>
        <v>0.11646215352085933</v>
      </c>
    </row>
    <row r="403" spans="1:34" x14ac:dyDescent="0.35">
      <c r="A403" s="2" t="s">
        <v>415</v>
      </c>
      <c r="B403" s="5">
        <v>45516</v>
      </c>
      <c r="C403" s="5">
        <f>IF(H403&lt;B403,H403,B403)</f>
        <v>45516</v>
      </c>
      <c r="D403" s="5" t="str">
        <f t="shared" si="72"/>
        <v>Aug-2024</v>
      </c>
      <c r="E403" s="5" t="str">
        <f t="shared" si="73"/>
        <v>Aug</v>
      </c>
      <c r="F403" s="5" t="str">
        <f t="shared" si="74"/>
        <v>2024</v>
      </c>
      <c r="G403" s="5" t="str">
        <f t="shared" si="75"/>
        <v>Q3-2024</v>
      </c>
      <c r="H403" s="5">
        <v>45519</v>
      </c>
      <c r="I403" s="5">
        <f>IF(H403&lt;B403, B403+7, H403)</f>
        <v>45519</v>
      </c>
      <c r="J403" s="5" t="str">
        <f>IF(H403&lt;B403, "Invalid","Okay")</f>
        <v>Okay</v>
      </c>
      <c r="K403" s="16">
        <f>I403-C403</f>
        <v>3</v>
      </c>
      <c r="L403" s="16" t="str">
        <f t="shared" si="76"/>
        <v>Target Met</v>
      </c>
      <c r="M403" s="2" t="s">
        <v>648</v>
      </c>
      <c r="N403" s="2" t="s">
        <v>660</v>
      </c>
      <c r="O403" s="2" t="s">
        <v>677</v>
      </c>
      <c r="P403" s="29" t="str">
        <f t="shared" si="77"/>
        <v>Americas→USA→Chicago</v>
      </c>
      <c r="Q403" s="2" t="s">
        <v>701</v>
      </c>
      <c r="R403" s="2" t="s">
        <v>709</v>
      </c>
      <c r="S403" s="2" t="s">
        <v>726</v>
      </c>
      <c r="T403" s="2" t="s">
        <v>728</v>
      </c>
      <c r="U403" t="e">
        <f>(AE403/#REF!)*100</f>
        <v>#REF!</v>
      </c>
      <c r="V403" s="2" t="s">
        <v>1134</v>
      </c>
      <c r="W403" s="7">
        <v>850.7</v>
      </c>
      <c r="X403" s="7">
        <v>1118.56</v>
      </c>
      <c r="Y403" s="7">
        <f t="shared" si="78"/>
        <v>1118.56</v>
      </c>
      <c r="Z403" s="7" t="str">
        <f t="shared" si="79"/>
        <v>Low</v>
      </c>
      <c r="AA403" s="13">
        <v>0.18</v>
      </c>
      <c r="AB403" s="13">
        <f t="shared" si="80"/>
        <v>0.18</v>
      </c>
      <c r="AC403" s="13" t="str">
        <f t="shared" si="81"/>
        <v>OK</v>
      </c>
      <c r="AD403" s="7">
        <v>19</v>
      </c>
      <c r="AE403" s="7">
        <f>Y403*AD403*(1-AB403)</f>
        <v>17427.164800000002</v>
      </c>
      <c r="AF403" s="7">
        <f>W403*AD403</f>
        <v>16163.300000000001</v>
      </c>
      <c r="AG403" s="7">
        <f t="shared" si="82"/>
        <v>1263.8648000000012</v>
      </c>
      <c r="AH403" s="13">
        <f t="shared" si="83"/>
        <v>7.2522685962090688E-2</v>
      </c>
    </row>
    <row r="404" spans="1:34" x14ac:dyDescent="0.35">
      <c r="A404" s="2" t="s">
        <v>416</v>
      </c>
      <c r="B404" s="5">
        <v>45601</v>
      </c>
      <c r="C404" s="5">
        <f>IF(H404&lt;B404,H404,B404)</f>
        <v>45601</v>
      </c>
      <c r="D404" s="5" t="str">
        <f t="shared" si="72"/>
        <v>Nov-2024</v>
      </c>
      <c r="E404" s="5" t="str">
        <f t="shared" si="73"/>
        <v>Nov</v>
      </c>
      <c r="F404" s="5" t="str">
        <f t="shared" si="74"/>
        <v>2024</v>
      </c>
      <c r="G404" s="5" t="str">
        <f t="shared" si="75"/>
        <v>Q4-2024</v>
      </c>
      <c r="H404" s="5">
        <v>45604</v>
      </c>
      <c r="I404" s="5">
        <f>IF(H404&lt;B404, B404+7, H404)</f>
        <v>45604</v>
      </c>
      <c r="J404" s="5" t="str">
        <f>IF(H404&lt;B404, "Invalid","Okay")</f>
        <v>Okay</v>
      </c>
      <c r="K404" s="16">
        <f>I404-C404</f>
        <v>3</v>
      </c>
      <c r="L404" s="16" t="str">
        <f t="shared" si="76"/>
        <v>Target Met</v>
      </c>
      <c r="M404" s="2" t="s">
        <v>648</v>
      </c>
      <c r="N404" s="2" t="s">
        <v>653</v>
      </c>
      <c r="O404" s="2" t="s">
        <v>667</v>
      </c>
      <c r="P404" s="29" t="str">
        <f t="shared" si="77"/>
        <v>Americas→Canada→Toronto</v>
      </c>
      <c r="Q404" s="2" t="s">
        <v>702</v>
      </c>
      <c r="R404" s="2" t="s">
        <v>709</v>
      </c>
      <c r="S404" s="2" t="s">
        <v>719</v>
      </c>
      <c r="T404" s="2" t="s">
        <v>727</v>
      </c>
      <c r="U404" t="e">
        <f>(AE404/#REF!)*100</f>
        <v>#REF!</v>
      </c>
      <c r="V404" s="2" t="s">
        <v>1135</v>
      </c>
      <c r="W404" s="7">
        <v>1020.4</v>
      </c>
      <c r="X404" s="7">
        <v>1184.71</v>
      </c>
      <c r="Y404" s="7">
        <f t="shared" si="78"/>
        <v>1184.71</v>
      </c>
      <c r="Z404" s="7" t="str">
        <f t="shared" si="79"/>
        <v>Low</v>
      </c>
      <c r="AA404" s="13">
        <v>0.106</v>
      </c>
      <c r="AB404" s="13">
        <f t="shared" si="80"/>
        <v>0.106</v>
      </c>
      <c r="AC404" s="13" t="str">
        <f t="shared" si="81"/>
        <v>OK</v>
      </c>
      <c r="AD404" s="7">
        <v>16</v>
      </c>
      <c r="AE404" s="7">
        <f>Y404*AD404*(1-AB404)</f>
        <v>16946.091840000001</v>
      </c>
      <c r="AF404" s="7">
        <f>W404*AD404</f>
        <v>16326.4</v>
      </c>
      <c r="AG404" s="7">
        <f t="shared" si="82"/>
        <v>619.69184000000132</v>
      </c>
      <c r="AH404" s="13">
        <f t="shared" si="83"/>
        <v>3.6568422138328345E-2</v>
      </c>
    </row>
    <row r="405" spans="1:34" x14ac:dyDescent="0.35">
      <c r="A405" s="2" t="s">
        <v>417</v>
      </c>
      <c r="B405" s="5">
        <v>45497</v>
      </c>
      <c r="C405" s="5">
        <f>IF(H405&lt;B405,H405,B405)</f>
        <v>45497</v>
      </c>
      <c r="D405" s="5" t="str">
        <f t="shared" si="72"/>
        <v>Jul-2024</v>
      </c>
      <c r="E405" s="5" t="str">
        <f t="shared" si="73"/>
        <v>Jul</v>
      </c>
      <c r="F405" s="5" t="str">
        <f t="shared" si="74"/>
        <v>2024</v>
      </c>
      <c r="G405" s="5" t="str">
        <f t="shared" si="75"/>
        <v>Q3-2024</v>
      </c>
      <c r="H405" s="5">
        <v>45512</v>
      </c>
      <c r="I405" s="5">
        <f>IF(H405&lt;B405, B405+7, H405)</f>
        <v>45512</v>
      </c>
      <c r="J405" s="5" t="str">
        <f>IF(H405&lt;B405, "Invalid","Okay")</f>
        <v>Okay</v>
      </c>
      <c r="K405" s="16">
        <f>I405-C405</f>
        <v>15</v>
      </c>
      <c r="L405" s="16" t="str">
        <f t="shared" si="76"/>
        <v>Target Not Met</v>
      </c>
      <c r="M405" s="2" t="s">
        <v>649</v>
      </c>
      <c r="N405" s="2" t="s">
        <v>657</v>
      </c>
      <c r="O405" s="2" t="s">
        <v>673</v>
      </c>
      <c r="P405" s="29" t="str">
        <f t="shared" si="77"/>
        <v>Europe→France→Marseille</v>
      </c>
      <c r="Q405" s="2" t="s">
        <v>706</v>
      </c>
      <c r="R405" s="2" t="s">
        <v>709</v>
      </c>
      <c r="S405" s="2" t="s">
        <v>722</v>
      </c>
      <c r="T405" s="2" t="s">
        <v>731</v>
      </c>
      <c r="U405" t="e">
        <f>(AE405/#REF!)*100</f>
        <v>#REF!</v>
      </c>
      <c r="V405" s="2" t="s">
        <v>1136</v>
      </c>
      <c r="W405" s="7">
        <v>501.5</v>
      </c>
      <c r="X405" s="7">
        <v>1201.47</v>
      </c>
      <c r="Y405" s="7">
        <f t="shared" si="78"/>
        <v>1201.47</v>
      </c>
      <c r="Z405" s="7" t="str">
        <f t="shared" si="79"/>
        <v>Medium</v>
      </c>
      <c r="AA405" s="13">
        <v>0.126</v>
      </c>
      <c r="AB405" s="13">
        <f t="shared" si="80"/>
        <v>0.126</v>
      </c>
      <c r="AC405" s="13" t="str">
        <f t="shared" si="81"/>
        <v>OK</v>
      </c>
      <c r="AD405" s="7">
        <v>5</v>
      </c>
      <c r="AE405" s="7">
        <f>Y405*AD405*(1-AB405)</f>
        <v>5250.4239000000007</v>
      </c>
      <c r="AF405" s="7">
        <f>W405*AD405</f>
        <v>2507.5</v>
      </c>
      <c r="AG405" s="7">
        <f t="shared" si="82"/>
        <v>2742.9239000000007</v>
      </c>
      <c r="AH405" s="13">
        <f t="shared" si="83"/>
        <v>0.52241951359394057</v>
      </c>
    </row>
    <row r="406" spans="1:34" x14ac:dyDescent="0.35">
      <c r="A406" s="2" t="s">
        <v>418</v>
      </c>
      <c r="B406" s="5">
        <v>45677</v>
      </c>
      <c r="C406" s="5">
        <f>IF(H406&lt;B406,H406,B406)</f>
        <v>45677</v>
      </c>
      <c r="D406" s="5" t="str">
        <f t="shared" si="72"/>
        <v>Jan-2025</v>
      </c>
      <c r="E406" s="5" t="str">
        <f t="shared" si="73"/>
        <v>Jan</v>
      </c>
      <c r="F406" s="5" t="str">
        <f t="shared" si="74"/>
        <v>2025</v>
      </c>
      <c r="G406" s="5" t="str">
        <f t="shared" si="75"/>
        <v>Q1-2025</v>
      </c>
      <c r="H406" s="5">
        <v>45691</v>
      </c>
      <c r="I406" s="5">
        <f>IF(H406&lt;B406, B406+7, H406)</f>
        <v>45691</v>
      </c>
      <c r="J406" s="5" t="str">
        <f>IF(H406&lt;B406, "Invalid","Okay")</f>
        <v>Okay</v>
      </c>
      <c r="K406" s="16">
        <f>I406-C406</f>
        <v>14</v>
      </c>
      <c r="L406" s="16" t="str">
        <f t="shared" si="76"/>
        <v>Target Not Met</v>
      </c>
      <c r="M406" s="2" t="s">
        <v>648</v>
      </c>
      <c r="N406" s="2" t="s">
        <v>655</v>
      </c>
      <c r="O406" s="2" t="s">
        <v>672</v>
      </c>
      <c r="P406" s="29" t="str">
        <f t="shared" si="77"/>
        <v>Americas→Brazil→Brasília</v>
      </c>
      <c r="Q406" s="2" t="s">
        <v>706</v>
      </c>
      <c r="R406" s="2" t="s">
        <v>709</v>
      </c>
      <c r="S406" s="2" t="s">
        <v>721</v>
      </c>
      <c r="T406" s="2" t="s">
        <v>727</v>
      </c>
      <c r="U406" t="e">
        <f>(AE406/#REF!)*100</f>
        <v>#REF!</v>
      </c>
      <c r="V406" s="2" t="s">
        <v>1137</v>
      </c>
      <c r="W406" s="7">
        <v>974.11</v>
      </c>
      <c r="X406" s="7">
        <v>880.99</v>
      </c>
      <c r="Y406" s="7">
        <f t="shared" si="78"/>
        <v>880.99</v>
      </c>
      <c r="Z406" s="7" t="str">
        <f t="shared" si="79"/>
        <v>Low</v>
      </c>
      <c r="AA406" s="13">
        <v>0.111</v>
      </c>
      <c r="AB406" s="13">
        <f t="shared" si="80"/>
        <v>0.111</v>
      </c>
      <c r="AC406" s="13" t="str">
        <f t="shared" si="81"/>
        <v>OK</v>
      </c>
      <c r="AD406" s="7">
        <v>10</v>
      </c>
      <c r="AE406" s="7">
        <f>Y406*AD406*(1-AB406)</f>
        <v>7832.0010999999995</v>
      </c>
      <c r="AF406" s="7">
        <f>W406*AD406</f>
        <v>9741.1</v>
      </c>
      <c r="AG406" s="7">
        <f t="shared" si="82"/>
        <v>-1909.0989000000009</v>
      </c>
      <c r="AH406" s="13">
        <f t="shared" si="83"/>
        <v>-0.2437562093805121</v>
      </c>
    </row>
    <row r="407" spans="1:34" x14ac:dyDescent="0.35">
      <c r="A407" s="2" t="s">
        <v>419</v>
      </c>
      <c r="B407" s="5">
        <v>44991</v>
      </c>
      <c r="C407" s="5">
        <f>IF(H407&lt;B407,H407,B407)</f>
        <v>44991</v>
      </c>
      <c r="D407" s="5" t="str">
        <f t="shared" si="72"/>
        <v>Mar-2023</v>
      </c>
      <c r="E407" s="5" t="str">
        <f t="shared" si="73"/>
        <v>Mar</v>
      </c>
      <c r="F407" s="5" t="str">
        <f t="shared" si="74"/>
        <v>2023</v>
      </c>
      <c r="G407" s="5" t="str">
        <f t="shared" si="75"/>
        <v>Q1-2023</v>
      </c>
      <c r="H407" s="5">
        <v>45020</v>
      </c>
      <c r="I407" s="5">
        <f>IF(H407&lt;B407, B407+7, H407)</f>
        <v>45020</v>
      </c>
      <c r="J407" s="5" t="str">
        <f>IF(H407&lt;B407, "Invalid","Okay")</f>
        <v>Okay</v>
      </c>
      <c r="K407" s="16">
        <f>I407-C407</f>
        <v>29</v>
      </c>
      <c r="L407" s="16" t="str">
        <f t="shared" si="76"/>
        <v>Target Not Met</v>
      </c>
      <c r="M407" s="2" t="s">
        <v>647</v>
      </c>
      <c r="N407" s="2" t="s">
        <v>659</v>
      </c>
      <c r="O407" s="2" t="s">
        <v>699</v>
      </c>
      <c r="P407" s="29" t="str">
        <f t="shared" si="77"/>
        <v>Asia→China→Beijing</v>
      </c>
      <c r="Q407" s="2" t="s">
        <v>705</v>
      </c>
      <c r="R407" s="2" t="s">
        <v>711</v>
      </c>
      <c r="S407" s="2" t="s">
        <v>712</v>
      </c>
      <c r="T407" s="2" t="s">
        <v>732</v>
      </c>
      <c r="U407" t="e">
        <f>(AE407/#REF!)*100</f>
        <v>#REF!</v>
      </c>
      <c r="V407" s="2" t="s">
        <v>1138</v>
      </c>
      <c r="W407" s="7">
        <v>1126.29</v>
      </c>
      <c r="X407" s="7">
        <v>2050.87</v>
      </c>
      <c r="Y407" s="7">
        <f t="shared" si="78"/>
        <v>2050.87</v>
      </c>
      <c r="Z407" s="7" t="str">
        <f t="shared" si="79"/>
        <v>High</v>
      </c>
      <c r="AA407" s="13">
        <v>6.4000000000000001E-2</v>
      </c>
      <c r="AB407" s="13">
        <f t="shared" si="80"/>
        <v>6.4000000000000001E-2</v>
      </c>
      <c r="AC407" s="13" t="str">
        <f t="shared" si="81"/>
        <v>OK</v>
      </c>
      <c r="AD407" s="7">
        <v>7</v>
      </c>
      <c r="AE407" s="7">
        <f>Y407*AD407*(1-AB407)</f>
        <v>13437.300239999999</v>
      </c>
      <c r="AF407" s="7">
        <f>W407*AD407</f>
        <v>7884.03</v>
      </c>
      <c r="AG407" s="7">
        <f t="shared" si="82"/>
        <v>5553.2702399999989</v>
      </c>
      <c r="AH407" s="13">
        <f t="shared" si="83"/>
        <v>0.41327276616690373</v>
      </c>
    </row>
    <row r="408" spans="1:34" x14ac:dyDescent="0.35">
      <c r="A408" s="2" t="s">
        <v>420</v>
      </c>
      <c r="B408" s="5">
        <v>45646</v>
      </c>
      <c r="C408" s="5">
        <f>IF(H408&lt;B408,H408,B408)</f>
        <v>45646</v>
      </c>
      <c r="D408" s="5" t="str">
        <f t="shared" si="72"/>
        <v>Dec-2024</v>
      </c>
      <c r="E408" s="5" t="str">
        <f t="shared" si="73"/>
        <v>Dec</v>
      </c>
      <c r="F408" s="5" t="str">
        <f t="shared" si="74"/>
        <v>2024</v>
      </c>
      <c r="G408" s="5" t="str">
        <f t="shared" si="75"/>
        <v>Q4-2024</v>
      </c>
      <c r="H408" s="5">
        <v>45671</v>
      </c>
      <c r="I408" s="5">
        <f>IF(H408&lt;B408, B408+7, H408)</f>
        <v>45671</v>
      </c>
      <c r="J408" s="5" t="str">
        <f>IF(H408&lt;B408, "Invalid","Okay")</f>
        <v>Okay</v>
      </c>
      <c r="K408" s="16">
        <f>I408-C408</f>
        <v>25</v>
      </c>
      <c r="L408" s="16" t="str">
        <f t="shared" si="76"/>
        <v>Target Not Met</v>
      </c>
      <c r="M408" s="2" t="s">
        <v>647</v>
      </c>
      <c r="N408" s="2" t="s">
        <v>654</v>
      </c>
      <c r="O408" s="2" t="s">
        <v>680</v>
      </c>
      <c r="P408" s="29" t="str">
        <f t="shared" si="77"/>
        <v>Asia→India→Delhi</v>
      </c>
      <c r="Q408" s="2" t="s">
        <v>705</v>
      </c>
      <c r="R408" s="2" t="s">
        <v>707</v>
      </c>
      <c r="S408" s="2" t="s">
        <v>724</v>
      </c>
      <c r="T408" s="2" t="s">
        <v>728</v>
      </c>
      <c r="U408" t="e">
        <f>(AE408/#REF!)*100</f>
        <v>#REF!</v>
      </c>
      <c r="V408" s="2" t="s">
        <v>1139</v>
      </c>
      <c r="W408" s="7">
        <v>1361.34</v>
      </c>
      <c r="X408" s="7">
        <v>1737.9</v>
      </c>
      <c r="Y408" s="7">
        <f t="shared" si="78"/>
        <v>1737.9</v>
      </c>
      <c r="Z408" s="7" t="str">
        <f t="shared" si="79"/>
        <v>Medium</v>
      </c>
      <c r="AA408" s="13">
        <v>7.6999999999999999E-2</v>
      </c>
      <c r="AB408" s="13">
        <f t="shared" si="80"/>
        <v>7.6999999999999999E-2</v>
      </c>
      <c r="AC408" s="13" t="str">
        <f t="shared" si="81"/>
        <v>OK</v>
      </c>
      <c r="AD408" s="7">
        <v>14</v>
      </c>
      <c r="AE408" s="7">
        <f>Y408*AD408*(1-AB408)</f>
        <v>22457.143800000002</v>
      </c>
      <c r="AF408" s="7">
        <f>W408*AD408</f>
        <v>19058.759999999998</v>
      </c>
      <c r="AG408" s="7">
        <f t="shared" si="82"/>
        <v>3398.3838000000032</v>
      </c>
      <c r="AH408" s="13">
        <f t="shared" si="83"/>
        <v>0.15132751654731813</v>
      </c>
    </row>
    <row r="409" spans="1:34" x14ac:dyDescent="0.35">
      <c r="A409" s="2" t="s">
        <v>421</v>
      </c>
      <c r="B409" s="5">
        <v>45709</v>
      </c>
      <c r="C409" s="5">
        <f>IF(H409&lt;B409,H409,B409)</f>
        <v>45709</v>
      </c>
      <c r="D409" s="5" t="str">
        <f t="shared" si="72"/>
        <v>Feb-2025</v>
      </c>
      <c r="E409" s="5" t="str">
        <f t="shared" si="73"/>
        <v>Feb</v>
      </c>
      <c r="F409" s="5" t="str">
        <f t="shared" si="74"/>
        <v>2025</v>
      </c>
      <c r="G409" s="5" t="str">
        <f t="shared" si="75"/>
        <v>Q1-2025</v>
      </c>
      <c r="H409" s="5">
        <v>45737</v>
      </c>
      <c r="I409" s="5">
        <f>IF(H409&lt;B409, B409+7, H409)</f>
        <v>45737</v>
      </c>
      <c r="J409" s="5" t="str">
        <f>IF(H409&lt;B409, "Invalid","Okay")</f>
        <v>Okay</v>
      </c>
      <c r="K409" s="16">
        <f>I409-C409</f>
        <v>28</v>
      </c>
      <c r="L409" s="16" t="str">
        <f t="shared" si="76"/>
        <v>Target Not Met</v>
      </c>
      <c r="M409" s="2" t="s">
        <v>646</v>
      </c>
      <c r="N409" s="2" t="s">
        <v>651</v>
      </c>
      <c r="O409" s="2" t="s">
        <v>669</v>
      </c>
      <c r="P409" s="29" t="str">
        <f t="shared" si="77"/>
        <v>Africa→Nigeria→Abuja</v>
      </c>
      <c r="Q409" s="2" t="s">
        <v>706</v>
      </c>
      <c r="R409" s="2" t="s">
        <v>709</v>
      </c>
      <c r="S409" s="2" t="s">
        <v>714</v>
      </c>
      <c r="T409" s="2" t="s">
        <v>730</v>
      </c>
      <c r="U409" t="e">
        <f>(AE409/#REF!)*100</f>
        <v>#REF!</v>
      </c>
      <c r="V409" s="2" t="s">
        <v>1140</v>
      </c>
      <c r="W409" s="7">
        <v>1437.39</v>
      </c>
      <c r="X409" s="7">
        <v>1388.31</v>
      </c>
      <c r="Y409" s="7">
        <f t="shared" si="78"/>
        <v>1388.31</v>
      </c>
      <c r="Z409" s="7" t="str">
        <f t="shared" si="79"/>
        <v>Medium</v>
      </c>
      <c r="AA409" s="13">
        <v>0.13800000000000001</v>
      </c>
      <c r="AB409" s="13">
        <f t="shared" si="80"/>
        <v>0.13800000000000001</v>
      </c>
      <c r="AC409" s="13" t="str">
        <f t="shared" si="81"/>
        <v>OK</v>
      </c>
      <c r="AD409" s="7">
        <v>18</v>
      </c>
      <c r="AE409" s="7">
        <f>Y409*AD409*(1-AB409)</f>
        <v>21541.017959999997</v>
      </c>
      <c r="AF409" s="7">
        <f>W409*AD409</f>
        <v>25873.02</v>
      </c>
      <c r="AG409" s="7">
        <f t="shared" si="82"/>
        <v>-4332.002040000003</v>
      </c>
      <c r="AH409" s="13">
        <f t="shared" si="83"/>
        <v>-0.20110479681341872</v>
      </c>
    </row>
    <row r="410" spans="1:34" x14ac:dyDescent="0.35">
      <c r="A410" s="2" t="s">
        <v>422</v>
      </c>
      <c r="B410" s="5">
        <v>45724</v>
      </c>
      <c r="C410" s="5">
        <f>IF(H410&lt;B410,H410,B410)</f>
        <v>45724</v>
      </c>
      <c r="D410" s="5" t="str">
        <f t="shared" si="72"/>
        <v>Mar-2025</v>
      </c>
      <c r="E410" s="5" t="str">
        <f t="shared" si="73"/>
        <v>Mar</v>
      </c>
      <c r="F410" s="5" t="str">
        <f t="shared" si="74"/>
        <v>2025</v>
      </c>
      <c r="G410" s="5" t="str">
        <f t="shared" si="75"/>
        <v>Q1-2025</v>
      </c>
      <c r="H410" s="5">
        <v>45731</v>
      </c>
      <c r="I410" s="5">
        <f>IF(H410&lt;B410, B410+7, H410)</f>
        <v>45731</v>
      </c>
      <c r="J410" s="5" t="str">
        <f>IF(H410&lt;B410, "Invalid","Okay")</f>
        <v>Okay</v>
      </c>
      <c r="K410" s="16">
        <f>I410-C410</f>
        <v>7</v>
      </c>
      <c r="L410" s="16" t="str">
        <f t="shared" si="76"/>
        <v>Target Met</v>
      </c>
      <c r="M410" s="2" t="s">
        <v>647</v>
      </c>
      <c r="N410" s="2" t="s">
        <v>654</v>
      </c>
      <c r="O410" s="2" t="s">
        <v>668</v>
      </c>
      <c r="P410" s="29" t="str">
        <f t="shared" si="77"/>
        <v>Asia→India→Bengaluru</v>
      </c>
      <c r="Q410" s="2" t="s">
        <v>701</v>
      </c>
      <c r="R410" s="2" t="s">
        <v>710</v>
      </c>
      <c r="S410" s="2" t="s">
        <v>723</v>
      </c>
      <c r="T410" s="2" t="s">
        <v>731</v>
      </c>
      <c r="U410" t="e">
        <f>(AE410/#REF!)*100</f>
        <v>#REF!</v>
      </c>
      <c r="V410" s="2" t="s">
        <v>1141</v>
      </c>
      <c r="W410" s="7">
        <v>475.66</v>
      </c>
      <c r="X410" s="7">
        <v>529.14</v>
      </c>
      <c r="Y410" s="7">
        <f t="shared" si="78"/>
        <v>529.14</v>
      </c>
      <c r="Z410" s="7" t="str">
        <f t="shared" si="79"/>
        <v>Low</v>
      </c>
      <c r="AA410" s="13">
        <v>0.19600000000000001</v>
      </c>
      <c r="AB410" s="13">
        <f t="shared" si="80"/>
        <v>0.19600000000000001</v>
      </c>
      <c r="AC410" s="13" t="str">
        <f t="shared" si="81"/>
        <v>OK</v>
      </c>
      <c r="AD410" s="7">
        <v>11</v>
      </c>
      <c r="AE410" s="7">
        <f>Y410*AD410*(1-AB410)</f>
        <v>4679.7141600000004</v>
      </c>
      <c r="AF410" s="7">
        <f>W410*AD410</f>
        <v>5232.26</v>
      </c>
      <c r="AG410" s="7">
        <f t="shared" si="82"/>
        <v>-552.54583999999977</v>
      </c>
      <c r="AH410" s="13">
        <f t="shared" si="83"/>
        <v>-0.11807256193613323</v>
      </c>
    </row>
    <row r="411" spans="1:34" x14ac:dyDescent="0.35">
      <c r="A411" s="2" t="s">
        <v>423</v>
      </c>
      <c r="B411" s="5">
        <v>45276</v>
      </c>
      <c r="C411" s="5">
        <f>IF(H411&lt;B411,H411,B411)</f>
        <v>45276</v>
      </c>
      <c r="D411" s="5" t="str">
        <f t="shared" si="72"/>
        <v>Dec-2023</v>
      </c>
      <c r="E411" s="5" t="str">
        <f t="shared" si="73"/>
        <v>Dec</v>
      </c>
      <c r="F411" s="5" t="str">
        <f t="shared" si="74"/>
        <v>2023</v>
      </c>
      <c r="G411" s="5" t="str">
        <f t="shared" si="75"/>
        <v>Q4-2023</v>
      </c>
      <c r="H411" s="5">
        <v>45279</v>
      </c>
      <c r="I411" s="5">
        <f>IF(H411&lt;B411, B411+7, H411)</f>
        <v>45279</v>
      </c>
      <c r="J411" s="5" t="str">
        <f>IF(H411&lt;B411, "Invalid","Okay")</f>
        <v>Okay</v>
      </c>
      <c r="K411" s="16">
        <f>I411-C411</f>
        <v>3</v>
      </c>
      <c r="L411" s="16" t="str">
        <f t="shared" si="76"/>
        <v>Target Met</v>
      </c>
      <c r="M411" s="2" t="s">
        <v>647</v>
      </c>
      <c r="N411" s="2" t="s">
        <v>659</v>
      </c>
      <c r="O411" s="2" t="s">
        <v>699</v>
      </c>
      <c r="P411" s="29" t="str">
        <f t="shared" si="77"/>
        <v>Asia→China→Beijing</v>
      </c>
      <c r="Q411" s="2" t="s">
        <v>702</v>
      </c>
      <c r="R411" s="2" t="s">
        <v>707</v>
      </c>
      <c r="S411" s="2" t="s">
        <v>720</v>
      </c>
      <c r="T411" s="2" t="s">
        <v>733</v>
      </c>
      <c r="U411" t="e">
        <f>(AE411/#REF!)*100</f>
        <v>#REF!</v>
      </c>
      <c r="V411" s="2" t="s">
        <v>1142</v>
      </c>
      <c r="W411" s="7">
        <v>1415.05</v>
      </c>
      <c r="X411" s="7">
        <v>1972.38</v>
      </c>
      <c r="Y411" s="7">
        <f t="shared" si="78"/>
        <v>1972.38</v>
      </c>
      <c r="Z411" s="7" t="str">
        <f t="shared" si="79"/>
        <v>High</v>
      </c>
      <c r="AA411" s="13">
        <v>0</v>
      </c>
      <c r="AB411" s="13">
        <f t="shared" si="80"/>
        <v>0</v>
      </c>
      <c r="AC411" s="13" t="str">
        <f t="shared" si="81"/>
        <v>OK</v>
      </c>
      <c r="AD411" s="7">
        <v>12</v>
      </c>
      <c r="AE411" s="7">
        <f>Y411*AD411*(1-AB411)</f>
        <v>23668.560000000001</v>
      </c>
      <c r="AF411" s="7">
        <f>W411*AD411</f>
        <v>16980.599999999999</v>
      </c>
      <c r="AG411" s="7">
        <f t="shared" si="82"/>
        <v>6687.9600000000028</v>
      </c>
      <c r="AH411" s="13">
        <f t="shared" si="83"/>
        <v>0.28256725377462771</v>
      </c>
    </row>
    <row r="412" spans="1:34" x14ac:dyDescent="0.35">
      <c r="A412" s="2" t="s">
        <v>424</v>
      </c>
      <c r="B412" s="5">
        <v>45534</v>
      </c>
      <c r="C412" s="5">
        <f>IF(H412&lt;B412,H412,B412)</f>
        <v>45534</v>
      </c>
      <c r="D412" s="5" t="str">
        <f t="shared" si="72"/>
        <v>Aug-2024</v>
      </c>
      <c r="E412" s="5" t="str">
        <f t="shared" si="73"/>
        <v>Aug</v>
      </c>
      <c r="F412" s="5" t="str">
        <f t="shared" si="74"/>
        <v>2024</v>
      </c>
      <c r="G412" s="5" t="str">
        <f t="shared" si="75"/>
        <v>Q3-2024</v>
      </c>
      <c r="H412" s="5">
        <v>45540</v>
      </c>
      <c r="I412" s="5">
        <f>IF(H412&lt;B412, B412+7, H412)</f>
        <v>45540</v>
      </c>
      <c r="J412" s="5" t="str">
        <f>IF(H412&lt;B412, "Invalid","Okay")</f>
        <v>Okay</v>
      </c>
      <c r="K412" s="16">
        <f>I412-C412</f>
        <v>6</v>
      </c>
      <c r="L412" s="16" t="str">
        <f t="shared" si="76"/>
        <v>Target Met</v>
      </c>
      <c r="M412" s="2" t="s">
        <v>647</v>
      </c>
      <c r="N412" s="2" t="s">
        <v>652</v>
      </c>
      <c r="O412" s="2" t="s">
        <v>694</v>
      </c>
      <c r="P412" s="29" t="str">
        <f t="shared" si="77"/>
        <v>Asia→Japan→Nagoya</v>
      </c>
      <c r="Q412" s="2" t="s">
        <v>702</v>
      </c>
      <c r="R412" s="2" t="s">
        <v>708</v>
      </c>
      <c r="S412" s="2" t="s">
        <v>725</v>
      </c>
      <c r="T412" s="2" t="s">
        <v>731</v>
      </c>
      <c r="U412" t="e">
        <f>(AE412/#REF!)*100</f>
        <v>#REF!</v>
      </c>
      <c r="V412" s="2" t="s">
        <v>1143</v>
      </c>
      <c r="W412" s="7">
        <v>466.16</v>
      </c>
      <c r="X412" s="7">
        <v>876.81</v>
      </c>
      <c r="Y412" s="7">
        <f t="shared" si="78"/>
        <v>876.81</v>
      </c>
      <c r="Z412" s="7" t="str">
        <f t="shared" si="79"/>
        <v>Low</v>
      </c>
      <c r="AA412" s="13">
        <v>0.24099999999999999</v>
      </c>
      <c r="AB412" s="13">
        <f t="shared" si="80"/>
        <v>0.24099999999999999</v>
      </c>
      <c r="AC412" s="13" t="str">
        <f t="shared" si="81"/>
        <v>OK</v>
      </c>
      <c r="AD412" s="7">
        <v>8</v>
      </c>
      <c r="AE412" s="7">
        <f>Y412*AD412*(1-AB412)</f>
        <v>5323.9903199999999</v>
      </c>
      <c r="AF412" s="7">
        <f>W412*AD412</f>
        <v>3729.28</v>
      </c>
      <c r="AG412" s="7">
        <f t="shared" si="82"/>
        <v>1594.7103199999997</v>
      </c>
      <c r="AH412" s="13">
        <f t="shared" si="83"/>
        <v>0.29953291124691594</v>
      </c>
    </row>
    <row r="413" spans="1:34" x14ac:dyDescent="0.35">
      <c r="A413" s="2" t="s">
        <v>425</v>
      </c>
      <c r="B413" s="5">
        <v>45430</v>
      </c>
      <c r="C413" s="5">
        <f>IF(H413&lt;B413,H413,B413)</f>
        <v>45430</v>
      </c>
      <c r="D413" s="5" t="str">
        <f t="shared" si="72"/>
        <v>May-2024</v>
      </c>
      <c r="E413" s="5" t="str">
        <f t="shared" si="73"/>
        <v>May</v>
      </c>
      <c r="F413" s="5" t="str">
        <f t="shared" si="74"/>
        <v>2024</v>
      </c>
      <c r="G413" s="5" t="str">
        <f t="shared" si="75"/>
        <v>Q2-2024</v>
      </c>
      <c r="H413" s="5">
        <v>45433</v>
      </c>
      <c r="I413" s="5">
        <f>IF(H413&lt;B413, B413+7, H413)</f>
        <v>45433</v>
      </c>
      <c r="J413" s="5" t="str">
        <f>IF(H413&lt;B413, "Invalid","Okay")</f>
        <v>Okay</v>
      </c>
      <c r="K413" s="16">
        <f>I413-C413</f>
        <v>3</v>
      </c>
      <c r="L413" s="16" t="str">
        <f t="shared" si="76"/>
        <v>Target Met</v>
      </c>
      <c r="M413" s="2" t="s">
        <v>649</v>
      </c>
      <c r="N413" s="2" t="s">
        <v>657</v>
      </c>
      <c r="O413" s="2" t="s">
        <v>673</v>
      </c>
      <c r="P413" s="29" t="str">
        <f t="shared" si="77"/>
        <v>Europe→France→Marseille</v>
      </c>
      <c r="Q413" s="2" t="s">
        <v>703</v>
      </c>
      <c r="R413" s="2" t="s">
        <v>709</v>
      </c>
      <c r="S413" s="2" t="s">
        <v>726</v>
      </c>
      <c r="T413" s="2" t="s">
        <v>728</v>
      </c>
      <c r="U413" t="e">
        <f>(AE413/#REF!)*100</f>
        <v>#REF!</v>
      </c>
      <c r="V413" s="2" t="s">
        <v>1144</v>
      </c>
      <c r="W413" s="7">
        <v>663.66</v>
      </c>
      <c r="X413" s="7">
        <v>824.26</v>
      </c>
      <c r="Y413" s="7">
        <f t="shared" si="78"/>
        <v>824.26</v>
      </c>
      <c r="Z413" s="7" t="str">
        <f t="shared" si="79"/>
        <v>Low</v>
      </c>
      <c r="AA413" s="13">
        <v>0.23899999999999999</v>
      </c>
      <c r="AB413" s="13">
        <f t="shared" si="80"/>
        <v>0.23899999999999999</v>
      </c>
      <c r="AC413" s="13" t="str">
        <f t="shared" si="81"/>
        <v>OK</v>
      </c>
      <c r="AD413" s="7">
        <v>11</v>
      </c>
      <c r="AE413" s="7">
        <f>Y413*AD413*(1-AB413)</f>
        <v>6899.8804600000003</v>
      </c>
      <c r="AF413" s="7">
        <f>W413*AD413</f>
        <v>7300.2599999999993</v>
      </c>
      <c r="AG413" s="7">
        <f t="shared" si="82"/>
        <v>-400.379539999999</v>
      </c>
      <c r="AH413" s="13">
        <f t="shared" si="83"/>
        <v>-5.8027025587048933E-2</v>
      </c>
    </row>
    <row r="414" spans="1:34" x14ac:dyDescent="0.35">
      <c r="A414" s="2" t="s">
        <v>426</v>
      </c>
      <c r="B414" s="5">
        <v>45002</v>
      </c>
      <c r="C414" s="5">
        <f>IF(H414&lt;B414,H414,B414)</f>
        <v>45002</v>
      </c>
      <c r="D414" s="5" t="str">
        <f t="shared" si="72"/>
        <v>Mar-2023</v>
      </c>
      <c r="E414" s="5" t="str">
        <f t="shared" si="73"/>
        <v>Mar</v>
      </c>
      <c r="F414" s="5" t="str">
        <f t="shared" si="74"/>
        <v>2023</v>
      </c>
      <c r="G414" s="5" t="str">
        <f t="shared" si="75"/>
        <v>Q1-2023</v>
      </c>
      <c r="H414" s="5">
        <v>45022</v>
      </c>
      <c r="I414" s="5">
        <f>IF(H414&lt;B414, B414+7, H414)</f>
        <v>45022</v>
      </c>
      <c r="J414" s="5" t="str">
        <f>IF(H414&lt;B414, "Invalid","Okay")</f>
        <v>Okay</v>
      </c>
      <c r="K414" s="16">
        <f>I414-C414</f>
        <v>20</v>
      </c>
      <c r="L414" s="16" t="str">
        <f t="shared" si="76"/>
        <v>Target Not Met</v>
      </c>
      <c r="M414" s="2" t="s">
        <v>649</v>
      </c>
      <c r="N414" s="2" t="s">
        <v>656</v>
      </c>
      <c r="O414" s="2" t="s">
        <v>684</v>
      </c>
      <c r="P414" s="29" t="str">
        <f t="shared" si="77"/>
        <v>Europe→Germany→Munich</v>
      </c>
      <c r="Q414" s="2" t="s">
        <v>704</v>
      </c>
      <c r="R414" s="2" t="s">
        <v>707</v>
      </c>
      <c r="S414" s="2" t="s">
        <v>719</v>
      </c>
      <c r="T414" s="2" t="s">
        <v>730</v>
      </c>
      <c r="U414" t="e">
        <f>(AE414/#REF!)*100</f>
        <v>#REF!</v>
      </c>
      <c r="V414" s="2" t="s">
        <v>1145</v>
      </c>
      <c r="W414" s="7">
        <v>692.18</v>
      </c>
      <c r="X414" s="7">
        <v>1159.3499999999999</v>
      </c>
      <c r="Y414" s="7">
        <f t="shared" si="78"/>
        <v>1159.3499999999999</v>
      </c>
      <c r="Z414" s="7" t="str">
        <f t="shared" si="79"/>
        <v>Low</v>
      </c>
      <c r="AA414" s="13">
        <v>0.112</v>
      </c>
      <c r="AB414" s="13">
        <f t="shared" si="80"/>
        <v>0.112</v>
      </c>
      <c r="AC414" s="13" t="str">
        <f t="shared" si="81"/>
        <v>OK</v>
      </c>
      <c r="AD414" s="7">
        <v>2</v>
      </c>
      <c r="AE414" s="7">
        <f>Y414*AD414*(1-AB414)</f>
        <v>2059.0056</v>
      </c>
      <c r="AF414" s="7">
        <f>W414*AD414</f>
        <v>1384.36</v>
      </c>
      <c r="AG414" s="7">
        <f t="shared" si="82"/>
        <v>674.64560000000006</v>
      </c>
      <c r="AH414" s="13">
        <f t="shared" si="83"/>
        <v>0.32765602968734037</v>
      </c>
    </row>
    <row r="415" spans="1:34" x14ac:dyDescent="0.35">
      <c r="A415" s="2" t="s">
        <v>427</v>
      </c>
      <c r="B415" s="5">
        <v>45163</v>
      </c>
      <c r="C415" s="5">
        <f>IF(H415&lt;B415,H415,B415)</f>
        <v>45163</v>
      </c>
      <c r="D415" s="5" t="str">
        <f t="shared" si="72"/>
        <v>Aug-2023</v>
      </c>
      <c r="E415" s="5" t="str">
        <f t="shared" si="73"/>
        <v>Aug</v>
      </c>
      <c r="F415" s="5" t="str">
        <f t="shared" si="74"/>
        <v>2023</v>
      </c>
      <c r="G415" s="5" t="str">
        <f t="shared" si="75"/>
        <v>Q3-2023</v>
      </c>
      <c r="H415" s="5">
        <v>45185</v>
      </c>
      <c r="I415" s="5">
        <f>IF(H415&lt;B415, B415+7, H415)</f>
        <v>45185</v>
      </c>
      <c r="J415" s="5" t="str">
        <f>IF(H415&lt;B415, "Invalid","Okay")</f>
        <v>Okay</v>
      </c>
      <c r="K415" s="16">
        <f>I415-C415</f>
        <v>22</v>
      </c>
      <c r="L415" s="16" t="str">
        <f t="shared" si="76"/>
        <v>Target Not Met</v>
      </c>
      <c r="M415" s="2" t="s">
        <v>646</v>
      </c>
      <c r="N415" s="2" t="s">
        <v>651</v>
      </c>
      <c r="O415" s="2" t="s">
        <v>669</v>
      </c>
      <c r="P415" s="29" t="str">
        <f t="shared" si="77"/>
        <v>Africa→Nigeria→Abuja</v>
      </c>
      <c r="Q415" s="2" t="s">
        <v>701</v>
      </c>
      <c r="R415" s="2" t="s">
        <v>709</v>
      </c>
      <c r="S415" s="2" t="s">
        <v>716</v>
      </c>
      <c r="T415" s="2" t="s">
        <v>730</v>
      </c>
      <c r="U415" t="e">
        <f>(AE415/#REF!)*100</f>
        <v>#REF!</v>
      </c>
      <c r="V415" s="2" t="s">
        <v>1146</v>
      </c>
      <c r="W415" s="7">
        <v>1196.83</v>
      </c>
      <c r="X415" s="7">
        <v>2513.5100000000002</v>
      </c>
      <c r="Y415" s="7">
        <f t="shared" si="78"/>
        <v>2513.5100000000002</v>
      </c>
      <c r="Z415" s="7" t="str">
        <f t="shared" si="79"/>
        <v>High</v>
      </c>
      <c r="AA415" s="13">
        <v>8.3000000000000004E-2</v>
      </c>
      <c r="AB415" s="13">
        <f t="shared" si="80"/>
        <v>8.3000000000000004E-2</v>
      </c>
      <c r="AC415" s="13" t="str">
        <f t="shared" si="81"/>
        <v>OK</v>
      </c>
      <c r="AD415" s="7">
        <v>7</v>
      </c>
      <c r="AE415" s="7">
        <f>Y415*AD415*(1-AB415)</f>
        <v>16134.22069</v>
      </c>
      <c r="AF415" s="7">
        <f>W415*AD415</f>
        <v>8377.81</v>
      </c>
      <c r="AG415" s="7">
        <f t="shared" si="82"/>
        <v>7756.4106900000006</v>
      </c>
      <c r="AH415" s="13">
        <f t="shared" si="83"/>
        <v>0.48074281609445374</v>
      </c>
    </row>
    <row r="416" spans="1:34" x14ac:dyDescent="0.35">
      <c r="A416" s="2" t="s">
        <v>428</v>
      </c>
      <c r="B416" s="5">
        <v>45449</v>
      </c>
      <c r="C416" s="5">
        <f>IF(H416&lt;B416,H416,B416)</f>
        <v>45449</v>
      </c>
      <c r="D416" s="5" t="str">
        <f t="shared" si="72"/>
        <v>Jun-2024</v>
      </c>
      <c r="E416" s="5" t="str">
        <f t="shared" si="73"/>
        <v>Jun</v>
      </c>
      <c r="F416" s="5" t="str">
        <f t="shared" si="74"/>
        <v>2024</v>
      </c>
      <c r="G416" s="5" t="str">
        <f t="shared" si="75"/>
        <v>Q2-2024</v>
      </c>
      <c r="H416" s="5">
        <v>45467</v>
      </c>
      <c r="I416" s="5">
        <f>IF(H416&lt;B416, B416+7, H416)</f>
        <v>45467</v>
      </c>
      <c r="J416" s="5" t="str">
        <f>IF(H416&lt;B416, "Invalid","Okay")</f>
        <v>Okay</v>
      </c>
      <c r="K416" s="16">
        <f>I416-C416</f>
        <v>18</v>
      </c>
      <c r="L416" s="16" t="str">
        <f t="shared" si="76"/>
        <v>Target Not Met</v>
      </c>
      <c r="M416" s="2" t="s">
        <v>647</v>
      </c>
      <c r="N416" s="2" t="s">
        <v>654</v>
      </c>
      <c r="O416" s="2" t="s">
        <v>668</v>
      </c>
      <c r="P416" s="29" t="str">
        <f t="shared" si="77"/>
        <v>Asia→India→Bengaluru</v>
      </c>
      <c r="Q416" s="2" t="s">
        <v>705</v>
      </c>
      <c r="R416" s="2" t="s">
        <v>711</v>
      </c>
      <c r="S416" s="2" t="s">
        <v>722</v>
      </c>
      <c r="T416" s="2" t="s">
        <v>729</v>
      </c>
      <c r="U416" t="e">
        <f>(AE416/#REF!)*100</f>
        <v>#REF!</v>
      </c>
      <c r="V416" s="2" t="s">
        <v>1147</v>
      </c>
      <c r="W416" s="7">
        <v>1253.25</v>
      </c>
      <c r="X416" s="7">
        <v>3087.13</v>
      </c>
      <c r="Y416" s="7">
        <f t="shared" si="78"/>
        <v>3087.13</v>
      </c>
      <c r="Z416" s="7" t="str">
        <f t="shared" si="79"/>
        <v>High</v>
      </c>
      <c r="AA416" s="13">
        <v>7.1999999999999995E-2</v>
      </c>
      <c r="AB416" s="13">
        <f t="shared" si="80"/>
        <v>7.1999999999999995E-2</v>
      </c>
      <c r="AC416" s="13" t="str">
        <f t="shared" si="81"/>
        <v>OK</v>
      </c>
      <c r="AD416" s="7">
        <v>11</v>
      </c>
      <c r="AE416" s="7">
        <f>Y416*AD416*(1-AB416)</f>
        <v>31513.423040000001</v>
      </c>
      <c r="AF416" s="7">
        <f>W416*AD416</f>
        <v>13785.75</v>
      </c>
      <c r="AG416" s="7">
        <f t="shared" si="82"/>
        <v>17727.673040000001</v>
      </c>
      <c r="AH416" s="13">
        <f t="shared" si="83"/>
        <v>0.562543555408064</v>
      </c>
    </row>
    <row r="417" spans="1:34" x14ac:dyDescent="0.35">
      <c r="A417" s="2" t="s">
        <v>429</v>
      </c>
      <c r="B417" s="5">
        <v>45167</v>
      </c>
      <c r="C417" s="5">
        <f>IF(H417&lt;B417,H417,B417)</f>
        <v>45167</v>
      </c>
      <c r="D417" s="5" t="str">
        <f t="shared" si="72"/>
        <v>Aug-2023</v>
      </c>
      <c r="E417" s="5" t="str">
        <f t="shared" si="73"/>
        <v>Aug</v>
      </c>
      <c r="F417" s="5" t="str">
        <f t="shared" si="74"/>
        <v>2023</v>
      </c>
      <c r="G417" s="5" t="str">
        <f t="shared" si="75"/>
        <v>Q3-2023</v>
      </c>
      <c r="H417" s="5">
        <v>45182</v>
      </c>
      <c r="I417" s="5">
        <f>IF(H417&lt;B417, B417+7, H417)</f>
        <v>45182</v>
      </c>
      <c r="J417" s="5" t="str">
        <f>IF(H417&lt;B417, "Invalid","Okay")</f>
        <v>Okay</v>
      </c>
      <c r="K417" s="16">
        <f>I417-C417</f>
        <v>15</v>
      </c>
      <c r="L417" s="16" t="str">
        <f t="shared" si="76"/>
        <v>Target Not Met</v>
      </c>
      <c r="M417" s="2" t="s">
        <v>648</v>
      </c>
      <c r="N417" s="2" t="s">
        <v>653</v>
      </c>
      <c r="O417" s="2" t="s">
        <v>688</v>
      </c>
      <c r="P417" s="29" t="str">
        <f t="shared" si="77"/>
        <v>Americas→Canada→Vancouver</v>
      </c>
      <c r="Q417" s="2" t="s">
        <v>705</v>
      </c>
      <c r="R417" s="2" t="s">
        <v>709</v>
      </c>
      <c r="S417" s="2" t="s">
        <v>719</v>
      </c>
      <c r="T417" s="2" t="s">
        <v>728</v>
      </c>
      <c r="U417" t="e">
        <f>(AE417/#REF!)*100</f>
        <v>#REF!</v>
      </c>
      <c r="V417" s="2" t="s">
        <v>1148</v>
      </c>
      <c r="W417" s="7">
        <v>1287.6400000000001</v>
      </c>
      <c r="X417" s="7">
        <v>2717.15</v>
      </c>
      <c r="Y417" s="7">
        <f t="shared" si="78"/>
        <v>2717.15</v>
      </c>
      <c r="Z417" s="7" t="str">
        <f t="shared" si="79"/>
        <v>High</v>
      </c>
      <c r="AA417" s="13">
        <v>3.2000000000000001E-2</v>
      </c>
      <c r="AB417" s="13">
        <f t="shared" si="80"/>
        <v>3.2000000000000001E-2</v>
      </c>
      <c r="AC417" s="13" t="str">
        <f t="shared" si="81"/>
        <v>OK</v>
      </c>
      <c r="AD417" s="7">
        <v>7</v>
      </c>
      <c r="AE417" s="7">
        <f>Y417*AD417*(1-AB417)</f>
        <v>18411.4084</v>
      </c>
      <c r="AF417" s="7">
        <f>W417*AD417</f>
        <v>9013.4800000000014</v>
      </c>
      <c r="AG417" s="7">
        <f t="shared" si="82"/>
        <v>9397.9283999999989</v>
      </c>
      <c r="AH417" s="13">
        <f t="shared" si="83"/>
        <v>0.51044049405802105</v>
      </c>
    </row>
    <row r="418" spans="1:34" x14ac:dyDescent="0.35">
      <c r="A418" s="2" t="s">
        <v>430</v>
      </c>
      <c r="B418" s="5">
        <v>45626</v>
      </c>
      <c r="C418" s="5">
        <f>IF(H418&lt;B418,H418,B418)</f>
        <v>45626</v>
      </c>
      <c r="D418" s="5" t="str">
        <f t="shared" si="72"/>
        <v>Nov-2024</v>
      </c>
      <c r="E418" s="5" t="str">
        <f t="shared" si="73"/>
        <v>Nov</v>
      </c>
      <c r="F418" s="5" t="str">
        <f t="shared" si="74"/>
        <v>2024</v>
      </c>
      <c r="G418" s="5" t="str">
        <f t="shared" si="75"/>
        <v>Q4-2024</v>
      </c>
      <c r="H418" s="5">
        <v>45636</v>
      </c>
      <c r="I418" s="5">
        <f>IF(H418&lt;B418, B418+7, H418)</f>
        <v>45636</v>
      </c>
      <c r="J418" s="5" t="str">
        <f>IF(H418&lt;B418, "Invalid","Okay")</f>
        <v>Okay</v>
      </c>
      <c r="K418" s="16">
        <f>I418-C418</f>
        <v>10</v>
      </c>
      <c r="L418" s="16" t="str">
        <f t="shared" si="76"/>
        <v>Target Not Met</v>
      </c>
      <c r="M418" s="2" t="s">
        <v>647</v>
      </c>
      <c r="N418" s="2" t="s">
        <v>654</v>
      </c>
      <c r="O418" s="2" t="s">
        <v>696</v>
      </c>
      <c r="P418" s="29" t="str">
        <f t="shared" si="77"/>
        <v>Asia→India→Hyderabad</v>
      </c>
      <c r="Q418" s="2" t="s">
        <v>705</v>
      </c>
      <c r="R418" s="2" t="s">
        <v>707</v>
      </c>
      <c r="S418" s="2" t="s">
        <v>721</v>
      </c>
      <c r="T418" s="2" t="s">
        <v>733</v>
      </c>
      <c r="U418" t="e">
        <f>(AE418/#REF!)*100</f>
        <v>#REF!</v>
      </c>
      <c r="V418" s="2" t="s">
        <v>1149</v>
      </c>
      <c r="W418" s="7">
        <v>851.49</v>
      </c>
      <c r="X418" s="7">
        <v>901.79</v>
      </c>
      <c r="Y418" s="7">
        <f t="shared" si="78"/>
        <v>901.79</v>
      </c>
      <c r="Z418" s="7" t="str">
        <f t="shared" si="79"/>
        <v>Low</v>
      </c>
      <c r="AA418" s="13">
        <v>0.245</v>
      </c>
      <c r="AB418" s="13">
        <f t="shared" si="80"/>
        <v>0.245</v>
      </c>
      <c r="AC418" s="13" t="str">
        <f t="shared" si="81"/>
        <v>OK</v>
      </c>
      <c r="AD418" s="7">
        <v>16</v>
      </c>
      <c r="AE418" s="7">
        <f>Y418*AD418*(1-AB418)</f>
        <v>10893.6232</v>
      </c>
      <c r="AF418" s="7">
        <f>W418*AD418</f>
        <v>13623.84</v>
      </c>
      <c r="AG418" s="7">
        <f t="shared" si="82"/>
        <v>-2730.2168000000001</v>
      </c>
      <c r="AH418" s="13">
        <f t="shared" si="83"/>
        <v>-0.25062522816100341</v>
      </c>
    </row>
    <row r="419" spans="1:34" x14ac:dyDescent="0.35">
      <c r="A419" s="2" t="s">
        <v>431</v>
      </c>
      <c r="B419" s="5">
        <v>45813</v>
      </c>
      <c r="C419" s="5">
        <f>IF(H419&lt;B419,H419,B419)</f>
        <v>45813</v>
      </c>
      <c r="D419" s="5" t="str">
        <f t="shared" si="72"/>
        <v>Jun-2025</v>
      </c>
      <c r="E419" s="5" t="str">
        <f t="shared" si="73"/>
        <v>Jun</v>
      </c>
      <c r="F419" s="5" t="str">
        <f t="shared" si="74"/>
        <v>2025</v>
      </c>
      <c r="G419" s="5" t="str">
        <f t="shared" si="75"/>
        <v>Q2-2025</v>
      </c>
      <c r="H419" s="5">
        <v>45822</v>
      </c>
      <c r="I419" s="5">
        <f>IF(H419&lt;B419, B419+7, H419)</f>
        <v>45822</v>
      </c>
      <c r="J419" s="5" t="str">
        <f>IF(H419&lt;B419, "Invalid","Okay")</f>
        <v>Okay</v>
      </c>
      <c r="K419" s="16">
        <f>I419-C419</f>
        <v>9</v>
      </c>
      <c r="L419" s="16" t="str">
        <f t="shared" si="76"/>
        <v>Target Not Met</v>
      </c>
      <c r="M419" s="2" t="s">
        <v>647</v>
      </c>
      <c r="N419" s="2" t="s">
        <v>654</v>
      </c>
      <c r="O419" s="2" t="s">
        <v>680</v>
      </c>
      <c r="P419" s="29" t="str">
        <f t="shared" si="77"/>
        <v>Asia→India→Delhi</v>
      </c>
      <c r="Q419" s="2" t="s">
        <v>703</v>
      </c>
      <c r="R419" s="2" t="s">
        <v>707</v>
      </c>
      <c r="S419" s="2" t="s">
        <v>720</v>
      </c>
      <c r="T419" s="2" t="s">
        <v>733</v>
      </c>
      <c r="U419" t="e">
        <f>(AE419/#REF!)*100</f>
        <v>#REF!</v>
      </c>
      <c r="V419" s="2" t="s">
        <v>1150</v>
      </c>
      <c r="W419" s="7">
        <v>618.69000000000005</v>
      </c>
      <c r="X419" s="7">
        <v>796.15</v>
      </c>
      <c r="Y419" s="7">
        <f t="shared" si="78"/>
        <v>796.15</v>
      </c>
      <c r="Z419" s="7" t="str">
        <f t="shared" si="79"/>
        <v>Low</v>
      </c>
      <c r="AA419" s="13">
        <v>0.09</v>
      </c>
      <c r="AB419" s="13">
        <f t="shared" si="80"/>
        <v>0.09</v>
      </c>
      <c r="AC419" s="13" t="str">
        <f t="shared" si="81"/>
        <v>OK</v>
      </c>
      <c r="AD419" s="7">
        <v>11</v>
      </c>
      <c r="AE419" s="7">
        <f>Y419*AD419*(1-AB419)</f>
        <v>7969.4615000000003</v>
      </c>
      <c r="AF419" s="7">
        <f>W419*AD419</f>
        <v>6805.59</v>
      </c>
      <c r="AG419" s="7">
        <f t="shared" si="82"/>
        <v>1163.8715000000002</v>
      </c>
      <c r="AH419" s="13">
        <f t="shared" si="83"/>
        <v>0.14604142325049191</v>
      </c>
    </row>
    <row r="420" spans="1:34" x14ac:dyDescent="0.35">
      <c r="A420" s="2" t="s">
        <v>432</v>
      </c>
      <c r="B420" s="5">
        <v>45730</v>
      </c>
      <c r="C420" s="5">
        <f>IF(H420&lt;B420,H420,B420)</f>
        <v>45730</v>
      </c>
      <c r="D420" s="5" t="str">
        <f t="shared" si="72"/>
        <v>Mar-2025</v>
      </c>
      <c r="E420" s="5" t="str">
        <f t="shared" si="73"/>
        <v>Mar</v>
      </c>
      <c r="F420" s="5" t="str">
        <f t="shared" si="74"/>
        <v>2025</v>
      </c>
      <c r="G420" s="5" t="str">
        <f t="shared" si="75"/>
        <v>Q1-2025</v>
      </c>
      <c r="H420" s="5">
        <v>45755</v>
      </c>
      <c r="I420" s="5">
        <f>IF(H420&lt;B420, B420+7, H420)</f>
        <v>45755</v>
      </c>
      <c r="J420" s="5" t="str">
        <f>IF(H420&lt;B420, "Invalid","Okay")</f>
        <v>Okay</v>
      </c>
      <c r="K420" s="16">
        <f>I420-C420</f>
        <v>25</v>
      </c>
      <c r="L420" s="16" t="str">
        <f t="shared" si="76"/>
        <v>Target Not Met</v>
      </c>
      <c r="M420" s="2" t="s">
        <v>647</v>
      </c>
      <c r="N420" s="2" t="s">
        <v>659</v>
      </c>
      <c r="O420" s="2" t="s">
        <v>1423</v>
      </c>
      <c r="P420" s="29" t="str">
        <f t="shared" si="77"/>
        <v>Asia→China→Unknown</v>
      </c>
      <c r="Q420" s="2" t="s">
        <v>701</v>
      </c>
      <c r="R420" s="2" t="s">
        <v>710</v>
      </c>
      <c r="S420" s="2" t="s">
        <v>726</v>
      </c>
      <c r="T420" s="2" t="s">
        <v>728</v>
      </c>
      <c r="U420" t="e">
        <f>(AE420/#REF!)*100</f>
        <v>#REF!</v>
      </c>
      <c r="V420" s="2" t="s">
        <v>1151</v>
      </c>
      <c r="W420" s="7">
        <v>80.59</v>
      </c>
      <c r="X420" s="7">
        <v>157.82</v>
      </c>
      <c r="Y420" s="7">
        <f t="shared" si="78"/>
        <v>157.82</v>
      </c>
      <c r="Z420" s="7" t="str">
        <f t="shared" si="79"/>
        <v>Low</v>
      </c>
      <c r="AA420" s="13">
        <v>0.217</v>
      </c>
      <c r="AB420" s="13">
        <f t="shared" si="80"/>
        <v>0.217</v>
      </c>
      <c r="AC420" s="13" t="str">
        <f t="shared" si="81"/>
        <v>OK</v>
      </c>
      <c r="AD420" s="7">
        <v>6</v>
      </c>
      <c r="AE420" s="7">
        <f>Y420*AD420*(1-AB420)</f>
        <v>741.43835999999999</v>
      </c>
      <c r="AF420" s="7">
        <f>W420*AD420</f>
        <v>483.54</v>
      </c>
      <c r="AG420" s="7">
        <f t="shared" si="82"/>
        <v>257.89835999999997</v>
      </c>
      <c r="AH420" s="13">
        <f t="shared" si="83"/>
        <v>0.34783519967863541</v>
      </c>
    </row>
    <row r="421" spans="1:34" x14ac:dyDescent="0.35">
      <c r="A421" s="2" t="s">
        <v>433</v>
      </c>
      <c r="B421" s="5">
        <v>45307</v>
      </c>
      <c r="C421" s="5">
        <f>IF(H421&lt;B421,H421,B421)</f>
        <v>45307</v>
      </c>
      <c r="D421" s="5" t="str">
        <f t="shared" si="72"/>
        <v>Jan-2024</v>
      </c>
      <c r="E421" s="5" t="str">
        <f t="shared" si="73"/>
        <v>Jan</v>
      </c>
      <c r="F421" s="5" t="str">
        <f t="shared" si="74"/>
        <v>2024</v>
      </c>
      <c r="G421" s="5" t="str">
        <f t="shared" si="75"/>
        <v>Q1-2024</v>
      </c>
      <c r="H421" s="5">
        <v>45333</v>
      </c>
      <c r="I421" s="5">
        <f>IF(H421&lt;B421, B421+7, H421)</f>
        <v>45333</v>
      </c>
      <c r="J421" s="5" t="str">
        <f>IF(H421&lt;B421, "Invalid","Okay")</f>
        <v>Okay</v>
      </c>
      <c r="K421" s="16">
        <f>I421-C421</f>
        <v>26</v>
      </c>
      <c r="L421" s="16" t="str">
        <f t="shared" si="76"/>
        <v>Target Not Met</v>
      </c>
      <c r="M421" s="2" t="s">
        <v>649</v>
      </c>
      <c r="N421" s="2" t="s">
        <v>656</v>
      </c>
      <c r="O421" s="2" t="s">
        <v>698</v>
      </c>
      <c r="P421" s="29" t="str">
        <f t="shared" si="77"/>
        <v>Europe→Germany→Frankfurt</v>
      </c>
      <c r="Q421" s="2" t="s">
        <v>703</v>
      </c>
      <c r="R421" s="2" t="s">
        <v>710</v>
      </c>
      <c r="S421" s="2" t="s">
        <v>718</v>
      </c>
      <c r="T421" s="2" t="s">
        <v>732</v>
      </c>
      <c r="U421" t="e">
        <f>(AE421/#REF!)*100</f>
        <v>#REF!</v>
      </c>
      <c r="V421" s="2" t="s">
        <v>1152</v>
      </c>
      <c r="W421" s="7">
        <v>504.93</v>
      </c>
      <c r="X421" s="7">
        <v>819.06</v>
      </c>
      <c r="Y421" s="7">
        <f t="shared" si="78"/>
        <v>819.06</v>
      </c>
      <c r="Z421" s="7" t="str">
        <f t="shared" si="79"/>
        <v>Low</v>
      </c>
      <c r="AA421" s="13">
        <v>0.22600000000000001</v>
      </c>
      <c r="AB421" s="13">
        <f t="shared" si="80"/>
        <v>0.22600000000000001</v>
      </c>
      <c r="AC421" s="13" t="str">
        <f t="shared" si="81"/>
        <v>OK</v>
      </c>
      <c r="AD421" s="7">
        <v>15</v>
      </c>
      <c r="AE421" s="7">
        <f>Y421*AD421*(1-AB421)</f>
        <v>9509.2865999999995</v>
      </c>
      <c r="AF421" s="7">
        <f>W421*AD421</f>
        <v>7573.95</v>
      </c>
      <c r="AG421" s="7">
        <f t="shared" si="82"/>
        <v>1935.3365999999996</v>
      </c>
      <c r="AH421" s="13">
        <f t="shared" si="83"/>
        <v>0.20352069312959814</v>
      </c>
    </row>
    <row r="422" spans="1:34" x14ac:dyDescent="0.35">
      <c r="A422" s="2" t="s">
        <v>434</v>
      </c>
      <c r="B422" s="5">
        <v>45211</v>
      </c>
      <c r="C422" s="5">
        <f>IF(H422&lt;B422,H422,B422)</f>
        <v>45211</v>
      </c>
      <c r="D422" s="5" t="str">
        <f t="shared" si="72"/>
        <v>Oct-2023</v>
      </c>
      <c r="E422" s="5" t="str">
        <f t="shared" si="73"/>
        <v>Oct</v>
      </c>
      <c r="F422" s="5" t="str">
        <f t="shared" si="74"/>
        <v>2023</v>
      </c>
      <c r="G422" s="5" t="str">
        <f t="shared" si="75"/>
        <v>Q4-2023</v>
      </c>
      <c r="H422" s="5">
        <v>45228</v>
      </c>
      <c r="I422" s="5">
        <f>IF(H422&lt;B422, B422+7, H422)</f>
        <v>45228</v>
      </c>
      <c r="J422" s="5" t="str">
        <f>IF(H422&lt;B422, "Invalid","Okay")</f>
        <v>Okay</v>
      </c>
      <c r="K422" s="16">
        <f>I422-C422</f>
        <v>17</v>
      </c>
      <c r="L422" s="16" t="str">
        <f t="shared" si="76"/>
        <v>Target Not Met</v>
      </c>
      <c r="M422" s="2" t="s">
        <v>647</v>
      </c>
      <c r="N422" s="2" t="s">
        <v>652</v>
      </c>
      <c r="O422" s="2" t="s">
        <v>694</v>
      </c>
      <c r="P422" s="29" t="str">
        <f t="shared" si="77"/>
        <v>Asia→Japan→Nagoya</v>
      </c>
      <c r="Q422" s="2" t="s">
        <v>703</v>
      </c>
      <c r="R422" s="2" t="s">
        <v>711</v>
      </c>
      <c r="S422" s="2" t="s">
        <v>722</v>
      </c>
      <c r="T422" s="2" t="s">
        <v>730</v>
      </c>
      <c r="U422" t="e">
        <f>(AE422/#REF!)*100</f>
        <v>#REF!</v>
      </c>
      <c r="V422" s="2" t="s">
        <v>1153</v>
      </c>
      <c r="W422" s="7">
        <v>1102.19</v>
      </c>
      <c r="X422" s="7">
        <v>1711.16</v>
      </c>
      <c r="Y422" s="7">
        <f t="shared" si="78"/>
        <v>1711.16</v>
      </c>
      <c r="Z422" s="7" t="str">
        <f t="shared" si="79"/>
        <v>Medium</v>
      </c>
      <c r="AA422" s="13">
        <v>0.151</v>
      </c>
      <c r="AB422" s="13">
        <f t="shared" si="80"/>
        <v>0.151</v>
      </c>
      <c r="AC422" s="13" t="str">
        <f t="shared" si="81"/>
        <v>OK</v>
      </c>
      <c r="AD422" s="7">
        <v>10</v>
      </c>
      <c r="AE422" s="7">
        <f>Y422*AD422*(1-AB422)</f>
        <v>14527.748400000002</v>
      </c>
      <c r="AF422" s="7">
        <f>W422*AD422</f>
        <v>11021.900000000001</v>
      </c>
      <c r="AG422" s="7">
        <f t="shared" si="82"/>
        <v>3505.8484000000008</v>
      </c>
      <c r="AH422" s="13">
        <f t="shared" si="83"/>
        <v>0.24132083675127525</v>
      </c>
    </row>
    <row r="423" spans="1:34" x14ac:dyDescent="0.35">
      <c r="A423" s="2" t="s">
        <v>435</v>
      </c>
      <c r="B423" s="5">
        <v>45713</v>
      </c>
      <c r="C423" s="5">
        <f>IF(H423&lt;B423,H423,B423)</f>
        <v>45713</v>
      </c>
      <c r="D423" s="5" t="str">
        <f t="shared" si="72"/>
        <v>Feb-2025</v>
      </c>
      <c r="E423" s="5" t="str">
        <f t="shared" si="73"/>
        <v>Feb</v>
      </c>
      <c r="F423" s="5" t="str">
        <f t="shared" si="74"/>
        <v>2025</v>
      </c>
      <c r="G423" s="5" t="str">
        <f t="shared" si="75"/>
        <v>Q1-2025</v>
      </c>
      <c r="H423" s="5">
        <v>45733</v>
      </c>
      <c r="I423" s="5">
        <f>IF(H423&lt;B423, B423+7, H423)</f>
        <v>45733</v>
      </c>
      <c r="J423" s="5" t="str">
        <f>IF(H423&lt;B423, "Invalid","Okay")</f>
        <v>Okay</v>
      </c>
      <c r="K423" s="16">
        <f>I423-C423</f>
        <v>20</v>
      </c>
      <c r="L423" s="16" t="str">
        <f t="shared" si="76"/>
        <v>Target Not Met</v>
      </c>
      <c r="M423" s="2" t="s">
        <v>648</v>
      </c>
      <c r="N423" s="2" t="s">
        <v>660</v>
      </c>
      <c r="O423" s="2" t="s">
        <v>686</v>
      </c>
      <c r="P423" s="29" t="str">
        <f t="shared" si="77"/>
        <v>Americas→USA→San Francisco</v>
      </c>
      <c r="Q423" s="2" t="s">
        <v>703</v>
      </c>
      <c r="R423" s="2" t="s">
        <v>709</v>
      </c>
      <c r="S423" s="2" t="s">
        <v>722</v>
      </c>
      <c r="T423" s="2" t="s">
        <v>730</v>
      </c>
      <c r="U423" t="e">
        <f>(AE423/#REF!)*100</f>
        <v>#REF!</v>
      </c>
      <c r="V423" s="2" t="s">
        <v>1154</v>
      </c>
      <c r="W423" s="7">
        <v>1205.26</v>
      </c>
      <c r="X423" s="7">
        <v>1696.35</v>
      </c>
      <c r="Y423" s="7">
        <f t="shared" si="78"/>
        <v>1696.35</v>
      </c>
      <c r="Z423" s="7" t="str">
        <f t="shared" si="79"/>
        <v>Medium</v>
      </c>
      <c r="AA423" s="13">
        <v>1.9E-2</v>
      </c>
      <c r="AB423" s="13">
        <f t="shared" si="80"/>
        <v>1.9E-2</v>
      </c>
      <c r="AC423" s="13" t="str">
        <f t="shared" si="81"/>
        <v>OK</v>
      </c>
      <c r="AD423" s="7">
        <v>6</v>
      </c>
      <c r="AE423" s="7">
        <f>Y423*AD423*(1-AB423)</f>
        <v>9984.7160999999978</v>
      </c>
      <c r="AF423" s="7">
        <f>W423*AD423</f>
        <v>7231.5599999999995</v>
      </c>
      <c r="AG423" s="7">
        <f t="shared" si="82"/>
        <v>2753.1560999999983</v>
      </c>
      <c r="AH423" s="13">
        <f t="shared" si="83"/>
        <v>0.27573704374028213</v>
      </c>
    </row>
    <row r="424" spans="1:34" x14ac:dyDescent="0.35">
      <c r="A424" s="2" t="s">
        <v>436</v>
      </c>
      <c r="B424" s="5">
        <v>45841</v>
      </c>
      <c r="C424" s="5">
        <f>IF(H424&lt;B424,H424,B424)</f>
        <v>45841</v>
      </c>
      <c r="D424" s="5" t="str">
        <f t="shared" si="72"/>
        <v>Jul-2025</v>
      </c>
      <c r="E424" s="5" t="str">
        <f t="shared" si="73"/>
        <v>Jul</v>
      </c>
      <c r="F424" s="5" t="str">
        <f t="shared" si="74"/>
        <v>2025</v>
      </c>
      <c r="G424" s="5" t="str">
        <f t="shared" si="75"/>
        <v>Q3-2025</v>
      </c>
      <c r="H424" s="5">
        <v>45844</v>
      </c>
      <c r="I424" s="5">
        <f>IF(H424&lt;B424, B424+7, H424)</f>
        <v>45844</v>
      </c>
      <c r="J424" s="5" t="str">
        <f>IF(H424&lt;B424, "Invalid","Okay")</f>
        <v>Okay</v>
      </c>
      <c r="K424" s="16">
        <f>I424-C424</f>
        <v>3</v>
      </c>
      <c r="L424" s="16" t="str">
        <f t="shared" si="76"/>
        <v>Target Met</v>
      </c>
      <c r="M424" s="2" t="s">
        <v>646</v>
      </c>
      <c r="N424" s="2" t="s">
        <v>651</v>
      </c>
      <c r="O424" s="2" t="s">
        <v>665</v>
      </c>
      <c r="P424" s="29" t="str">
        <f t="shared" si="77"/>
        <v>Africa→Nigeria→Lagos</v>
      </c>
      <c r="Q424" s="2" t="s">
        <v>704</v>
      </c>
      <c r="R424" s="2" t="s">
        <v>708</v>
      </c>
      <c r="S424" s="2" t="s">
        <v>1423</v>
      </c>
      <c r="T424" s="2" t="s">
        <v>731</v>
      </c>
      <c r="U424" t="e">
        <f>(AE424/#REF!)*100</f>
        <v>#REF!</v>
      </c>
      <c r="V424" s="2" t="s">
        <v>1155</v>
      </c>
      <c r="W424" s="7">
        <v>1313.3</v>
      </c>
      <c r="X424" s="7">
        <v>2884.34</v>
      </c>
      <c r="Y424" s="7">
        <f t="shared" si="78"/>
        <v>2884.34</v>
      </c>
      <c r="Z424" s="7" t="str">
        <f t="shared" si="79"/>
        <v>High</v>
      </c>
      <c r="AA424" s="13">
        <v>0.157</v>
      </c>
      <c r="AB424" s="13">
        <f t="shared" si="80"/>
        <v>0.157</v>
      </c>
      <c r="AC424" s="13" t="str">
        <f t="shared" si="81"/>
        <v>OK</v>
      </c>
      <c r="AD424" s="7">
        <v>42</v>
      </c>
      <c r="AE424" s="7">
        <f>Y424*AD424*(1-AB424)</f>
        <v>102122.94203999999</v>
      </c>
      <c r="AF424" s="7">
        <f>W424*AD424</f>
        <v>55158.6</v>
      </c>
      <c r="AG424" s="7">
        <f t="shared" si="82"/>
        <v>46964.342039999996</v>
      </c>
      <c r="AH424" s="13">
        <f t="shared" si="83"/>
        <v>0.45988042551305253</v>
      </c>
    </row>
    <row r="425" spans="1:34" x14ac:dyDescent="0.35">
      <c r="A425" s="2" t="s">
        <v>437</v>
      </c>
      <c r="B425" s="5">
        <v>45915</v>
      </c>
      <c r="C425" s="5">
        <f>IF(H425&lt;B425,H425,B425)</f>
        <v>45915</v>
      </c>
      <c r="D425" s="5" t="str">
        <f t="shared" si="72"/>
        <v>Sep-2025</v>
      </c>
      <c r="E425" s="5" t="str">
        <f t="shared" si="73"/>
        <v>Sep</v>
      </c>
      <c r="F425" s="5" t="str">
        <f t="shared" si="74"/>
        <v>2025</v>
      </c>
      <c r="G425" s="5" t="str">
        <f t="shared" si="75"/>
        <v>Q3-2025</v>
      </c>
      <c r="H425" s="5">
        <v>45925</v>
      </c>
      <c r="I425" s="5">
        <f>IF(H425&lt;B425, B425+7, H425)</f>
        <v>45925</v>
      </c>
      <c r="J425" s="5" t="str">
        <f>IF(H425&lt;B425, "Invalid","Okay")</f>
        <v>Okay</v>
      </c>
      <c r="K425" s="16">
        <f>I425-C425</f>
        <v>10</v>
      </c>
      <c r="L425" s="16" t="str">
        <f t="shared" si="76"/>
        <v>Target Not Met</v>
      </c>
      <c r="M425" s="2" t="s">
        <v>647</v>
      </c>
      <c r="N425" s="2" t="s">
        <v>654</v>
      </c>
      <c r="O425" s="2" t="s">
        <v>680</v>
      </c>
      <c r="P425" s="29" t="str">
        <f t="shared" si="77"/>
        <v>Asia→India→Delhi</v>
      </c>
      <c r="Q425" s="2" t="s">
        <v>704</v>
      </c>
      <c r="R425" s="2" t="s">
        <v>707</v>
      </c>
      <c r="S425" s="2" t="s">
        <v>720</v>
      </c>
      <c r="T425" s="2" t="s">
        <v>730</v>
      </c>
      <c r="U425" t="e">
        <f>(AE425/#REF!)*100</f>
        <v>#REF!</v>
      </c>
      <c r="V425" s="2" t="s">
        <v>1156</v>
      </c>
      <c r="W425" s="7">
        <v>1488.91</v>
      </c>
      <c r="X425" s="7">
        <v>1483.74</v>
      </c>
      <c r="Y425" s="7">
        <f t="shared" si="78"/>
        <v>1483.74</v>
      </c>
      <c r="Z425" s="7" t="str">
        <f t="shared" si="79"/>
        <v>Medium</v>
      </c>
      <c r="AA425" s="13">
        <v>0.16800000000000001</v>
      </c>
      <c r="AB425" s="13">
        <f t="shared" si="80"/>
        <v>0.16800000000000001</v>
      </c>
      <c r="AC425" s="13" t="str">
        <f t="shared" si="81"/>
        <v>OK</v>
      </c>
      <c r="AD425" s="7">
        <v>24</v>
      </c>
      <c r="AE425" s="7">
        <f>Y425*AD425*(1-AB425)</f>
        <v>29627.320319999999</v>
      </c>
      <c r="AF425" s="7">
        <f>W425*AD425</f>
        <v>35733.840000000004</v>
      </c>
      <c r="AG425" s="7">
        <f t="shared" si="82"/>
        <v>-6106.5196800000049</v>
      </c>
      <c r="AH425" s="13">
        <f t="shared" si="83"/>
        <v>-0.20611110333450519</v>
      </c>
    </row>
    <row r="426" spans="1:34" x14ac:dyDescent="0.35">
      <c r="A426" s="2" t="s">
        <v>438</v>
      </c>
      <c r="B426" s="5">
        <v>45341</v>
      </c>
      <c r="C426" s="5">
        <f>IF(H426&lt;B426,H426,B426)</f>
        <v>45341</v>
      </c>
      <c r="D426" s="5" t="str">
        <f t="shared" si="72"/>
        <v>Feb-2024</v>
      </c>
      <c r="E426" s="5" t="str">
        <f t="shared" si="73"/>
        <v>Feb</v>
      </c>
      <c r="F426" s="5" t="str">
        <f t="shared" si="74"/>
        <v>2024</v>
      </c>
      <c r="G426" s="5" t="str">
        <f t="shared" si="75"/>
        <v>Q1-2024</v>
      </c>
      <c r="H426" s="5">
        <v>45357</v>
      </c>
      <c r="I426" s="5">
        <f>IF(H426&lt;B426, B426+7, H426)</f>
        <v>45357</v>
      </c>
      <c r="J426" s="5" t="str">
        <f>IF(H426&lt;B426, "Invalid","Okay")</f>
        <v>Okay</v>
      </c>
      <c r="K426" s="16">
        <f>I426-C426</f>
        <v>16</v>
      </c>
      <c r="L426" s="16" t="str">
        <f t="shared" si="76"/>
        <v>Target Not Met</v>
      </c>
      <c r="M426" s="2" t="s">
        <v>647</v>
      </c>
      <c r="N426" s="2" t="s">
        <v>659</v>
      </c>
      <c r="O426" s="2" t="s">
        <v>699</v>
      </c>
      <c r="P426" s="29" t="str">
        <f t="shared" si="77"/>
        <v>Asia→China→Beijing</v>
      </c>
      <c r="Q426" s="2" t="s">
        <v>702</v>
      </c>
      <c r="R426" s="2" t="s">
        <v>709</v>
      </c>
      <c r="S426" s="2" t="s">
        <v>719</v>
      </c>
      <c r="T426" s="2" t="s">
        <v>728</v>
      </c>
      <c r="U426" t="e">
        <f>(AE426/#REF!)*100</f>
        <v>#REF!</v>
      </c>
      <c r="V426" s="2" t="s">
        <v>1157</v>
      </c>
      <c r="W426" s="7">
        <v>1477.84</v>
      </c>
      <c r="X426" s="7">
        <v>3197.47</v>
      </c>
      <c r="Y426" s="7">
        <f t="shared" si="78"/>
        <v>3197.47</v>
      </c>
      <c r="Z426" s="7" t="str">
        <f t="shared" si="79"/>
        <v>High</v>
      </c>
      <c r="AA426" s="13">
        <v>0.24299999999999999</v>
      </c>
      <c r="AB426" s="13">
        <f t="shared" si="80"/>
        <v>0.24299999999999999</v>
      </c>
      <c r="AC426" s="13" t="str">
        <f t="shared" si="81"/>
        <v>OK</v>
      </c>
      <c r="AD426" s="7">
        <v>24</v>
      </c>
      <c r="AE426" s="7">
        <f>Y426*AD426*(1-AB426)</f>
        <v>58091.634960000003</v>
      </c>
      <c r="AF426" s="7">
        <f>W426*AD426</f>
        <v>35468.159999999996</v>
      </c>
      <c r="AG426" s="7">
        <f t="shared" si="82"/>
        <v>22623.474960000007</v>
      </c>
      <c r="AH426" s="13">
        <f t="shared" si="83"/>
        <v>0.38944462443823091</v>
      </c>
    </row>
    <row r="427" spans="1:34" x14ac:dyDescent="0.35">
      <c r="A427" s="2" t="s">
        <v>439</v>
      </c>
      <c r="B427" s="5">
        <v>45349</v>
      </c>
      <c r="C427" s="5">
        <f>IF(H427&lt;B427,H427,B427)</f>
        <v>45349</v>
      </c>
      <c r="D427" s="5" t="str">
        <f t="shared" si="72"/>
        <v>Feb-2024</v>
      </c>
      <c r="E427" s="5" t="str">
        <f t="shared" si="73"/>
        <v>Feb</v>
      </c>
      <c r="F427" s="5" t="str">
        <f t="shared" si="74"/>
        <v>2024</v>
      </c>
      <c r="G427" s="5" t="str">
        <f t="shared" si="75"/>
        <v>Q1-2024</v>
      </c>
      <c r="H427" s="5">
        <v>45377</v>
      </c>
      <c r="I427" s="5">
        <f>IF(H427&lt;B427, B427+7, H427)</f>
        <v>45377</v>
      </c>
      <c r="J427" s="5" t="str">
        <f>IF(H427&lt;B427, "Invalid","Okay")</f>
        <v>Okay</v>
      </c>
      <c r="K427" s="16">
        <f>I427-C427</f>
        <v>28</v>
      </c>
      <c r="L427" s="16" t="str">
        <f t="shared" si="76"/>
        <v>Target Not Met</v>
      </c>
      <c r="M427" s="2" t="s">
        <v>647</v>
      </c>
      <c r="N427" s="2" t="s">
        <v>654</v>
      </c>
      <c r="O427" s="2" t="s">
        <v>691</v>
      </c>
      <c r="P427" s="29" t="str">
        <f t="shared" si="77"/>
        <v>Asia→India→Mumbai</v>
      </c>
      <c r="Q427" s="2" t="s">
        <v>702</v>
      </c>
      <c r="R427" s="2" t="s">
        <v>709</v>
      </c>
      <c r="S427" s="2" t="s">
        <v>715</v>
      </c>
      <c r="T427" s="2" t="s">
        <v>731</v>
      </c>
      <c r="U427" t="e">
        <f>(AE427/#REF!)*100</f>
        <v>#REF!</v>
      </c>
      <c r="V427" s="2" t="s">
        <v>1158</v>
      </c>
      <c r="W427" s="7">
        <v>1035.19</v>
      </c>
      <c r="X427" s="7">
        <v>2322.6999999999998</v>
      </c>
      <c r="Y427" s="7">
        <f t="shared" si="78"/>
        <v>2322.6999999999998</v>
      </c>
      <c r="Z427" s="7" t="str">
        <f t="shared" si="79"/>
        <v>High</v>
      </c>
      <c r="AA427" s="13">
        <v>0.17299999999999999</v>
      </c>
      <c r="AB427" s="13">
        <f t="shared" si="80"/>
        <v>0.17299999999999999</v>
      </c>
      <c r="AC427" s="13" t="str">
        <f t="shared" si="81"/>
        <v>OK</v>
      </c>
      <c r="AD427" s="7">
        <v>8</v>
      </c>
      <c r="AE427" s="7">
        <f>Y427*AD427*(1-AB427)</f>
        <v>15366.983199999999</v>
      </c>
      <c r="AF427" s="7">
        <f>W427*AD427</f>
        <v>8281.52</v>
      </c>
      <c r="AG427" s="7">
        <f t="shared" si="82"/>
        <v>7085.4631999999983</v>
      </c>
      <c r="AH427" s="13">
        <f t="shared" si="83"/>
        <v>0.46108355217047409</v>
      </c>
    </row>
    <row r="428" spans="1:34" x14ac:dyDescent="0.35">
      <c r="A428" s="2" t="s">
        <v>440</v>
      </c>
      <c r="B428" s="5">
        <v>45897</v>
      </c>
      <c r="C428" s="5">
        <f>IF(H428&lt;B428,H428,B428)</f>
        <v>45897</v>
      </c>
      <c r="D428" s="5" t="str">
        <f t="shared" si="72"/>
        <v>Aug-2025</v>
      </c>
      <c r="E428" s="5" t="str">
        <f t="shared" si="73"/>
        <v>Aug</v>
      </c>
      <c r="F428" s="5" t="str">
        <f t="shared" si="74"/>
        <v>2025</v>
      </c>
      <c r="G428" s="5" t="str">
        <f t="shared" si="75"/>
        <v>Q3-2025</v>
      </c>
      <c r="H428" s="5">
        <v>45905</v>
      </c>
      <c r="I428" s="5">
        <f>IF(H428&lt;B428, B428+7, H428)</f>
        <v>45905</v>
      </c>
      <c r="J428" s="5" t="str">
        <f>IF(H428&lt;B428, "Invalid","Okay")</f>
        <v>Okay</v>
      </c>
      <c r="K428" s="16">
        <f>I428-C428</f>
        <v>8</v>
      </c>
      <c r="L428" s="16" t="str">
        <f t="shared" si="76"/>
        <v>Target Not Met</v>
      </c>
      <c r="M428" s="2" t="s">
        <v>646</v>
      </c>
      <c r="N428" s="2" t="s">
        <v>651</v>
      </c>
      <c r="O428" s="2" t="s">
        <v>663</v>
      </c>
      <c r="P428" s="29" t="str">
        <f t="shared" si="77"/>
        <v>Africa→Nigeria→Port Harcourt</v>
      </c>
      <c r="Q428" s="2" t="s">
        <v>705</v>
      </c>
      <c r="R428" s="2" t="s">
        <v>709</v>
      </c>
      <c r="S428" s="2" t="s">
        <v>718</v>
      </c>
      <c r="T428" s="2" t="s">
        <v>731</v>
      </c>
      <c r="U428" t="e">
        <f>(AE428/#REF!)*100</f>
        <v>#REF!</v>
      </c>
      <c r="V428" s="2" t="s">
        <v>1159</v>
      </c>
      <c r="W428" s="7">
        <v>1271.0999999999999</v>
      </c>
      <c r="X428" s="7">
        <v>1932.42</v>
      </c>
      <c r="Y428" s="7">
        <f t="shared" si="78"/>
        <v>1932.42</v>
      </c>
      <c r="Z428" s="7" t="str">
        <f t="shared" si="79"/>
        <v>High</v>
      </c>
      <c r="AA428" s="13">
        <v>0.25</v>
      </c>
      <c r="AB428" s="13">
        <f t="shared" si="80"/>
        <v>0.25</v>
      </c>
      <c r="AC428" s="13" t="str">
        <f t="shared" si="81"/>
        <v>OK</v>
      </c>
      <c r="AD428" s="7">
        <v>21</v>
      </c>
      <c r="AE428" s="7">
        <f>Y428*AD428*(1-AB428)</f>
        <v>30435.614999999998</v>
      </c>
      <c r="AF428" s="7">
        <f>W428*AD428</f>
        <v>26693.1</v>
      </c>
      <c r="AG428" s="7">
        <f t="shared" si="82"/>
        <v>3742.5149999999994</v>
      </c>
      <c r="AH428" s="13">
        <f t="shared" si="83"/>
        <v>0.12296498690760807</v>
      </c>
    </row>
    <row r="429" spans="1:34" x14ac:dyDescent="0.35">
      <c r="A429" s="2" t="s">
        <v>441</v>
      </c>
      <c r="B429" s="5">
        <v>45522</v>
      </c>
      <c r="C429" s="5">
        <f>IF(H429&lt;B429,H429,B429)</f>
        <v>45522</v>
      </c>
      <c r="D429" s="5" t="str">
        <f t="shared" si="72"/>
        <v>Aug-2024</v>
      </c>
      <c r="E429" s="5" t="str">
        <f t="shared" si="73"/>
        <v>Aug</v>
      </c>
      <c r="F429" s="5" t="str">
        <f t="shared" si="74"/>
        <v>2024</v>
      </c>
      <c r="G429" s="5" t="str">
        <f t="shared" si="75"/>
        <v>Q3-2024</v>
      </c>
      <c r="H429" s="5">
        <v>45547</v>
      </c>
      <c r="I429" s="5">
        <f>IF(H429&lt;B429, B429+7, H429)</f>
        <v>45547</v>
      </c>
      <c r="J429" s="5" t="str">
        <f>IF(H429&lt;B429, "Invalid","Okay")</f>
        <v>Okay</v>
      </c>
      <c r="K429" s="16">
        <f>I429-C429</f>
        <v>25</v>
      </c>
      <c r="L429" s="16" t="str">
        <f t="shared" si="76"/>
        <v>Target Not Met</v>
      </c>
      <c r="M429" s="2" t="s">
        <v>647</v>
      </c>
      <c r="N429" s="2" t="s">
        <v>654</v>
      </c>
      <c r="O429" s="2" t="s">
        <v>691</v>
      </c>
      <c r="P429" s="29" t="str">
        <f t="shared" si="77"/>
        <v>Asia→India→Mumbai</v>
      </c>
      <c r="Q429" s="2" t="s">
        <v>704</v>
      </c>
      <c r="R429" s="2" t="s">
        <v>709</v>
      </c>
      <c r="S429" s="2" t="s">
        <v>712</v>
      </c>
      <c r="T429" s="2" t="s">
        <v>730</v>
      </c>
      <c r="U429" t="e">
        <f>(AE429/#REF!)*100</f>
        <v>#REF!</v>
      </c>
      <c r="V429" s="2" t="s">
        <v>1160</v>
      </c>
      <c r="W429" s="7">
        <v>1154.03</v>
      </c>
      <c r="X429" s="7">
        <v>1590.36</v>
      </c>
      <c r="Y429" s="7">
        <f t="shared" si="78"/>
        <v>1590.36</v>
      </c>
      <c r="Z429" s="7" t="str">
        <f t="shared" si="79"/>
        <v>Medium</v>
      </c>
      <c r="AA429" s="13">
        <v>0.314</v>
      </c>
      <c r="AB429" s="13" t="str">
        <f t="shared" si="80"/>
        <v>12.14%</v>
      </c>
      <c r="AC429" s="13" t="str">
        <f t="shared" si="81"/>
        <v>High</v>
      </c>
      <c r="AD429" s="7">
        <v>18</v>
      </c>
      <c r="AE429" s="7">
        <f>Y429*AD429*(1-AB429)</f>
        <v>25151.225328</v>
      </c>
      <c r="AF429" s="7">
        <f>W429*AD429</f>
        <v>20772.54</v>
      </c>
      <c r="AG429" s="7">
        <f t="shared" si="82"/>
        <v>4378.6853279999996</v>
      </c>
      <c r="AH429" s="13">
        <f t="shared" si="83"/>
        <v>0.17409431432850941</v>
      </c>
    </row>
    <row r="430" spans="1:34" x14ac:dyDescent="0.35">
      <c r="A430" s="2" t="s">
        <v>442</v>
      </c>
      <c r="B430" s="5">
        <v>45347</v>
      </c>
      <c r="C430" s="5">
        <f>IF(H430&lt;B430,H430,B430)</f>
        <v>45347</v>
      </c>
      <c r="D430" s="5" t="str">
        <f t="shared" si="72"/>
        <v>Feb-2024</v>
      </c>
      <c r="E430" s="5" t="str">
        <f t="shared" si="73"/>
        <v>Feb</v>
      </c>
      <c r="F430" s="5" t="str">
        <f t="shared" si="74"/>
        <v>2024</v>
      </c>
      <c r="G430" s="5" t="str">
        <f t="shared" si="75"/>
        <v>Q1-2024</v>
      </c>
      <c r="H430" s="5">
        <v>45360</v>
      </c>
      <c r="I430" s="5">
        <f>IF(H430&lt;B430, B430+7, H430)</f>
        <v>45360</v>
      </c>
      <c r="J430" s="5" t="str">
        <f>IF(H430&lt;B430, "Invalid","Okay")</f>
        <v>Okay</v>
      </c>
      <c r="K430" s="16">
        <f>I430-C430</f>
        <v>13</v>
      </c>
      <c r="L430" s="16" t="str">
        <f t="shared" si="76"/>
        <v>Target Not Met</v>
      </c>
      <c r="M430" s="2" t="s">
        <v>649</v>
      </c>
      <c r="N430" s="2" t="s">
        <v>657</v>
      </c>
      <c r="O430" s="2" t="s">
        <v>673</v>
      </c>
      <c r="P430" s="29" t="str">
        <f t="shared" si="77"/>
        <v>Europe→France→Marseille</v>
      </c>
      <c r="Q430" s="2" t="s">
        <v>705</v>
      </c>
      <c r="R430" s="2" t="s">
        <v>710</v>
      </c>
      <c r="S430" s="2" t="s">
        <v>718</v>
      </c>
      <c r="T430" s="2" t="s">
        <v>732</v>
      </c>
      <c r="U430" t="e">
        <f>(AE430/#REF!)*100</f>
        <v>#REF!</v>
      </c>
      <c r="V430" s="2" t="s">
        <v>1161</v>
      </c>
      <c r="W430" s="7">
        <v>322.44</v>
      </c>
      <c r="X430" s="7">
        <v>395.61</v>
      </c>
      <c r="Y430" s="7">
        <f t="shared" si="78"/>
        <v>395.61</v>
      </c>
      <c r="Z430" s="7" t="str">
        <f t="shared" si="79"/>
        <v>Low</v>
      </c>
      <c r="AA430" s="13">
        <v>0</v>
      </c>
      <c r="AB430" s="13">
        <f t="shared" si="80"/>
        <v>0</v>
      </c>
      <c r="AC430" s="13" t="str">
        <f t="shared" si="81"/>
        <v>OK</v>
      </c>
      <c r="AD430" s="7">
        <v>34</v>
      </c>
      <c r="AE430" s="7">
        <f>Y430*AD430*(1-AB430)</f>
        <v>13450.74</v>
      </c>
      <c r="AF430" s="7">
        <f>W430*AD430</f>
        <v>10962.96</v>
      </c>
      <c r="AG430" s="7">
        <f t="shared" si="82"/>
        <v>2487.7800000000007</v>
      </c>
      <c r="AH430" s="13">
        <f t="shared" si="83"/>
        <v>0.18495487980586947</v>
      </c>
    </row>
    <row r="431" spans="1:34" x14ac:dyDescent="0.35">
      <c r="A431" s="2" t="s">
        <v>443</v>
      </c>
      <c r="B431" s="5">
        <v>45784</v>
      </c>
      <c r="C431" s="5">
        <f>IF(H431&lt;B431,H431,B431)</f>
        <v>45784</v>
      </c>
      <c r="D431" s="5" t="str">
        <f t="shared" si="72"/>
        <v>May-2025</v>
      </c>
      <c r="E431" s="5" t="str">
        <f t="shared" si="73"/>
        <v>May</v>
      </c>
      <c r="F431" s="5" t="str">
        <f t="shared" si="74"/>
        <v>2025</v>
      </c>
      <c r="G431" s="5" t="str">
        <f t="shared" si="75"/>
        <v>Q2-2025</v>
      </c>
      <c r="H431" s="5">
        <v>45790</v>
      </c>
      <c r="I431" s="5">
        <f>IF(H431&lt;B431, B431+7, H431)</f>
        <v>45790</v>
      </c>
      <c r="J431" s="5" t="str">
        <f>IF(H431&lt;B431, "Invalid","Okay")</f>
        <v>Okay</v>
      </c>
      <c r="K431" s="16">
        <f>I431-C431</f>
        <v>6</v>
      </c>
      <c r="L431" s="16" t="str">
        <f t="shared" si="76"/>
        <v>Target Met</v>
      </c>
      <c r="M431" s="2" t="s">
        <v>647</v>
      </c>
      <c r="N431" s="2" t="s">
        <v>654</v>
      </c>
      <c r="O431" s="2" t="s">
        <v>668</v>
      </c>
      <c r="P431" s="29" t="str">
        <f t="shared" si="77"/>
        <v>Asia→India→Bengaluru</v>
      </c>
      <c r="Q431" s="2" t="s">
        <v>706</v>
      </c>
      <c r="R431" s="2" t="s">
        <v>711</v>
      </c>
      <c r="S431" s="2" t="s">
        <v>713</v>
      </c>
      <c r="T431" s="2" t="s">
        <v>730</v>
      </c>
      <c r="U431" t="e">
        <f>(AE431/#REF!)*100</f>
        <v>#REF!</v>
      </c>
      <c r="V431" s="2" t="s">
        <v>1162</v>
      </c>
      <c r="W431" s="7">
        <v>935.98</v>
      </c>
      <c r="X431" s="7">
        <v>2077.69</v>
      </c>
      <c r="Y431" s="7">
        <f t="shared" si="78"/>
        <v>2077.69</v>
      </c>
      <c r="Z431" s="7" t="str">
        <f t="shared" si="79"/>
        <v>High</v>
      </c>
      <c r="AA431" s="13">
        <v>0.17499999999999999</v>
      </c>
      <c r="AB431" s="13">
        <f t="shared" si="80"/>
        <v>0.17499999999999999</v>
      </c>
      <c r="AC431" s="13" t="str">
        <f t="shared" si="81"/>
        <v>OK</v>
      </c>
      <c r="AD431" s="7">
        <v>24</v>
      </c>
      <c r="AE431" s="7">
        <f>Y431*AD431*(1-AB431)</f>
        <v>41138.261999999995</v>
      </c>
      <c r="AF431" s="7">
        <f>W431*AD431</f>
        <v>22463.52</v>
      </c>
      <c r="AG431" s="7">
        <f t="shared" si="82"/>
        <v>18674.741999999995</v>
      </c>
      <c r="AH431" s="13">
        <f t="shared" si="83"/>
        <v>0.45395067978321491</v>
      </c>
    </row>
    <row r="432" spans="1:34" x14ac:dyDescent="0.35">
      <c r="A432" s="2" t="s">
        <v>444</v>
      </c>
      <c r="B432" s="5">
        <v>45597</v>
      </c>
      <c r="C432" s="5">
        <f>IF(H432&lt;B432,H432,B432)</f>
        <v>45597</v>
      </c>
      <c r="D432" s="5" t="str">
        <f t="shared" si="72"/>
        <v>Nov-2024</v>
      </c>
      <c r="E432" s="5" t="str">
        <f t="shared" si="73"/>
        <v>Nov</v>
      </c>
      <c r="F432" s="5" t="str">
        <f t="shared" si="74"/>
        <v>2024</v>
      </c>
      <c r="G432" s="5" t="str">
        <f t="shared" si="75"/>
        <v>Q4-2024</v>
      </c>
      <c r="H432" s="5">
        <v>45608</v>
      </c>
      <c r="I432" s="5">
        <f>IF(H432&lt;B432, B432+7, H432)</f>
        <v>45608</v>
      </c>
      <c r="J432" s="5" t="str">
        <f>IF(H432&lt;B432, "Invalid","Okay")</f>
        <v>Okay</v>
      </c>
      <c r="K432" s="16">
        <f>I432-C432</f>
        <v>11</v>
      </c>
      <c r="L432" s="16" t="str">
        <f t="shared" si="76"/>
        <v>Target Not Met</v>
      </c>
      <c r="M432" s="2" t="s">
        <v>649</v>
      </c>
      <c r="N432" s="2" t="s">
        <v>656</v>
      </c>
      <c r="O432" s="2" t="s">
        <v>698</v>
      </c>
      <c r="P432" s="29" t="str">
        <f t="shared" si="77"/>
        <v>Europe→Germany→Frankfurt</v>
      </c>
      <c r="Q432" s="2" t="s">
        <v>704</v>
      </c>
      <c r="R432" s="2" t="s">
        <v>708</v>
      </c>
      <c r="S432" s="2" t="s">
        <v>717</v>
      </c>
      <c r="T432" s="2" t="s">
        <v>728</v>
      </c>
      <c r="U432" t="e">
        <f>(AE432/#REF!)*100</f>
        <v>#REF!</v>
      </c>
      <c r="V432" s="2" t="s">
        <v>1163</v>
      </c>
      <c r="W432" s="7">
        <v>599.84</v>
      </c>
      <c r="X432" s="7">
        <v>1330.85</v>
      </c>
      <c r="Y432" s="7">
        <f t="shared" si="78"/>
        <v>1330.85</v>
      </c>
      <c r="Z432" s="7" t="str">
        <f t="shared" si="79"/>
        <v>Medium</v>
      </c>
      <c r="AA432" s="13">
        <v>0.115</v>
      </c>
      <c r="AB432" s="13">
        <f t="shared" si="80"/>
        <v>0.115</v>
      </c>
      <c r="AC432" s="13" t="str">
        <f t="shared" si="81"/>
        <v>OK</v>
      </c>
      <c r="AD432" s="7">
        <v>11</v>
      </c>
      <c r="AE432" s="7">
        <f>Y432*AD432*(1-AB432)</f>
        <v>12955.824749999998</v>
      </c>
      <c r="AF432" s="7">
        <f>W432*AD432</f>
        <v>6598.2400000000007</v>
      </c>
      <c r="AG432" s="7">
        <f t="shared" si="82"/>
        <v>6357.5847499999973</v>
      </c>
      <c r="AH432" s="13">
        <f t="shared" si="83"/>
        <v>0.49071246892252063</v>
      </c>
    </row>
    <row r="433" spans="1:34" x14ac:dyDescent="0.35">
      <c r="A433" s="2" t="s">
        <v>445</v>
      </c>
      <c r="B433" s="5">
        <v>45654</v>
      </c>
      <c r="C433" s="5">
        <f>IF(H433&lt;B433,H433,B433)</f>
        <v>45654</v>
      </c>
      <c r="D433" s="5" t="str">
        <f t="shared" si="72"/>
        <v>Dec-2024</v>
      </c>
      <c r="E433" s="5" t="str">
        <f t="shared" si="73"/>
        <v>Dec</v>
      </c>
      <c r="F433" s="5" t="str">
        <f t="shared" si="74"/>
        <v>2024</v>
      </c>
      <c r="G433" s="5" t="str">
        <f t="shared" si="75"/>
        <v>Q4-2024</v>
      </c>
      <c r="H433" s="5">
        <v>45665</v>
      </c>
      <c r="I433" s="5">
        <f>IF(H433&lt;B433, B433+7, H433)</f>
        <v>45665</v>
      </c>
      <c r="J433" s="5" t="str">
        <f>IF(H433&lt;B433, "Invalid","Okay")</f>
        <v>Okay</v>
      </c>
      <c r="K433" s="16">
        <f>I433-C433</f>
        <v>11</v>
      </c>
      <c r="L433" s="16" t="str">
        <f t="shared" si="76"/>
        <v>Target Not Met</v>
      </c>
      <c r="M433" s="2" t="s">
        <v>647</v>
      </c>
      <c r="N433" s="2" t="s">
        <v>659</v>
      </c>
      <c r="O433" s="2" t="s">
        <v>676</v>
      </c>
      <c r="P433" s="29" t="str">
        <f t="shared" si="77"/>
        <v>Asia→China→Shenzhen</v>
      </c>
      <c r="Q433" s="2" t="s">
        <v>706</v>
      </c>
      <c r="R433" s="2" t="s">
        <v>708</v>
      </c>
      <c r="S433" s="2" t="s">
        <v>723</v>
      </c>
      <c r="T433" s="2" t="s">
        <v>731</v>
      </c>
      <c r="U433" t="e">
        <f>(AE433/#REF!)*100</f>
        <v>#REF!</v>
      </c>
      <c r="V433" s="2" t="s">
        <v>1164</v>
      </c>
      <c r="W433" s="7">
        <v>1201.31</v>
      </c>
      <c r="X433" s="7">
        <v>2764.65</v>
      </c>
      <c r="Y433" s="7">
        <f t="shared" si="78"/>
        <v>2764.65</v>
      </c>
      <c r="Z433" s="7" t="str">
        <f t="shared" si="79"/>
        <v>High</v>
      </c>
      <c r="AA433" s="13">
        <v>0</v>
      </c>
      <c r="AB433" s="13">
        <f t="shared" si="80"/>
        <v>0</v>
      </c>
      <c r="AC433" s="13" t="str">
        <f t="shared" si="81"/>
        <v>OK</v>
      </c>
      <c r="AD433" s="7">
        <v>21</v>
      </c>
      <c r="AE433" s="7">
        <f>Y433*AD433*(1-AB433)</f>
        <v>58057.65</v>
      </c>
      <c r="AF433" s="7">
        <f>W433*AD433</f>
        <v>25227.51</v>
      </c>
      <c r="AG433" s="7">
        <f t="shared" si="82"/>
        <v>32830.14</v>
      </c>
      <c r="AH433" s="13">
        <f t="shared" si="83"/>
        <v>0.56547483406579491</v>
      </c>
    </row>
    <row r="434" spans="1:34" x14ac:dyDescent="0.35">
      <c r="A434" s="2" t="s">
        <v>446</v>
      </c>
      <c r="B434" s="5">
        <v>45220</v>
      </c>
      <c r="C434" s="5">
        <f>IF(H434&lt;B434,H434,B434)</f>
        <v>45220</v>
      </c>
      <c r="D434" s="5" t="str">
        <f t="shared" si="72"/>
        <v>Oct-2023</v>
      </c>
      <c r="E434" s="5" t="str">
        <f t="shared" si="73"/>
        <v>Oct</v>
      </c>
      <c r="F434" s="5" t="str">
        <f t="shared" si="74"/>
        <v>2023</v>
      </c>
      <c r="G434" s="5" t="str">
        <f t="shared" si="75"/>
        <v>Q4-2023</v>
      </c>
      <c r="H434" s="5">
        <v>45220</v>
      </c>
      <c r="I434" s="5">
        <f>IF(H434&lt;B434, B434+7, H434)</f>
        <v>45220</v>
      </c>
      <c r="J434" s="5" t="str">
        <f>IF(H434&lt;B434, "Invalid","Okay")</f>
        <v>Okay</v>
      </c>
      <c r="K434" s="16">
        <f>I434-C434</f>
        <v>0</v>
      </c>
      <c r="L434" s="16" t="str">
        <f t="shared" si="76"/>
        <v>Target Met</v>
      </c>
      <c r="M434" s="2" t="s">
        <v>649</v>
      </c>
      <c r="N434" s="2" t="s">
        <v>658</v>
      </c>
      <c r="O434" s="2" t="s">
        <v>693</v>
      </c>
      <c r="P434" s="29" t="str">
        <f t="shared" si="77"/>
        <v>Europe→United Kingdom→Manchester</v>
      </c>
      <c r="Q434" s="2" t="s">
        <v>706</v>
      </c>
      <c r="R434" s="2" t="s">
        <v>710</v>
      </c>
      <c r="S434" s="2" t="s">
        <v>713</v>
      </c>
      <c r="T434" s="2" t="s">
        <v>732</v>
      </c>
      <c r="U434" t="e">
        <f>(AE434/#REF!)*100</f>
        <v>#REF!</v>
      </c>
      <c r="V434" s="2" t="s">
        <v>1165</v>
      </c>
      <c r="W434" s="7">
        <v>384.19</v>
      </c>
      <c r="X434" s="7">
        <v>278.35000000000002</v>
      </c>
      <c r="Y434" s="7">
        <f t="shared" si="78"/>
        <v>278.35000000000002</v>
      </c>
      <c r="Z434" s="7" t="str">
        <f t="shared" si="79"/>
        <v>Low</v>
      </c>
      <c r="AA434" s="13">
        <v>5.6000000000000001E-2</v>
      </c>
      <c r="AB434" s="13">
        <f t="shared" si="80"/>
        <v>5.6000000000000001E-2</v>
      </c>
      <c r="AC434" s="13" t="str">
        <f t="shared" si="81"/>
        <v>OK</v>
      </c>
      <c r="AD434" s="7">
        <v>10</v>
      </c>
      <c r="AE434" s="7">
        <f>Y434*AD434*(1-AB434)</f>
        <v>2627.6239999999998</v>
      </c>
      <c r="AF434" s="7">
        <f>W434*AD434</f>
        <v>3841.9</v>
      </c>
      <c r="AG434" s="7">
        <f t="shared" si="82"/>
        <v>-1214.2760000000003</v>
      </c>
      <c r="AH434" s="13">
        <f t="shared" si="83"/>
        <v>-0.46211938998882657</v>
      </c>
    </row>
    <row r="435" spans="1:34" x14ac:dyDescent="0.35">
      <c r="A435" s="2" t="s">
        <v>447</v>
      </c>
      <c r="B435" s="5">
        <v>45636</v>
      </c>
      <c r="C435" s="5">
        <f>IF(H435&lt;B435,H435,B435)</f>
        <v>45636</v>
      </c>
      <c r="D435" s="5" t="str">
        <f t="shared" si="72"/>
        <v>Dec-2024</v>
      </c>
      <c r="E435" s="5" t="str">
        <f t="shared" si="73"/>
        <v>Dec</v>
      </c>
      <c r="F435" s="5" t="str">
        <f t="shared" si="74"/>
        <v>2024</v>
      </c>
      <c r="G435" s="5" t="str">
        <f t="shared" si="75"/>
        <v>Q4-2024</v>
      </c>
      <c r="H435" s="5">
        <v>45645</v>
      </c>
      <c r="I435" s="5">
        <f>IF(H435&lt;B435, B435+7, H435)</f>
        <v>45645</v>
      </c>
      <c r="J435" s="5" t="str">
        <f>IF(H435&lt;B435, "Invalid","Okay")</f>
        <v>Okay</v>
      </c>
      <c r="K435" s="16">
        <f>I435-C435</f>
        <v>9</v>
      </c>
      <c r="L435" s="16" t="str">
        <f t="shared" si="76"/>
        <v>Target Not Met</v>
      </c>
      <c r="M435" s="2" t="s">
        <v>646</v>
      </c>
      <c r="N435" s="2" t="s">
        <v>651</v>
      </c>
      <c r="O435" s="2" t="s">
        <v>665</v>
      </c>
      <c r="P435" s="29" t="str">
        <f t="shared" si="77"/>
        <v>Africa→Nigeria→Lagos</v>
      </c>
      <c r="Q435" s="2" t="s">
        <v>701</v>
      </c>
      <c r="R435" s="2" t="s">
        <v>707</v>
      </c>
      <c r="S435" s="2" t="s">
        <v>719</v>
      </c>
      <c r="T435" s="2" t="s">
        <v>732</v>
      </c>
      <c r="U435" t="e">
        <f>(AE435/#REF!)*100</f>
        <v>#REF!</v>
      </c>
      <c r="V435" s="2" t="s">
        <v>1166</v>
      </c>
      <c r="W435" s="7">
        <v>488.68</v>
      </c>
      <c r="X435" s="7">
        <v>984.36</v>
      </c>
      <c r="Y435" s="7">
        <f t="shared" si="78"/>
        <v>984.36</v>
      </c>
      <c r="Z435" s="7" t="str">
        <f t="shared" si="79"/>
        <v>Low</v>
      </c>
      <c r="AA435" s="13">
        <v>5.8999999999999997E-2</v>
      </c>
      <c r="AB435" s="13">
        <f t="shared" si="80"/>
        <v>5.8999999999999997E-2</v>
      </c>
      <c r="AC435" s="13" t="str">
        <f t="shared" si="81"/>
        <v>OK</v>
      </c>
      <c r="AD435" s="7">
        <v>14</v>
      </c>
      <c r="AE435" s="7">
        <f>Y435*AD435*(1-AB435)</f>
        <v>12967.958640000001</v>
      </c>
      <c r="AF435" s="7">
        <f>W435*AD435</f>
        <v>6841.52</v>
      </c>
      <c r="AG435" s="7">
        <f t="shared" si="82"/>
        <v>6126.4386400000003</v>
      </c>
      <c r="AH435" s="13">
        <f t="shared" si="83"/>
        <v>0.47242891576649876</v>
      </c>
    </row>
    <row r="436" spans="1:34" x14ac:dyDescent="0.35">
      <c r="A436" s="2" t="s">
        <v>448</v>
      </c>
      <c r="B436" s="5">
        <v>45542</v>
      </c>
      <c r="C436" s="5">
        <f>IF(H436&lt;B436,H436,B436)</f>
        <v>45542</v>
      </c>
      <c r="D436" s="5" t="str">
        <f t="shared" si="72"/>
        <v>Sep-2024</v>
      </c>
      <c r="E436" s="5" t="str">
        <f t="shared" si="73"/>
        <v>Sep</v>
      </c>
      <c r="F436" s="5" t="str">
        <f t="shared" si="74"/>
        <v>2024</v>
      </c>
      <c r="G436" s="5" t="str">
        <f t="shared" si="75"/>
        <v>Q3-2024</v>
      </c>
      <c r="H436" s="5">
        <v>45553</v>
      </c>
      <c r="I436" s="5">
        <f>IF(H436&lt;B436, B436+7, H436)</f>
        <v>45553</v>
      </c>
      <c r="J436" s="5" t="str">
        <f>IF(H436&lt;B436, "Invalid","Okay")</f>
        <v>Okay</v>
      </c>
      <c r="K436" s="16">
        <f>I436-C436</f>
        <v>11</v>
      </c>
      <c r="L436" s="16" t="str">
        <f t="shared" si="76"/>
        <v>Target Not Met</v>
      </c>
      <c r="M436" s="2" t="s">
        <v>647</v>
      </c>
      <c r="N436" s="2" t="s">
        <v>659</v>
      </c>
      <c r="O436" s="2" t="s">
        <v>699</v>
      </c>
      <c r="P436" s="29" t="str">
        <f t="shared" si="77"/>
        <v>Asia→China→Beijing</v>
      </c>
      <c r="Q436" s="2" t="s">
        <v>704</v>
      </c>
      <c r="R436" s="2" t="s">
        <v>710</v>
      </c>
      <c r="S436" s="2" t="s">
        <v>719</v>
      </c>
      <c r="T436" s="2" t="s">
        <v>729</v>
      </c>
      <c r="U436" t="e">
        <f>(AE436/#REF!)*100</f>
        <v>#REF!</v>
      </c>
      <c r="V436" s="2" t="s">
        <v>1167</v>
      </c>
      <c r="W436" s="7">
        <v>181.74</v>
      </c>
      <c r="X436" s="7">
        <v>190.84</v>
      </c>
      <c r="Y436" s="7">
        <f t="shared" si="78"/>
        <v>190.84</v>
      </c>
      <c r="Z436" s="7" t="str">
        <f t="shared" si="79"/>
        <v>Low</v>
      </c>
      <c r="AA436" s="13">
        <v>0.214</v>
      </c>
      <c r="AB436" s="13">
        <f t="shared" si="80"/>
        <v>0.214</v>
      </c>
      <c r="AC436" s="13" t="str">
        <f t="shared" si="81"/>
        <v>OK</v>
      </c>
      <c r="AD436" s="7">
        <v>13</v>
      </c>
      <c r="AE436" s="7">
        <f>Y436*AD436*(1-AB436)</f>
        <v>1950.0031200000001</v>
      </c>
      <c r="AF436" s="7">
        <f>W436*AD436</f>
        <v>2362.62</v>
      </c>
      <c r="AG436" s="7">
        <f t="shared" si="82"/>
        <v>-412.61687999999981</v>
      </c>
      <c r="AH436" s="13">
        <f t="shared" si="83"/>
        <v>-0.21159806144310159</v>
      </c>
    </row>
    <row r="437" spans="1:34" x14ac:dyDescent="0.35">
      <c r="A437" s="2" t="s">
        <v>449</v>
      </c>
      <c r="B437" s="5">
        <v>45217</v>
      </c>
      <c r="C437" s="5">
        <f>IF(H437&lt;B437,H437,B437)</f>
        <v>45217</v>
      </c>
      <c r="D437" s="5" t="str">
        <f t="shared" si="72"/>
        <v>Oct-2023</v>
      </c>
      <c r="E437" s="5" t="str">
        <f t="shared" si="73"/>
        <v>Oct</v>
      </c>
      <c r="F437" s="5" t="str">
        <f t="shared" si="74"/>
        <v>2023</v>
      </c>
      <c r="G437" s="5" t="str">
        <f t="shared" si="75"/>
        <v>Q4-2023</v>
      </c>
      <c r="H437" s="5">
        <v>45219</v>
      </c>
      <c r="I437" s="5">
        <f>IF(H437&lt;B437, B437+7, H437)</f>
        <v>45219</v>
      </c>
      <c r="J437" s="5" t="str">
        <f>IF(H437&lt;B437, "Invalid","Okay")</f>
        <v>Okay</v>
      </c>
      <c r="K437" s="16">
        <f>I437-C437</f>
        <v>2</v>
      </c>
      <c r="L437" s="16" t="str">
        <f t="shared" si="76"/>
        <v>Target Met</v>
      </c>
      <c r="M437" s="2" t="s">
        <v>646</v>
      </c>
      <c r="N437" s="2" t="s">
        <v>650</v>
      </c>
      <c r="O437" s="2" t="s">
        <v>662</v>
      </c>
      <c r="P437" s="29" t="str">
        <f t="shared" si="77"/>
        <v>Africa→Kenya→Kisumu</v>
      </c>
      <c r="Q437" s="2" t="s">
        <v>704</v>
      </c>
      <c r="R437" s="2" t="s">
        <v>707</v>
      </c>
      <c r="S437" s="2" t="s">
        <v>713</v>
      </c>
      <c r="T437" s="2" t="s">
        <v>730</v>
      </c>
      <c r="U437" t="e">
        <f>(AE437/#REF!)*100</f>
        <v>#REF!</v>
      </c>
      <c r="V437" s="2" t="s">
        <v>1168</v>
      </c>
      <c r="W437" s="7">
        <v>774.12</v>
      </c>
      <c r="X437" s="7">
        <v>908.3</v>
      </c>
      <c r="Y437" s="7">
        <f t="shared" si="78"/>
        <v>908.3</v>
      </c>
      <c r="Z437" s="7" t="str">
        <f t="shared" si="79"/>
        <v>Low</v>
      </c>
      <c r="AA437" s="13">
        <v>0</v>
      </c>
      <c r="AB437" s="13">
        <f t="shared" si="80"/>
        <v>0</v>
      </c>
      <c r="AC437" s="13" t="str">
        <f t="shared" si="81"/>
        <v>OK</v>
      </c>
      <c r="AD437" s="7">
        <v>30</v>
      </c>
      <c r="AE437" s="7">
        <f>Y437*AD437*(1-AB437)</f>
        <v>27249</v>
      </c>
      <c r="AF437" s="7">
        <f>W437*AD437</f>
        <v>23223.599999999999</v>
      </c>
      <c r="AG437" s="7">
        <f t="shared" si="82"/>
        <v>4025.4000000000015</v>
      </c>
      <c r="AH437" s="13">
        <f t="shared" si="83"/>
        <v>0.14772652207420461</v>
      </c>
    </row>
    <row r="438" spans="1:34" x14ac:dyDescent="0.35">
      <c r="A438" s="2" t="s">
        <v>450</v>
      </c>
      <c r="B438" s="5">
        <v>45650</v>
      </c>
      <c r="C438" s="5">
        <f>IF(H438&lt;B438,H438,B438)</f>
        <v>45650</v>
      </c>
      <c r="D438" s="5" t="str">
        <f t="shared" si="72"/>
        <v>Dec-2024</v>
      </c>
      <c r="E438" s="5" t="str">
        <f t="shared" si="73"/>
        <v>Dec</v>
      </c>
      <c r="F438" s="5" t="str">
        <f t="shared" si="74"/>
        <v>2024</v>
      </c>
      <c r="G438" s="5" t="str">
        <f t="shared" si="75"/>
        <v>Q4-2024</v>
      </c>
      <c r="H438" s="5">
        <v>45670</v>
      </c>
      <c r="I438" s="5">
        <f>IF(H438&lt;B438, B438+7, H438)</f>
        <v>45670</v>
      </c>
      <c r="J438" s="5" t="str">
        <f>IF(H438&lt;B438, "Invalid","Okay")</f>
        <v>Okay</v>
      </c>
      <c r="K438" s="16">
        <f>I438-C438</f>
        <v>20</v>
      </c>
      <c r="L438" s="16" t="str">
        <f t="shared" si="76"/>
        <v>Target Not Met</v>
      </c>
      <c r="M438" s="2" t="s">
        <v>647</v>
      </c>
      <c r="N438" s="2" t="s">
        <v>654</v>
      </c>
      <c r="O438" s="2" t="s">
        <v>668</v>
      </c>
      <c r="P438" s="29" t="str">
        <f t="shared" si="77"/>
        <v>Asia→India→Bengaluru</v>
      </c>
      <c r="Q438" s="2" t="s">
        <v>701</v>
      </c>
      <c r="R438" s="2" t="s">
        <v>709</v>
      </c>
      <c r="S438" s="2" t="s">
        <v>726</v>
      </c>
      <c r="T438" s="2" t="s">
        <v>729</v>
      </c>
      <c r="U438" t="e">
        <f>(AE438/#REF!)*100</f>
        <v>#REF!</v>
      </c>
      <c r="V438" s="2" t="s">
        <v>1169</v>
      </c>
      <c r="W438" s="7">
        <v>126.15</v>
      </c>
      <c r="X438" s="7">
        <v>284.23</v>
      </c>
      <c r="Y438" s="7">
        <f t="shared" si="78"/>
        <v>284.23</v>
      </c>
      <c r="Z438" s="7" t="str">
        <f t="shared" si="79"/>
        <v>Low</v>
      </c>
      <c r="AA438" s="13">
        <v>0.113</v>
      </c>
      <c r="AB438" s="13">
        <f t="shared" si="80"/>
        <v>0.113</v>
      </c>
      <c r="AC438" s="13" t="str">
        <f t="shared" si="81"/>
        <v>OK</v>
      </c>
      <c r="AD438" s="7">
        <v>22</v>
      </c>
      <c r="AE438" s="7">
        <f>Y438*AD438*(1-AB438)</f>
        <v>5546.4642200000008</v>
      </c>
      <c r="AF438" s="7">
        <f>W438*AD438</f>
        <v>2775.3</v>
      </c>
      <c r="AG438" s="7">
        <f t="shared" si="82"/>
        <v>2771.1642200000006</v>
      </c>
      <c r="AH438" s="13">
        <f t="shared" si="83"/>
        <v>0.49962716968541088</v>
      </c>
    </row>
    <row r="439" spans="1:34" x14ac:dyDescent="0.35">
      <c r="A439" s="2" t="s">
        <v>451</v>
      </c>
      <c r="B439" s="5">
        <v>45037</v>
      </c>
      <c r="C439" s="5">
        <f>IF(H439&lt;B439,H439,B439)</f>
        <v>45035</v>
      </c>
      <c r="D439" s="5" t="str">
        <f t="shared" si="72"/>
        <v>Apr-2023</v>
      </c>
      <c r="E439" s="5" t="str">
        <f t="shared" si="73"/>
        <v>Apr</v>
      </c>
      <c r="F439" s="5" t="str">
        <f t="shared" si="74"/>
        <v>2023</v>
      </c>
      <c r="G439" s="5" t="str">
        <f t="shared" si="75"/>
        <v>Q2-2023</v>
      </c>
      <c r="H439" s="5">
        <v>45035</v>
      </c>
      <c r="I439" s="5">
        <f>IF(H439&lt;B439, B439+7, H439)</f>
        <v>45044</v>
      </c>
      <c r="J439" s="5" t="str">
        <f>IF(H439&lt;B439, "Invalid","Okay")</f>
        <v>Invalid</v>
      </c>
      <c r="K439" s="16">
        <f>I439-C439</f>
        <v>9</v>
      </c>
      <c r="L439" s="16" t="str">
        <f t="shared" si="76"/>
        <v>Target Not Met</v>
      </c>
      <c r="M439" s="2" t="s">
        <v>647</v>
      </c>
      <c r="N439" s="2" t="s">
        <v>652</v>
      </c>
      <c r="O439" s="2" t="s">
        <v>694</v>
      </c>
      <c r="P439" s="29" t="str">
        <f t="shared" si="77"/>
        <v>Asia→Japan→Nagoya</v>
      </c>
      <c r="Q439" s="2" t="s">
        <v>705</v>
      </c>
      <c r="R439" s="2" t="s">
        <v>711</v>
      </c>
      <c r="S439" s="2" t="s">
        <v>724</v>
      </c>
      <c r="T439" s="2" t="s">
        <v>727</v>
      </c>
      <c r="U439" t="e">
        <f>(AE439/#REF!)*100</f>
        <v>#REF!</v>
      </c>
      <c r="V439" s="2" t="s">
        <v>1170</v>
      </c>
      <c r="W439" s="7">
        <v>607.04</v>
      </c>
      <c r="X439" s="7">
        <v>1229.3399999999999</v>
      </c>
      <c r="Y439" s="7">
        <f t="shared" si="78"/>
        <v>1229.3399999999999</v>
      </c>
      <c r="Z439" s="7" t="str">
        <f t="shared" si="79"/>
        <v>Medium</v>
      </c>
      <c r="AA439" s="13">
        <v>0.14699999999999999</v>
      </c>
      <c r="AB439" s="13">
        <f t="shared" si="80"/>
        <v>0.14699999999999999</v>
      </c>
      <c r="AC439" s="13" t="str">
        <f t="shared" si="81"/>
        <v>OK</v>
      </c>
      <c r="AD439" s="7">
        <v>7</v>
      </c>
      <c r="AE439" s="7">
        <f>Y439*AD439*(1-AB439)</f>
        <v>7340.3891399999993</v>
      </c>
      <c r="AF439" s="7">
        <f>W439*AD439</f>
        <v>4249.28</v>
      </c>
      <c r="AG439" s="7">
        <f t="shared" si="82"/>
        <v>3091.1091399999996</v>
      </c>
      <c r="AH439" s="13">
        <f t="shared" si="83"/>
        <v>0.42110970972310058</v>
      </c>
    </row>
    <row r="440" spans="1:34" x14ac:dyDescent="0.35">
      <c r="A440" s="2" t="s">
        <v>452</v>
      </c>
      <c r="B440" s="5">
        <v>45290</v>
      </c>
      <c r="C440" s="5">
        <f>IF(H440&lt;B440,H440,B440)</f>
        <v>45290</v>
      </c>
      <c r="D440" s="5" t="str">
        <f t="shared" si="72"/>
        <v>Dec-2023</v>
      </c>
      <c r="E440" s="5" t="str">
        <f t="shared" si="73"/>
        <v>Dec</v>
      </c>
      <c r="F440" s="5" t="str">
        <f t="shared" si="74"/>
        <v>2023</v>
      </c>
      <c r="G440" s="5" t="str">
        <f t="shared" si="75"/>
        <v>Q4-2023</v>
      </c>
      <c r="H440" s="5">
        <v>45299</v>
      </c>
      <c r="I440" s="5">
        <f>IF(H440&lt;B440, B440+7, H440)</f>
        <v>45299</v>
      </c>
      <c r="J440" s="5" t="str">
        <f>IF(H440&lt;B440, "Invalid","Okay")</f>
        <v>Okay</v>
      </c>
      <c r="K440" s="16">
        <f>I440-C440</f>
        <v>9</v>
      </c>
      <c r="L440" s="16" t="str">
        <f t="shared" si="76"/>
        <v>Target Not Met</v>
      </c>
      <c r="M440" s="2" t="s">
        <v>649</v>
      </c>
      <c r="N440" s="2" t="s">
        <v>657</v>
      </c>
      <c r="O440" s="2" t="s">
        <v>673</v>
      </c>
      <c r="P440" s="29" t="str">
        <f t="shared" si="77"/>
        <v>Europe→France→Marseille</v>
      </c>
      <c r="Q440" s="2" t="s">
        <v>704</v>
      </c>
      <c r="R440" s="2" t="s">
        <v>709</v>
      </c>
      <c r="S440" s="2" t="s">
        <v>716</v>
      </c>
      <c r="T440" s="2" t="s">
        <v>733</v>
      </c>
      <c r="U440" t="e">
        <f>(AE440/#REF!)*100</f>
        <v>#REF!</v>
      </c>
      <c r="V440" s="2" t="s">
        <v>1171</v>
      </c>
      <c r="W440" s="7">
        <v>861.1</v>
      </c>
      <c r="X440" s="7">
        <v>1224.72</v>
      </c>
      <c r="Y440" s="7">
        <f t="shared" si="78"/>
        <v>1224.72</v>
      </c>
      <c r="Z440" s="7" t="str">
        <f t="shared" si="79"/>
        <v>Medium</v>
      </c>
      <c r="AA440" s="13">
        <v>0.17399999999999999</v>
      </c>
      <c r="AB440" s="13">
        <f t="shared" si="80"/>
        <v>0.17399999999999999</v>
      </c>
      <c r="AC440" s="13" t="str">
        <f t="shared" si="81"/>
        <v>OK</v>
      </c>
      <c r="AD440" s="7">
        <v>24</v>
      </c>
      <c r="AE440" s="7">
        <f>Y440*AD440*(1-AB440)</f>
        <v>24278.849280000002</v>
      </c>
      <c r="AF440" s="7">
        <f>W440*AD440</f>
        <v>20666.400000000001</v>
      </c>
      <c r="AG440" s="7">
        <f t="shared" si="82"/>
        <v>3612.4492800000007</v>
      </c>
      <c r="AH440" s="13">
        <f t="shared" si="83"/>
        <v>0.14878997098827909</v>
      </c>
    </row>
    <row r="441" spans="1:34" x14ac:dyDescent="0.35">
      <c r="A441" s="2" t="s">
        <v>453</v>
      </c>
      <c r="B441" s="5">
        <v>44978</v>
      </c>
      <c r="C441" s="5">
        <f>IF(H441&lt;B441,H441,B441)</f>
        <v>44978</v>
      </c>
      <c r="D441" s="5" t="str">
        <f t="shared" si="72"/>
        <v>Feb-2023</v>
      </c>
      <c r="E441" s="5" t="str">
        <f t="shared" si="73"/>
        <v>Feb</v>
      </c>
      <c r="F441" s="5" t="str">
        <f t="shared" si="74"/>
        <v>2023</v>
      </c>
      <c r="G441" s="5" t="str">
        <f t="shared" si="75"/>
        <v>Q1-2023</v>
      </c>
      <c r="H441" s="5">
        <v>44997</v>
      </c>
      <c r="I441" s="5">
        <f>IF(H441&lt;B441, B441+7, H441)</f>
        <v>44997</v>
      </c>
      <c r="J441" s="5" t="str">
        <f>IF(H441&lt;B441, "Invalid","Okay")</f>
        <v>Okay</v>
      </c>
      <c r="K441" s="16">
        <f>I441-C441</f>
        <v>19</v>
      </c>
      <c r="L441" s="16" t="str">
        <f t="shared" si="76"/>
        <v>Target Not Met</v>
      </c>
      <c r="M441" s="2" t="s">
        <v>646</v>
      </c>
      <c r="N441" s="2" t="s">
        <v>650</v>
      </c>
      <c r="O441" s="2" t="s">
        <v>678</v>
      </c>
      <c r="P441" s="29" t="str">
        <f t="shared" si="77"/>
        <v>Africa→Kenya→Nakuru</v>
      </c>
      <c r="Q441" s="2" t="s">
        <v>701</v>
      </c>
      <c r="R441" s="2" t="s">
        <v>708</v>
      </c>
      <c r="S441" s="2" t="s">
        <v>721</v>
      </c>
      <c r="T441" s="2" t="s">
        <v>729</v>
      </c>
      <c r="U441" t="e">
        <f>(AE441/#REF!)*100</f>
        <v>#REF!</v>
      </c>
      <c r="V441" s="2" t="s">
        <v>1172</v>
      </c>
      <c r="W441" s="7">
        <v>352.65</v>
      </c>
      <c r="X441" s="7">
        <v>485.86</v>
      </c>
      <c r="Y441" s="7">
        <f t="shared" si="78"/>
        <v>485.86</v>
      </c>
      <c r="Z441" s="7" t="str">
        <f t="shared" si="79"/>
        <v>Low</v>
      </c>
      <c r="AA441" s="13">
        <v>4.1000000000000002E-2</v>
      </c>
      <c r="AB441" s="13">
        <f t="shared" si="80"/>
        <v>4.1000000000000002E-2</v>
      </c>
      <c r="AC441" s="13" t="str">
        <f t="shared" si="81"/>
        <v>OK</v>
      </c>
      <c r="AD441" s="7">
        <v>6</v>
      </c>
      <c r="AE441" s="7">
        <f>Y441*AD441*(1-AB441)</f>
        <v>2795.6384399999997</v>
      </c>
      <c r="AF441" s="7">
        <f>W441*AD441</f>
        <v>2115.8999999999996</v>
      </c>
      <c r="AG441" s="7">
        <f t="shared" si="82"/>
        <v>679.73844000000008</v>
      </c>
      <c r="AH441" s="13">
        <f t="shared" si="83"/>
        <v>0.24314247159943908</v>
      </c>
    </row>
    <row r="442" spans="1:34" x14ac:dyDescent="0.35">
      <c r="A442" s="2" t="s">
        <v>454</v>
      </c>
      <c r="B442" s="5">
        <v>45063</v>
      </c>
      <c r="C442" s="5">
        <f>IF(H442&lt;B442,H442,B442)</f>
        <v>45063</v>
      </c>
      <c r="D442" s="5" t="str">
        <f t="shared" si="72"/>
        <v>May-2023</v>
      </c>
      <c r="E442" s="5" t="str">
        <f t="shared" si="73"/>
        <v>May</v>
      </c>
      <c r="F442" s="5" t="str">
        <f t="shared" si="74"/>
        <v>2023</v>
      </c>
      <c r="G442" s="5" t="str">
        <f t="shared" si="75"/>
        <v>Q2-2023</v>
      </c>
      <c r="H442" s="5">
        <v>45080</v>
      </c>
      <c r="I442" s="5">
        <f>IF(H442&lt;B442, B442+7, H442)</f>
        <v>45080</v>
      </c>
      <c r="J442" s="5" t="str">
        <f>IF(H442&lt;B442, "Invalid","Okay")</f>
        <v>Okay</v>
      </c>
      <c r="K442" s="16">
        <f>I442-C442</f>
        <v>17</v>
      </c>
      <c r="L442" s="16" t="str">
        <f t="shared" si="76"/>
        <v>Target Not Met</v>
      </c>
      <c r="M442" s="2" t="s">
        <v>647</v>
      </c>
      <c r="N442" s="2" t="s">
        <v>659</v>
      </c>
      <c r="O442" s="2" t="s">
        <v>699</v>
      </c>
      <c r="P442" s="29" t="str">
        <f t="shared" si="77"/>
        <v>Asia→China→Beijing</v>
      </c>
      <c r="Q442" s="2" t="s">
        <v>703</v>
      </c>
      <c r="R442" s="2" t="s">
        <v>710</v>
      </c>
      <c r="S442" s="2" t="s">
        <v>724</v>
      </c>
      <c r="T442" s="2" t="s">
        <v>728</v>
      </c>
      <c r="U442" t="e">
        <f>(AE442/#REF!)*100</f>
        <v>#REF!</v>
      </c>
      <c r="V442" s="2" t="s">
        <v>1173</v>
      </c>
      <c r="W442" s="7">
        <v>979.59</v>
      </c>
      <c r="X442" s="7">
        <v>2210.94</v>
      </c>
      <c r="Y442" s="7">
        <f t="shared" si="78"/>
        <v>2210.94</v>
      </c>
      <c r="Z442" s="7" t="str">
        <f t="shared" si="79"/>
        <v>High</v>
      </c>
      <c r="AA442" s="13">
        <v>0.15</v>
      </c>
      <c r="AB442" s="13">
        <f t="shared" si="80"/>
        <v>0.15</v>
      </c>
      <c r="AC442" s="13" t="str">
        <f t="shared" si="81"/>
        <v>OK</v>
      </c>
      <c r="AD442" s="7">
        <v>11</v>
      </c>
      <c r="AE442" s="7">
        <f>Y442*AD442*(1-AB442)</f>
        <v>20672.289000000001</v>
      </c>
      <c r="AF442" s="7">
        <f>W442*AD442</f>
        <v>10775.49</v>
      </c>
      <c r="AG442" s="7">
        <f t="shared" si="82"/>
        <v>9896.7990000000009</v>
      </c>
      <c r="AH442" s="13">
        <f t="shared" si="83"/>
        <v>0.47874712858358359</v>
      </c>
    </row>
    <row r="443" spans="1:34" x14ac:dyDescent="0.35">
      <c r="A443" s="2" t="s">
        <v>455</v>
      </c>
      <c r="B443" s="5">
        <v>45374</v>
      </c>
      <c r="C443" s="5">
        <f>IF(H443&lt;B443,H443,B443)</f>
        <v>45374</v>
      </c>
      <c r="D443" s="5" t="str">
        <f t="shared" si="72"/>
        <v>Mar-2024</v>
      </c>
      <c r="E443" s="5" t="str">
        <f t="shared" si="73"/>
        <v>Mar</v>
      </c>
      <c r="F443" s="5" t="str">
        <f t="shared" si="74"/>
        <v>2024</v>
      </c>
      <c r="G443" s="5" t="str">
        <f t="shared" si="75"/>
        <v>Q1-2024</v>
      </c>
      <c r="H443" s="5">
        <v>45377</v>
      </c>
      <c r="I443" s="5">
        <f>IF(H443&lt;B443, B443+7, H443)</f>
        <v>45377</v>
      </c>
      <c r="J443" s="5" t="str">
        <f>IF(H443&lt;B443, "Invalid","Okay")</f>
        <v>Okay</v>
      </c>
      <c r="K443" s="16">
        <f>I443-C443</f>
        <v>3</v>
      </c>
      <c r="L443" s="16" t="str">
        <f t="shared" si="76"/>
        <v>Target Met</v>
      </c>
      <c r="M443" s="2" t="s">
        <v>647</v>
      </c>
      <c r="N443" s="2" t="s">
        <v>654</v>
      </c>
      <c r="O443" s="2" t="s">
        <v>668</v>
      </c>
      <c r="P443" s="29" t="str">
        <f t="shared" si="77"/>
        <v>Asia→India→Bengaluru</v>
      </c>
      <c r="Q443" s="2" t="s">
        <v>702</v>
      </c>
      <c r="R443" s="2" t="s">
        <v>711</v>
      </c>
      <c r="S443" s="2" t="s">
        <v>715</v>
      </c>
      <c r="T443" s="2" t="s">
        <v>730</v>
      </c>
      <c r="U443" t="e">
        <f>(AE443/#REF!)*100</f>
        <v>#REF!</v>
      </c>
      <c r="V443" s="2" t="s">
        <v>1174</v>
      </c>
      <c r="W443" s="7">
        <v>382.21</v>
      </c>
      <c r="X443" s="7">
        <v>571.89</v>
      </c>
      <c r="Y443" s="7">
        <f t="shared" si="78"/>
        <v>571.89</v>
      </c>
      <c r="Z443" s="7" t="str">
        <f t="shared" si="79"/>
        <v>Low</v>
      </c>
      <c r="AA443" s="13">
        <v>0.14799999999999999</v>
      </c>
      <c r="AB443" s="13">
        <f t="shared" si="80"/>
        <v>0.14799999999999999</v>
      </c>
      <c r="AC443" s="13" t="str">
        <f t="shared" si="81"/>
        <v>OK</v>
      </c>
      <c r="AD443" s="7">
        <v>26</v>
      </c>
      <c r="AE443" s="7">
        <f>Y443*AD443*(1-AB443)</f>
        <v>12668.50728</v>
      </c>
      <c r="AF443" s="7">
        <f>W443*AD443</f>
        <v>9937.4599999999991</v>
      </c>
      <c r="AG443" s="7">
        <f t="shared" si="82"/>
        <v>2731.0472800000007</v>
      </c>
      <c r="AH443" s="13">
        <f t="shared" si="83"/>
        <v>0.2155776698578809</v>
      </c>
    </row>
    <row r="444" spans="1:34" x14ac:dyDescent="0.35">
      <c r="A444" s="2" t="s">
        <v>456</v>
      </c>
      <c r="B444" s="5">
        <v>45189</v>
      </c>
      <c r="C444" s="5">
        <f>IF(H444&lt;B444,H444,B444)</f>
        <v>45189</v>
      </c>
      <c r="D444" s="5" t="str">
        <f t="shared" si="72"/>
        <v>Sep-2023</v>
      </c>
      <c r="E444" s="5" t="str">
        <f t="shared" si="73"/>
        <v>Sep</v>
      </c>
      <c r="F444" s="5" t="str">
        <f t="shared" si="74"/>
        <v>2023</v>
      </c>
      <c r="G444" s="5" t="str">
        <f t="shared" si="75"/>
        <v>Q3-2023</v>
      </c>
      <c r="H444" s="5">
        <v>45197</v>
      </c>
      <c r="I444" s="5">
        <f>IF(H444&lt;B444, B444+7, H444)</f>
        <v>45197</v>
      </c>
      <c r="J444" s="5" t="str">
        <f>IF(H444&lt;B444, "Invalid","Okay")</f>
        <v>Okay</v>
      </c>
      <c r="K444" s="16">
        <f>I444-C444</f>
        <v>8</v>
      </c>
      <c r="L444" s="16" t="str">
        <f t="shared" si="76"/>
        <v>Target Not Met</v>
      </c>
      <c r="M444" s="2" t="s">
        <v>647</v>
      </c>
      <c r="N444" s="2" t="s">
        <v>654</v>
      </c>
      <c r="O444" s="2" t="s">
        <v>1423</v>
      </c>
      <c r="P444" s="29" t="str">
        <f t="shared" si="77"/>
        <v>Asia→India→Unknown</v>
      </c>
      <c r="Q444" s="2" t="s">
        <v>701</v>
      </c>
      <c r="R444" s="2" t="s">
        <v>1423</v>
      </c>
      <c r="S444" s="2" t="s">
        <v>717</v>
      </c>
      <c r="T444" s="2" t="s">
        <v>733</v>
      </c>
      <c r="U444" t="e">
        <f>(AE444/#REF!)*100</f>
        <v>#REF!</v>
      </c>
      <c r="V444" s="2" t="s">
        <v>1175</v>
      </c>
      <c r="W444" s="7">
        <v>1362.06</v>
      </c>
      <c r="X444" s="7">
        <v>3398.37</v>
      </c>
      <c r="Y444" s="7">
        <f t="shared" si="78"/>
        <v>3398.37</v>
      </c>
      <c r="Z444" s="7" t="str">
        <f t="shared" si="79"/>
        <v>High</v>
      </c>
      <c r="AA444" s="13">
        <v>0.157</v>
      </c>
      <c r="AB444" s="13">
        <f t="shared" si="80"/>
        <v>0.157</v>
      </c>
      <c r="AC444" s="13" t="str">
        <f t="shared" si="81"/>
        <v>OK</v>
      </c>
      <c r="AD444" s="7">
        <v>11</v>
      </c>
      <c r="AE444" s="7">
        <f>Y444*AD444*(1-AB444)</f>
        <v>31513.085009999999</v>
      </c>
      <c r="AF444" s="7">
        <f>W444*AD444</f>
        <v>14982.66</v>
      </c>
      <c r="AG444" s="7">
        <f t="shared" si="82"/>
        <v>16530.425009999999</v>
      </c>
      <c r="AH444" s="13">
        <f t="shared" si="83"/>
        <v>0.52455749745714919</v>
      </c>
    </row>
    <row r="445" spans="1:34" x14ac:dyDescent="0.35">
      <c r="A445" s="2" t="s">
        <v>457</v>
      </c>
      <c r="B445" s="5">
        <v>45526</v>
      </c>
      <c r="C445" s="5">
        <f>IF(H445&lt;B445,H445,B445)</f>
        <v>45526</v>
      </c>
      <c r="D445" s="5" t="str">
        <f t="shared" si="72"/>
        <v>Aug-2024</v>
      </c>
      <c r="E445" s="5" t="str">
        <f t="shared" si="73"/>
        <v>Aug</v>
      </c>
      <c r="F445" s="5" t="str">
        <f t="shared" si="74"/>
        <v>2024</v>
      </c>
      <c r="G445" s="5" t="str">
        <f t="shared" si="75"/>
        <v>Q3-2024</v>
      </c>
      <c r="H445" s="5">
        <v>45539</v>
      </c>
      <c r="I445" s="5">
        <f>IF(H445&lt;B445, B445+7, H445)</f>
        <v>45539</v>
      </c>
      <c r="J445" s="5" t="str">
        <f>IF(H445&lt;B445, "Invalid","Okay")</f>
        <v>Okay</v>
      </c>
      <c r="K445" s="16">
        <f>I445-C445</f>
        <v>13</v>
      </c>
      <c r="L445" s="16" t="str">
        <f t="shared" si="76"/>
        <v>Target Not Met</v>
      </c>
      <c r="M445" s="2" t="s">
        <v>649</v>
      </c>
      <c r="N445" s="2" t="s">
        <v>656</v>
      </c>
      <c r="O445" s="2" t="s">
        <v>698</v>
      </c>
      <c r="P445" s="29" t="str">
        <f t="shared" si="77"/>
        <v>Europe→Germany→Frankfurt</v>
      </c>
      <c r="Q445" s="2" t="s">
        <v>703</v>
      </c>
      <c r="R445" s="2" t="s">
        <v>707</v>
      </c>
      <c r="S445" s="2" t="s">
        <v>716</v>
      </c>
      <c r="T445" s="2" t="s">
        <v>728</v>
      </c>
      <c r="U445" t="e">
        <f>(AE445/#REF!)*100</f>
        <v>#REF!</v>
      </c>
      <c r="V445" s="2" t="s">
        <v>1176</v>
      </c>
      <c r="W445" s="7">
        <v>90.04</v>
      </c>
      <c r="X445" s="7">
        <v>194.62</v>
      </c>
      <c r="Y445" s="7">
        <f t="shared" si="78"/>
        <v>194.62</v>
      </c>
      <c r="Z445" s="7" t="str">
        <f t="shared" si="79"/>
        <v>Low</v>
      </c>
      <c r="AA445" s="13">
        <v>4.2999999999999997E-2</v>
      </c>
      <c r="AB445" s="13">
        <f t="shared" si="80"/>
        <v>4.2999999999999997E-2</v>
      </c>
      <c r="AC445" s="13" t="str">
        <f t="shared" si="81"/>
        <v>OK</v>
      </c>
      <c r="AD445" s="7">
        <v>32</v>
      </c>
      <c r="AE445" s="7">
        <f>Y445*AD445*(1-AB445)</f>
        <v>5960.04288</v>
      </c>
      <c r="AF445" s="7">
        <f>W445*AD445</f>
        <v>2881.28</v>
      </c>
      <c r="AG445" s="7">
        <f t="shared" si="82"/>
        <v>3078.7628799999998</v>
      </c>
      <c r="AH445" s="13">
        <f t="shared" si="83"/>
        <v>0.51656723650954672</v>
      </c>
    </row>
    <row r="446" spans="1:34" x14ac:dyDescent="0.35">
      <c r="A446" s="2" t="s">
        <v>458</v>
      </c>
      <c r="B446" s="5">
        <v>45560</v>
      </c>
      <c r="C446" s="5">
        <f>IF(H446&lt;B446,H446,B446)</f>
        <v>45560</v>
      </c>
      <c r="D446" s="5" t="str">
        <f t="shared" si="72"/>
        <v>Sep-2024</v>
      </c>
      <c r="E446" s="5" t="str">
        <f t="shared" si="73"/>
        <v>Sep</v>
      </c>
      <c r="F446" s="5" t="str">
        <f t="shared" si="74"/>
        <v>2024</v>
      </c>
      <c r="G446" s="5" t="str">
        <f t="shared" si="75"/>
        <v>Q3-2024</v>
      </c>
      <c r="H446" s="5">
        <v>45568</v>
      </c>
      <c r="I446" s="5">
        <f>IF(H446&lt;B446, B446+7, H446)</f>
        <v>45568</v>
      </c>
      <c r="J446" s="5" t="str">
        <f>IF(H446&lt;B446, "Invalid","Okay")</f>
        <v>Okay</v>
      </c>
      <c r="K446" s="16">
        <f>I446-C446</f>
        <v>8</v>
      </c>
      <c r="L446" s="16" t="str">
        <f t="shared" si="76"/>
        <v>Target Not Met</v>
      </c>
      <c r="M446" s="2" t="s">
        <v>648</v>
      </c>
      <c r="N446" s="2" t="s">
        <v>653</v>
      </c>
      <c r="O446" s="2" t="s">
        <v>667</v>
      </c>
      <c r="P446" s="29" t="str">
        <f t="shared" si="77"/>
        <v>Americas→Canada→Toronto</v>
      </c>
      <c r="Q446" s="2" t="s">
        <v>704</v>
      </c>
      <c r="R446" s="2" t="s">
        <v>708</v>
      </c>
      <c r="S446" s="2" t="s">
        <v>718</v>
      </c>
      <c r="T446" s="2" t="s">
        <v>728</v>
      </c>
      <c r="U446" t="e">
        <f>(AE446/#REF!)*100</f>
        <v>#REF!</v>
      </c>
      <c r="V446" s="2" t="s">
        <v>1177</v>
      </c>
      <c r="W446" s="7">
        <v>558.19000000000005</v>
      </c>
      <c r="X446" s="7">
        <v>1031.6400000000001</v>
      </c>
      <c r="Y446" s="7">
        <f t="shared" si="78"/>
        <v>1031.6400000000001</v>
      </c>
      <c r="Z446" s="7" t="str">
        <f t="shared" si="79"/>
        <v>Low</v>
      </c>
      <c r="AA446" s="13">
        <v>0</v>
      </c>
      <c r="AB446" s="13">
        <f t="shared" si="80"/>
        <v>0</v>
      </c>
      <c r="AC446" s="13" t="str">
        <f t="shared" si="81"/>
        <v>OK</v>
      </c>
      <c r="AD446" s="7">
        <v>21</v>
      </c>
      <c r="AE446" s="7">
        <f>Y446*AD446*(1-AB446)</f>
        <v>21664.440000000002</v>
      </c>
      <c r="AF446" s="7">
        <f>W446*AD446</f>
        <v>11721.990000000002</v>
      </c>
      <c r="AG446" s="7">
        <f t="shared" si="82"/>
        <v>9942.4500000000007</v>
      </c>
      <c r="AH446" s="13">
        <f t="shared" si="83"/>
        <v>0.45892947152107322</v>
      </c>
    </row>
    <row r="447" spans="1:34" x14ac:dyDescent="0.35">
      <c r="A447" s="2" t="s">
        <v>459</v>
      </c>
      <c r="B447" s="5">
        <v>45090</v>
      </c>
      <c r="C447" s="5">
        <f>IF(H447&lt;B447,H447,B447)</f>
        <v>45090</v>
      </c>
      <c r="D447" s="5" t="str">
        <f t="shared" si="72"/>
        <v>Jun-2023</v>
      </c>
      <c r="E447" s="5" t="str">
        <f t="shared" si="73"/>
        <v>Jun</v>
      </c>
      <c r="F447" s="5" t="str">
        <f t="shared" si="74"/>
        <v>2023</v>
      </c>
      <c r="G447" s="5" t="str">
        <f t="shared" si="75"/>
        <v>Q2-2023</v>
      </c>
      <c r="H447" s="5">
        <v>45101</v>
      </c>
      <c r="I447" s="5">
        <f>IF(H447&lt;B447, B447+7, H447)</f>
        <v>45101</v>
      </c>
      <c r="J447" s="5" t="str">
        <f>IF(H447&lt;B447, "Invalid","Okay")</f>
        <v>Okay</v>
      </c>
      <c r="K447" s="16">
        <f>I447-C447</f>
        <v>11</v>
      </c>
      <c r="L447" s="16" t="str">
        <f t="shared" si="76"/>
        <v>Target Not Met</v>
      </c>
      <c r="M447" s="2" t="s">
        <v>648</v>
      </c>
      <c r="N447" s="2" t="s">
        <v>653</v>
      </c>
      <c r="O447" s="2" t="s">
        <v>667</v>
      </c>
      <c r="P447" s="29" t="str">
        <f t="shared" si="77"/>
        <v>Americas→Canada→Toronto</v>
      </c>
      <c r="Q447" s="2" t="s">
        <v>701</v>
      </c>
      <c r="R447" s="2" t="s">
        <v>708</v>
      </c>
      <c r="S447" s="2" t="s">
        <v>712</v>
      </c>
      <c r="T447" s="2" t="s">
        <v>728</v>
      </c>
      <c r="U447" t="e">
        <f>(AE447/#REF!)*100</f>
        <v>#REF!</v>
      </c>
      <c r="V447" s="2" t="s">
        <v>1178</v>
      </c>
      <c r="W447" s="7">
        <v>247.07</v>
      </c>
      <c r="X447" s="7">
        <v>495.19</v>
      </c>
      <c r="Y447" s="7">
        <f t="shared" si="78"/>
        <v>495.19</v>
      </c>
      <c r="Z447" s="7" t="str">
        <f t="shared" si="79"/>
        <v>Low</v>
      </c>
      <c r="AA447" s="13">
        <v>2.8000000000000001E-2</v>
      </c>
      <c r="AB447" s="13">
        <f t="shared" si="80"/>
        <v>2.8000000000000001E-2</v>
      </c>
      <c r="AC447" s="13" t="str">
        <f t="shared" si="81"/>
        <v>OK</v>
      </c>
      <c r="AD447" s="7">
        <v>4</v>
      </c>
      <c r="AE447" s="7">
        <f>Y447*AD447*(1-AB447)</f>
        <v>1925.29872</v>
      </c>
      <c r="AF447" s="7">
        <f>W447*AD447</f>
        <v>988.28</v>
      </c>
      <c r="AG447" s="7">
        <f t="shared" si="82"/>
        <v>937.01872000000003</v>
      </c>
      <c r="AH447" s="13">
        <f t="shared" si="83"/>
        <v>0.48668744764968214</v>
      </c>
    </row>
    <row r="448" spans="1:34" x14ac:dyDescent="0.35">
      <c r="A448" s="2" t="s">
        <v>460</v>
      </c>
      <c r="B448" s="5">
        <v>45284</v>
      </c>
      <c r="C448" s="5">
        <f>IF(H448&lt;B448,H448,B448)</f>
        <v>45284</v>
      </c>
      <c r="D448" s="5" t="str">
        <f t="shared" si="72"/>
        <v>Dec-2023</v>
      </c>
      <c r="E448" s="5" t="str">
        <f t="shared" si="73"/>
        <v>Dec</v>
      </c>
      <c r="F448" s="5" t="str">
        <f t="shared" si="74"/>
        <v>2023</v>
      </c>
      <c r="G448" s="5" t="str">
        <f t="shared" si="75"/>
        <v>Q4-2023</v>
      </c>
      <c r="H448" s="5">
        <v>45304</v>
      </c>
      <c r="I448" s="5">
        <f>IF(H448&lt;B448, B448+7, H448)</f>
        <v>45304</v>
      </c>
      <c r="J448" s="5" t="str">
        <f>IF(H448&lt;B448, "Invalid","Okay")</f>
        <v>Okay</v>
      </c>
      <c r="K448" s="16">
        <f>I448-C448</f>
        <v>20</v>
      </c>
      <c r="L448" s="16" t="str">
        <f t="shared" si="76"/>
        <v>Target Not Met</v>
      </c>
      <c r="M448" s="2" t="s">
        <v>647</v>
      </c>
      <c r="N448" s="2" t="s">
        <v>652</v>
      </c>
      <c r="O448" s="2" t="s">
        <v>694</v>
      </c>
      <c r="P448" s="29" t="str">
        <f t="shared" si="77"/>
        <v>Asia→Japan→Nagoya</v>
      </c>
      <c r="Q448" s="2" t="s">
        <v>702</v>
      </c>
      <c r="R448" s="2" t="s">
        <v>711</v>
      </c>
      <c r="S448" s="2" t="s">
        <v>717</v>
      </c>
      <c r="T448" s="2" t="s">
        <v>731</v>
      </c>
      <c r="U448" t="e">
        <f>(AE448/#REF!)*100</f>
        <v>#REF!</v>
      </c>
      <c r="V448" s="2" t="s">
        <v>1179</v>
      </c>
      <c r="W448" s="7">
        <v>625.37</v>
      </c>
      <c r="X448" s="7">
        <v>1319.04</v>
      </c>
      <c r="Y448" s="7">
        <f t="shared" si="78"/>
        <v>1319.04</v>
      </c>
      <c r="Z448" s="7" t="str">
        <f t="shared" si="79"/>
        <v>Medium</v>
      </c>
      <c r="AA448" s="13">
        <v>7.3999999999999996E-2</v>
      </c>
      <c r="AB448" s="13">
        <f t="shared" si="80"/>
        <v>7.3999999999999996E-2</v>
      </c>
      <c r="AC448" s="13" t="str">
        <f t="shared" si="81"/>
        <v>OK</v>
      </c>
      <c r="AD448" s="7">
        <v>8</v>
      </c>
      <c r="AE448" s="7">
        <f>Y448*AD448*(1-AB448)</f>
        <v>9771.4483199999995</v>
      </c>
      <c r="AF448" s="7">
        <f>W448*AD448</f>
        <v>5002.96</v>
      </c>
      <c r="AG448" s="7">
        <f t="shared" si="82"/>
        <v>4768.4883199999995</v>
      </c>
      <c r="AH448" s="13">
        <f t="shared" si="83"/>
        <v>0.48800220436513547</v>
      </c>
    </row>
    <row r="449" spans="1:34" x14ac:dyDescent="0.35">
      <c r="A449" s="2" t="s">
        <v>461</v>
      </c>
      <c r="B449" s="5">
        <v>45746</v>
      </c>
      <c r="C449" s="5">
        <f>IF(H449&lt;B449,H449,B449)</f>
        <v>45746</v>
      </c>
      <c r="D449" s="5" t="str">
        <f t="shared" si="72"/>
        <v>Mar-2025</v>
      </c>
      <c r="E449" s="5" t="str">
        <f t="shared" si="73"/>
        <v>Mar</v>
      </c>
      <c r="F449" s="5" t="str">
        <f t="shared" si="74"/>
        <v>2025</v>
      </c>
      <c r="G449" s="5" t="str">
        <f t="shared" si="75"/>
        <v>Q1-2025</v>
      </c>
      <c r="H449" s="5">
        <v>45776</v>
      </c>
      <c r="I449" s="5">
        <f>IF(H449&lt;B449, B449+7, H449)</f>
        <v>45776</v>
      </c>
      <c r="J449" s="5" t="str">
        <f>IF(H449&lt;B449, "Invalid","Okay")</f>
        <v>Okay</v>
      </c>
      <c r="K449" s="16">
        <f>I449-C449</f>
        <v>30</v>
      </c>
      <c r="L449" s="16" t="str">
        <f t="shared" si="76"/>
        <v>Target Not Met</v>
      </c>
      <c r="M449" s="2" t="s">
        <v>646</v>
      </c>
      <c r="N449" s="2" t="s">
        <v>661</v>
      </c>
      <c r="O449" s="2" t="s">
        <v>687</v>
      </c>
      <c r="P449" s="29" t="str">
        <f t="shared" si="77"/>
        <v>Africa→South Africa→Durban</v>
      </c>
      <c r="Q449" s="2" t="s">
        <v>704</v>
      </c>
      <c r="R449" s="2" t="s">
        <v>709</v>
      </c>
      <c r="S449" s="2" t="s">
        <v>713</v>
      </c>
      <c r="T449" s="2" t="s">
        <v>732</v>
      </c>
      <c r="U449" t="e">
        <f>(AE449/#REF!)*100</f>
        <v>#REF!</v>
      </c>
      <c r="V449" s="2" t="s">
        <v>1180</v>
      </c>
      <c r="W449" s="7">
        <v>194.6</v>
      </c>
      <c r="X449" s="7">
        <v>314.87</v>
      </c>
      <c r="Y449" s="7">
        <f t="shared" si="78"/>
        <v>314.87</v>
      </c>
      <c r="Z449" s="7" t="str">
        <f t="shared" si="79"/>
        <v>Low</v>
      </c>
      <c r="AA449" s="13">
        <v>0.29299999999999998</v>
      </c>
      <c r="AB449" s="13">
        <f t="shared" si="80"/>
        <v>0.29299999999999998</v>
      </c>
      <c r="AC449" s="13" t="str">
        <f t="shared" si="81"/>
        <v>OK</v>
      </c>
      <c r="AD449" s="7">
        <v>25</v>
      </c>
      <c r="AE449" s="7">
        <f>Y449*AD449*(1-AB449)</f>
        <v>5565.3272500000003</v>
      </c>
      <c r="AF449" s="7">
        <f>W449*AD449</f>
        <v>4865</v>
      </c>
      <c r="AG449" s="7">
        <f t="shared" si="82"/>
        <v>700.32725000000028</v>
      </c>
      <c r="AH449" s="13">
        <f t="shared" si="83"/>
        <v>0.1258375686712763</v>
      </c>
    </row>
    <row r="450" spans="1:34" x14ac:dyDescent="0.35">
      <c r="A450" s="2" t="s">
        <v>462</v>
      </c>
      <c r="B450" s="5">
        <v>45446</v>
      </c>
      <c r="C450" s="5">
        <f>IF(H450&lt;B450,H450,B450)</f>
        <v>45446</v>
      </c>
      <c r="D450" s="5" t="str">
        <f t="shared" si="72"/>
        <v>Jun-2024</v>
      </c>
      <c r="E450" s="5" t="str">
        <f t="shared" si="73"/>
        <v>Jun</v>
      </c>
      <c r="F450" s="5" t="str">
        <f t="shared" si="74"/>
        <v>2024</v>
      </c>
      <c r="G450" s="5" t="str">
        <f t="shared" si="75"/>
        <v>Q2-2024</v>
      </c>
      <c r="H450" s="5">
        <v>45467</v>
      </c>
      <c r="I450" s="5">
        <f>IF(H450&lt;B450, B450+7, H450)</f>
        <v>45467</v>
      </c>
      <c r="J450" s="5" t="str">
        <f>IF(H450&lt;B450, "Invalid","Okay")</f>
        <v>Okay</v>
      </c>
      <c r="K450" s="16">
        <f>I450-C450</f>
        <v>21</v>
      </c>
      <c r="L450" s="16" t="str">
        <f t="shared" si="76"/>
        <v>Target Not Met</v>
      </c>
      <c r="M450" s="2" t="s">
        <v>648</v>
      </c>
      <c r="N450" s="2" t="s">
        <v>653</v>
      </c>
      <c r="O450" s="2" t="s">
        <v>667</v>
      </c>
      <c r="P450" s="29" t="str">
        <f t="shared" si="77"/>
        <v>Americas→Canada→Toronto</v>
      </c>
      <c r="Q450" s="2" t="s">
        <v>705</v>
      </c>
      <c r="R450" s="2" t="s">
        <v>711</v>
      </c>
      <c r="S450" s="2" t="s">
        <v>715</v>
      </c>
      <c r="T450" s="2" t="s">
        <v>732</v>
      </c>
      <c r="U450" t="e">
        <f>(AE450/#REF!)*100</f>
        <v>#REF!</v>
      </c>
      <c r="V450" s="2" t="s">
        <v>1181</v>
      </c>
      <c r="W450" s="7">
        <v>1205.5</v>
      </c>
      <c r="X450" s="7">
        <v>2210.17</v>
      </c>
      <c r="Y450" s="7">
        <f t="shared" si="78"/>
        <v>2210.17</v>
      </c>
      <c r="Z450" s="7" t="str">
        <f t="shared" si="79"/>
        <v>High</v>
      </c>
      <c r="AA450" s="13">
        <v>0.104</v>
      </c>
      <c r="AB450" s="13">
        <f t="shared" si="80"/>
        <v>0.104</v>
      </c>
      <c r="AC450" s="13" t="str">
        <f t="shared" si="81"/>
        <v>OK</v>
      </c>
      <c r="AD450" s="7">
        <v>23</v>
      </c>
      <c r="AE450" s="7">
        <f>Y450*AD450*(1-AB450)</f>
        <v>45547.183360000003</v>
      </c>
      <c r="AF450" s="7">
        <f>W450*AD450</f>
        <v>27726.5</v>
      </c>
      <c r="AG450" s="7">
        <f t="shared" si="82"/>
        <v>17820.683360000003</v>
      </c>
      <c r="AH450" s="13">
        <f t="shared" si="83"/>
        <v>0.39125763758314652</v>
      </c>
    </row>
    <row r="451" spans="1:34" x14ac:dyDescent="0.35">
      <c r="A451" s="2" t="s">
        <v>463</v>
      </c>
      <c r="B451" s="5">
        <v>45454</v>
      </c>
      <c r="C451" s="5">
        <f>IF(H451&lt;B451,H451,B451)</f>
        <v>45454</v>
      </c>
      <c r="D451" s="5" t="str">
        <f t="shared" ref="D451:D514" si="84">TEXT(B451,"MMM-YYYY")</f>
        <v>Jun-2024</v>
      </c>
      <c r="E451" s="5" t="str">
        <f t="shared" ref="E451:E514" si="85">TEXT(C451,"MMM")</f>
        <v>Jun</v>
      </c>
      <c r="F451" s="5" t="str">
        <f t="shared" ref="F451:F514" si="86">TEXT(C451,"YYYY")</f>
        <v>2024</v>
      </c>
      <c r="G451" s="5" t="str">
        <f t="shared" ref="G451:G514" si="87">IF(MONTH(D451)&lt;=3,"Q1",IF(MONTH(D451)&lt;=6,"Q2",IF(MONTH(D451)&lt;=9,"Q3","Q4")))&amp;"-"&amp;YEAR(C451)</f>
        <v>Q2-2024</v>
      </c>
      <c r="H451" s="5">
        <v>45482</v>
      </c>
      <c r="I451" s="5">
        <f>IF(H451&lt;B451, B451+7, H451)</f>
        <v>45482</v>
      </c>
      <c r="J451" s="5" t="str">
        <f>IF(H451&lt;B451, "Invalid","Okay")</f>
        <v>Okay</v>
      </c>
      <c r="K451" s="16">
        <f>I451-C451</f>
        <v>28</v>
      </c>
      <c r="L451" s="16" t="str">
        <f t="shared" ref="L451:L514" si="88">IF(K451&lt;=7,"Target Met","Target Not Met")</f>
        <v>Target Not Met</v>
      </c>
      <c r="M451" s="2" t="s">
        <v>646</v>
      </c>
      <c r="N451" s="2" t="s">
        <v>651</v>
      </c>
      <c r="O451" s="2" t="s">
        <v>663</v>
      </c>
      <c r="P451" s="29" t="str">
        <f t="shared" ref="P451:P514" si="89">_xlfn.CONCAT(M451,"→",N451,"→",O451)</f>
        <v>Africa→Nigeria→Port Harcourt</v>
      </c>
      <c r="Q451" s="2" t="s">
        <v>701</v>
      </c>
      <c r="R451" s="2" t="s">
        <v>709</v>
      </c>
      <c r="S451" s="2" t="s">
        <v>714</v>
      </c>
      <c r="T451" s="2" t="s">
        <v>730</v>
      </c>
      <c r="U451" t="e">
        <f>(AE451/#REF!)*100</f>
        <v>#REF!</v>
      </c>
      <c r="V451" s="2" t="s">
        <v>1182</v>
      </c>
      <c r="W451" s="7">
        <v>895.54</v>
      </c>
      <c r="X451" s="7">
        <v>1045</v>
      </c>
      <c r="Y451" s="7">
        <f t="shared" ref="Y451:Y514" si="90">ABS(X451)</f>
        <v>1045</v>
      </c>
      <c r="Z451" s="7" t="str">
        <f t="shared" ref="Z451:Z514" si="91">IF(Y451&lt;1193.97,"Low",IF(Y451&lt;1912.05,"Medium","High"))</f>
        <v>Low</v>
      </c>
      <c r="AA451" s="13">
        <v>0.216</v>
      </c>
      <c r="AB451" s="13">
        <f t="shared" ref="AB451:AB514" si="92">IF(AA451&gt;30%,"12.14%", AA451)</f>
        <v>0.216</v>
      </c>
      <c r="AC451" s="13" t="str">
        <f t="shared" ref="AC451:AC514" si="93">IF(AA451&gt;30%, "High", "OK")</f>
        <v>OK</v>
      </c>
      <c r="AD451" s="7">
        <v>15</v>
      </c>
      <c r="AE451" s="7">
        <f>Y451*AD451*(1-AB451)</f>
        <v>12289.2</v>
      </c>
      <c r="AF451" s="7">
        <f>W451*AD451</f>
        <v>13433.099999999999</v>
      </c>
      <c r="AG451" s="7">
        <f t="shared" ref="AG451:AG514" si="94">AE451-AF451</f>
        <v>-1143.8999999999978</v>
      </c>
      <c r="AH451" s="13">
        <f t="shared" ref="AH451:AH514" si="95">IF(AE451=0,0,AG451/AE451)</f>
        <v>-9.3081730299775234E-2</v>
      </c>
    </row>
    <row r="452" spans="1:34" x14ac:dyDescent="0.35">
      <c r="A452" s="2" t="s">
        <v>464</v>
      </c>
      <c r="B452" s="5">
        <v>45129</v>
      </c>
      <c r="C452" s="5">
        <f>IF(H452&lt;B452,H452,B452)</f>
        <v>45128</v>
      </c>
      <c r="D452" s="5" t="str">
        <f t="shared" si="84"/>
        <v>Jul-2023</v>
      </c>
      <c r="E452" s="5" t="str">
        <f t="shared" si="85"/>
        <v>Jul</v>
      </c>
      <c r="F452" s="5" t="str">
        <f t="shared" si="86"/>
        <v>2023</v>
      </c>
      <c r="G452" s="5" t="str">
        <f t="shared" si="87"/>
        <v>Q3-2023</v>
      </c>
      <c r="H452" s="5">
        <v>45128</v>
      </c>
      <c r="I452" s="5">
        <f>IF(H452&lt;B452, B452+7, H452)</f>
        <v>45136</v>
      </c>
      <c r="J452" s="5" t="str">
        <f>IF(H452&lt;B452, "Invalid","Okay")</f>
        <v>Invalid</v>
      </c>
      <c r="K452" s="16">
        <f>I452-C452</f>
        <v>8</v>
      </c>
      <c r="L452" s="16" t="str">
        <f t="shared" si="88"/>
        <v>Target Not Met</v>
      </c>
      <c r="M452" s="2" t="s">
        <v>647</v>
      </c>
      <c r="N452" s="2" t="s">
        <v>654</v>
      </c>
      <c r="O452" s="2" t="s">
        <v>680</v>
      </c>
      <c r="P452" s="29" t="str">
        <f t="shared" si="89"/>
        <v>Asia→India→Delhi</v>
      </c>
      <c r="Q452" s="2" t="s">
        <v>705</v>
      </c>
      <c r="R452" s="2" t="s">
        <v>710</v>
      </c>
      <c r="S452" s="2" t="s">
        <v>718</v>
      </c>
      <c r="T452" s="2" t="s">
        <v>728</v>
      </c>
      <c r="U452" t="e">
        <f>(AE452/#REF!)*100</f>
        <v>#REF!</v>
      </c>
      <c r="V452" s="2" t="s">
        <v>1183</v>
      </c>
      <c r="W452" s="7">
        <v>946.99</v>
      </c>
      <c r="X452" s="7">
        <v>2132.19</v>
      </c>
      <c r="Y452" s="7">
        <f t="shared" si="90"/>
        <v>2132.19</v>
      </c>
      <c r="Z452" s="7" t="str">
        <f t="shared" si="91"/>
        <v>High</v>
      </c>
      <c r="AA452" s="13">
        <v>0.16500000000000001</v>
      </c>
      <c r="AB452" s="13">
        <f t="shared" si="92"/>
        <v>0.16500000000000001</v>
      </c>
      <c r="AC452" s="13" t="str">
        <f t="shared" si="93"/>
        <v>OK</v>
      </c>
      <c r="AD452" s="7">
        <v>7</v>
      </c>
      <c r="AE452" s="7">
        <f>Y452*AD452*(1-AB452)</f>
        <v>12462.65055</v>
      </c>
      <c r="AF452" s="7">
        <f>W452*AD452</f>
        <v>6628.93</v>
      </c>
      <c r="AG452" s="7">
        <f t="shared" si="94"/>
        <v>5833.72055</v>
      </c>
      <c r="AH452" s="13">
        <f t="shared" si="95"/>
        <v>0.46809629513362228</v>
      </c>
    </row>
    <row r="453" spans="1:34" x14ac:dyDescent="0.35">
      <c r="A453" s="2" t="s">
        <v>465</v>
      </c>
      <c r="B453" s="5">
        <v>44945</v>
      </c>
      <c r="C453" s="5">
        <f>IF(H453&lt;B453,H453,B453)</f>
        <v>44945</v>
      </c>
      <c r="D453" s="5" t="str">
        <f t="shared" si="84"/>
        <v>Jan-2023</v>
      </c>
      <c r="E453" s="5" t="str">
        <f t="shared" si="85"/>
        <v>Jan</v>
      </c>
      <c r="F453" s="5" t="str">
        <f t="shared" si="86"/>
        <v>2023</v>
      </c>
      <c r="G453" s="5" t="str">
        <f t="shared" si="87"/>
        <v>Q1-2023</v>
      </c>
      <c r="H453" s="5">
        <v>44960</v>
      </c>
      <c r="I453" s="5">
        <f>IF(H453&lt;B453, B453+7, H453)</f>
        <v>44960</v>
      </c>
      <c r="J453" s="5" t="str">
        <f>IF(H453&lt;B453, "Invalid","Okay")</f>
        <v>Okay</v>
      </c>
      <c r="K453" s="16">
        <f>I453-C453</f>
        <v>15</v>
      </c>
      <c r="L453" s="16" t="str">
        <f t="shared" si="88"/>
        <v>Target Not Met</v>
      </c>
      <c r="M453" s="2" t="s">
        <v>649</v>
      </c>
      <c r="N453" s="2" t="s">
        <v>658</v>
      </c>
      <c r="O453" s="2" t="s">
        <v>683</v>
      </c>
      <c r="P453" s="29" t="str">
        <f t="shared" si="89"/>
        <v>Europe→United Kingdom→London</v>
      </c>
      <c r="Q453" s="2" t="s">
        <v>706</v>
      </c>
      <c r="R453" s="2" t="s">
        <v>710</v>
      </c>
      <c r="S453" s="2" t="s">
        <v>715</v>
      </c>
      <c r="T453" s="2" t="s">
        <v>733</v>
      </c>
      <c r="U453" t="e">
        <f>(AE453/#REF!)*100</f>
        <v>#REF!</v>
      </c>
      <c r="V453" s="2" t="s">
        <v>1184</v>
      </c>
      <c r="W453" s="7">
        <v>873.06</v>
      </c>
      <c r="X453" s="7">
        <v>2101.5500000000002</v>
      </c>
      <c r="Y453" s="7">
        <f t="shared" si="90"/>
        <v>2101.5500000000002</v>
      </c>
      <c r="Z453" s="7" t="str">
        <f t="shared" si="91"/>
        <v>High</v>
      </c>
      <c r="AA453" s="13">
        <v>6.6000000000000003E-2</v>
      </c>
      <c r="AB453" s="13">
        <f t="shared" si="92"/>
        <v>6.6000000000000003E-2</v>
      </c>
      <c r="AC453" s="13" t="str">
        <f t="shared" si="93"/>
        <v>OK</v>
      </c>
      <c r="AD453" s="7">
        <v>10</v>
      </c>
      <c r="AE453" s="7">
        <f>Y453*AD453*(1-AB453)</f>
        <v>19628.476999999999</v>
      </c>
      <c r="AF453" s="7">
        <f>W453*AD453</f>
        <v>8730.5999999999985</v>
      </c>
      <c r="AG453" s="7">
        <f t="shared" si="94"/>
        <v>10897.877</v>
      </c>
      <c r="AH453" s="13">
        <f t="shared" si="95"/>
        <v>0.55520746719167269</v>
      </c>
    </row>
    <row r="454" spans="1:34" x14ac:dyDescent="0.35">
      <c r="A454" s="2" t="s">
        <v>466</v>
      </c>
      <c r="B454" s="5">
        <v>45413</v>
      </c>
      <c r="C454" s="5">
        <f>IF(H454&lt;B454,H454,B454)</f>
        <v>45413</v>
      </c>
      <c r="D454" s="5" t="str">
        <f t="shared" si="84"/>
        <v>May-2024</v>
      </c>
      <c r="E454" s="5" t="str">
        <f t="shared" si="85"/>
        <v>May</v>
      </c>
      <c r="F454" s="5" t="str">
        <f t="shared" si="86"/>
        <v>2024</v>
      </c>
      <c r="G454" s="5" t="str">
        <f t="shared" si="87"/>
        <v>Q2-2024</v>
      </c>
      <c r="H454" s="5">
        <v>45428</v>
      </c>
      <c r="I454" s="5">
        <f>IF(H454&lt;B454, B454+7, H454)</f>
        <v>45428</v>
      </c>
      <c r="J454" s="5" t="str">
        <f>IF(H454&lt;B454, "Invalid","Okay")</f>
        <v>Okay</v>
      </c>
      <c r="K454" s="16">
        <f>I454-C454</f>
        <v>15</v>
      </c>
      <c r="L454" s="16" t="str">
        <f t="shared" si="88"/>
        <v>Target Not Met</v>
      </c>
      <c r="M454" s="2" t="s">
        <v>647</v>
      </c>
      <c r="N454" s="2" t="s">
        <v>654</v>
      </c>
      <c r="O454" s="2" t="s">
        <v>668</v>
      </c>
      <c r="P454" s="29" t="str">
        <f t="shared" si="89"/>
        <v>Asia→India→Bengaluru</v>
      </c>
      <c r="Q454" s="2" t="s">
        <v>705</v>
      </c>
      <c r="R454" s="2" t="s">
        <v>707</v>
      </c>
      <c r="S454" s="2" t="s">
        <v>716</v>
      </c>
      <c r="T454" s="2" t="s">
        <v>727</v>
      </c>
      <c r="U454" t="e">
        <f>(AE454/#REF!)*100</f>
        <v>#REF!</v>
      </c>
      <c r="V454" s="2" t="s">
        <v>1185</v>
      </c>
      <c r="W454" s="7">
        <v>901.19</v>
      </c>
      <c r="X454" s="7">
        <v>2125.44</v>
      </c>
      <c r="Y454" s="7">
        <f t="shared" si="90"/>
        <v>2125.44</v>
      </c>
      <c r="Z454" s="7" t="str">
        <f t="shared" si="91"/>
        <v>High</v>
      </c>
      <c r="AA454" s="13">
        <v>7.0999999999999994E-2</v>
      </c>
      <c r="AB454" s="13">
        <f t="shared" si="92"/>
        <v>7.0999999999999994E-2</v>
      </c>
      <c r="AC454" s="13" t="str">
        <f t="shared" si="93"/>
        <v>OK</v>
      </c>
      <c r="AD454" s="7">
        <v>12</v>
      </c>
      <c r="AE454" s="7">
        <f>Y454*AD454*(1-AB454)</f>
        <v>23694.405119999999</v>
      </c>
      <c r="AF454" s="7">
        <f>W454*AD454</f>
        <v>10814.28</v>
      </c>
      <c r="AG454" s="7">
        <f t="shared" si="94"/>
        <v>12880.125119999999</v>
      </c>
      <c r="AH454" s="13">
        <f t="shared" si="95"/>
        <v>0.54359352154100415</v>
      </c>
    </row>
    <row r="455" spans="1:34" x14ac:dyDescent="0.35">
      <c r="A455" s="2" t="s">
        <v>467</v>
      </c>
      <c r="B455" s="5">
        <v>45817</v>
      </c>
      <c r="C455" s="5">
        <f>IF(H455&lt;B455,H455,B455)</f>
        <v>45817</v>
      </c>
      <c r="D455" s="5" t="str">
        <f t="shared" si="84"/>
        <v>Jun-2025</v>
      </c>
      <c r="E455" s="5" t="str">
        <f t="shared" si="85"/>
        <v>Jun</v>
      </c>
      <c r="F455" s="5" t="str">
        <f t="shared" si="86"/>
        <v>2025</v>
      </c>
      <c r="G455" s="5" t="str">
        <f t="shared" si="87"/>
        <v>Q2-2025</v>
      </c>
      <c r="H455" s="5">
        <v>45832</v>
      </c>
      <c r="I455" s="5">
        <f>IF(H455&lt;B455, B455+7, H455)</f>
        <v>45832</v>
      </c>
      <c r="J455" s="5" t="str">
        <f>IF(H455&lt;B455, "Invalid","Okay")</f>
        <v>Okay</v>
      </c>
      <c r="K455" s="16">
        <f>I455-C455</f>
        <v>15</v>
      </c>
      <c r="L455" s="16" t="str">
        <f t="shared" si="88"/>
        <v>Target Not Met</v>
      </c>
      <c r="M455" s="2" t="s">
        <v>647</v>
      </c>
      <c r="N455" s="2" t="s">
        <v>652</v>
      </c>
      <c r="O455" s="2" t="s">
        <v>694</v>
      </c>
      <c r="P455" s="29" t="str">
        <f t="shared" si="89"/>
        <v>Asia→Japan→Nagoya</v>
      </c>
      <c r="Q455" s="2" t="s">
        <v>701</v>
      </c>
      <c r="R455" s="2" t="s">
        <v>711</v>
      </c>
      <c r="S455" s="2" t="s">
        <v>717</v>
      </c>
      <c r="T455" s="2" t="s">
        <v>730</v>
      </c>
      <c r="U455" t="e">
        <f>(AE455/#REF!)*100</f>
        <v>#REF!</v>
      </c>
      <c r="V455" s="2" t="s">
        <v>1186</v>
      </c>
      <c r="W455" s="7">
        <v>400.39</v>
      </c>
      <c r="X455" s="7">
        <v>712.75</v>
      </c>
      <c r="Y455" s="7">
        <f t="shared" si="90"/>
        <v>712.75</v>
      </c>
      <c r="Z455" s="7" t="str">
        <f t="shared" si="91"/>
        <v>Low</v>
      </c>
      <c r="AA455" s="13">
        <v>0.115</v>
      </c>
      <c r="AB455" s="13">
        <f t="shared" si="92"/>
        <v>0.115</v>
      </c>
      <c r="AC455" s="13" t="str">
        <f t="shared" si="93"/>
        <v>OK</v>
      </c>
      <c r="AD455" s="7">
        <v>19</v>
      </c>
      <c r="AE455" s="7">
        <f>Y455*AD455*(1-AB455)</f>
        <v>11984.891250000001</v>
      </c>
      <c r="AF455" s="7">
        <f>W455*AD455</f>
        <v>7607.41</v>
      </c>
      <c r="AG455" s="7">
        <f t="shared" si="94"/>
        <v>4377.4812500000007</v>
      </c>
      <c r="AH455" s="13">
        <f t="shared" si="95"/>
        <v>0.36524997671547504</v>
      </c>
    </row>
    <row r="456" spans="1:34" x14ac:dyDescent="0.35">
      <c r="A456" s="2" t="s">
        <v>468</v>
      </c>
      <c r="B456" s="5">
        <v>45070</v>
      </c>
      <c r="C456" s="5">
        <f>IF(H456&lt;B456,H456,B456)</f>
        <v>45070</v>
      </c>
      <c r="D456" s="5" t="str">
        <f t="shared" si="84"/>
        <v>May-2023</v>
      </c>
      <c r="E456" s="5" t="str">
        <f t="shared" si="85"/>
        <v>May</v>
      </c>
      <c r="F456" s="5" t="str">
        <f t="shared" si="86"/>
        <v>2023</v>
      </c>
      <c r="G456" s="5" t="str">
        <f t="shared" si="87"/>
        <v>Q2-2023</v>
      </c>
      <c r="H456" s="5">
        <v>45098</v>
      </c>
      <c r="I456" s="5">
        <f>IF(H456&lt;B456, B456+7, H456)</f>
        <v>45098</v>
      </c>
      <c r="J456" s="5" t="str">
        <f>IF(H456&lt;B456, "Invalid","Okay")</f>
        <v>Okay</v>
      </c>
      <c r="K456" s="16">
        <f>I456-C456</f>
        <v>28</v>
      </c>
      <c r="L456" s="16" t="str">
        <f t="shared" si="88"/>
        <v>Target Not Met</v>
      </c>
      <c r="M456" s="2" t="s">
        <v>648</v>
      </c>
      <c r="N456" s="2" t="s">
        <v>660</v>
      </c>
      <c r="O456" s="2" t="s">
        <v>697</v>
      </c>
      <c r="P456" s="29" t="str">
        <f t="shared" si="89"/>
        <v>Americas→USA→Austin</v>
      </c>
      <c r="Q456" s="2" t="s">
        <v>705</v>
      </c>
      <c r="R456" s="2" t="s">
        <v>709</v>
      </c>
      <c r="S456" s="2" t="s">
        <v>715</v>
      </c>
      <c r="T456" s="2" t="s">
        <v>732</v>
      </c>
      <c r="U456" t="e">
        <f>(AE456/#REF!)*100</f>
        <v>#REF!</v>
      </c>
      <c r="V456" s="2" t="s">
        <v>1187</v>
      </c>
      <c r="W456" s="7">
        <v>813.97</v>
      </c>
      <c r="X456" s="7">
        <v>1568.83</v>
      </c>
      <c r="Y456" s="7">
        <f t="shared" si="90"/>
        <v>1568.83</v>
      </c>
      <c r="Z456" s="7" t="str">
        <f t="shared" si="91"/>
        <v>Medium</v>
      </c>
      <c r="AA456" s="13">
        <v>1.7000000000000001E-2</v>
      </c>
      <c r="AB456" s="13">
        <f t="shared" si="92"/>
        <v>1.7000000000000001E-2</v>
      </c>
      <c r="AC456" s="13" t="str">
        <f t="shared" si="93"/>
        <v>OK</v>
      </c>
      <c r="AD456" s="7">
        <v>15</v>
      </c>
      <c r="AE456" s="7">
        <f>Y456*AD456*(1-AB456)</f>
        <v>23132.398349999996</v>
      </c>
      <c r="AF456" s="7">
        <f>W456*AD456</f>
        <v>12209.550000000001</v>
      </c>
      <c r="AG456" s="7">
        <f t="shared" si="94"/>
        <v>10922.848349999995</v>
      </c>
      <c r="AH456" s="13">
        <f t="shared" si="95"/>
        <v>0.4721883215364911</v>
      </c>
    </row>
    <row r="457" spans="1:34" x14ac:dyDescent="0.35">
      <c r="A457" s="2" t="s">
        <v>469</v>
      </c>
      <c r="B457" s="5">
        <v>45653</v>
      </c>
      <c r="C457" s="5">
        <f>IF(H457&lt;B457,H457,B457)</f>
        <v>45653</v>
      </c>
      <c r="D457" s="5" t="str">
        <f t="shared" si="84"/>
        <v>Dec-2024</v>
      </c>
      <c r="E457" s="5" t="str">
        <f t="shared" si="85"/>
        <v>Dec</v>
      </c>
      <c r="F457" s="5" t="str">
        <f t="shared" si="86"/>
        <v>2024</v>
      </c>
      <c r="G457" s="5" t="str">
        <f t="shared" si="87"/>
        <v>Q4-2024</v>
      </c>
      <c r="H457" s="5">
        <v>45655</v>
      </c>
      <c r="I457" s="5">
        <f>IF(H457&lt;B457, B457+7, H457)</f>
        <v>45655</v>
      </c>
      <c r="J457" s="5" t="str">
        <f>IF(H457&lt;B457, "Invalid","Okay")</f>
        <v>Okay</v>
      </c>
      <c r="K457" s="16">
        <f>I457-C457</f>
        <v>2</v>
      </c>
      <c r="L457" s="16" t="str">
        <f t="shared" si="88"/>
        <v>Target Met</v>
      </c>
      <c r="M457" s="2" t="s">
        <v>648</v>
      </c>
      <c r="N457" s="2" t="s">
        <v>653</v>
      </c>
      <c r="O457" s="2" t="s">
        <v>688</v>
      </c>
      <c r="P457" s="29" t="str">
        <f t="shared" si="89"/>
        <v>Americas→Canada→Vancouver</v>
      </c>
      <c r="Q457" s="2" t="s">
        <v>706</v>
      </c>
      <c r="R457" s="2" t="s">
        <v>709</v>
      </c>
      <c r="S457" s="2" t="s">
        <v>712</v>
      </c>
      <c r="T457" s="2" t="s">
        <v>733</v>
      </c>
      <c r="U457" t="e">
        <f>(AE457/#REF!)*100</f>
        <v>#REF!</v>
      </c>
      <c r="V457" s="2" t="s">
        <v>1188</v>
      </c>
      <c r="W457" s="7">
        <v>1146.72</v>
      </c>
      <c r="X457" s="7">
        <v>2074.34</v>
      </c>
      <c r="Y457" s="7">
        <f t="shared" si="90"/>
        <v>2074.34</v>
      </c>
      <c r="Z457" s="7" t="str">
        <f t="shared" si="91"/>
        <v>High</v>
      </c>
      <c r="AA457" s="13">
        <v>0.111</v>
      </c>
      <c r="AB457" s="13">
        <f t="shared" si="92"/>
        <v>0.111</v>
      </c>
      <c r="AC457" s="13" t="str">
        <f t="shared" si="93"/>
        <v>OK</v>
      </c>
      <c r="AD457" s="7">
        <v>8</v>
      </c>
      <c r="AE457" s="7">
        <f>Y457*AD457*(1-AB457)</f>
        <v>14752.706080000002</v>
      </c>
      <c r="AF457" s="7">
        <f>W457*AD457</f>
        <v>9173.76</v>
      </c>
      <c r="AG457" s="7">
        <f t="shared" si="94"/>
        <v>5578.9460800000015</v>
      </c>
      <c r="AH457" s="13">
        <f t="shared" si="95"/>
        <v>0.37816425337472737</v>
      </c>
    </row>
    <row r="458" spans="1:34" x14ac:dyDescent="0.35">
      <c r="A458" s="2" t="s">
        <v>470</v>
      </c>
      <c r="B458" s="5">
        <v>45265</v>
      </c>
      <c r="C458" s="5">
        <f>IF(H458&lt;B458,H458,B458)</f>
        <v>45265</v>
      </c>
      <c r="D458" s="5" t="str">
        <f t="shared" si="84"/>
        <v>Dec-2023</v>
      </c>
      <c r="E458" s="5" t="str">
        <f t="shared" si="85"/>
        <v>Dec</v>
      </c>
      <c r="F458" s="5" t="str">
        <f t="shared" si="86"/>
        <v>2023</v>
      </c>
      <c r="G458" s="5" t="str">
        <f t="shared" si="87"/>
        <v>Q4-2023</v>
      </c>
      <c r="H458" s="5">
        <v>45272</v>
      </c>
      <c r="I458" s="5">
        <f>IF(H458&lt;B458, B458+7, H458)</f>
        <v>45272</v>
      </c>
      <c r="J458" s="5" t="str">
        <f>IF(H458&lt;B458, "Invalid","Okay")</f>
        <v>Okay</v>
      </c>
      <c r="K458" s="16">
        <f>I458-C458</f>
        <v>7</v>
      </c>
      <c r="L458" s="16" t="str">
        <f t="shared" si="88"/>
        <v>Target Met</v>
      </c>
      <c r="M458" s="2" t="s">
        <v>648</v>
      </c>
      <c r="N458" s="2" t="s">
        <v>655</v>
      </c>
      <c r="O458" s="2" t="s">
        <v>672</v>
      </c>
      <c r="P458" s="29" t="str">
        <f t="shared" si="89"/>
        <v>Americas→Brazil→Brasília</v>
      </c>
      <c r="Q458" s="2" t="s">
        <v>701</v>
      </c>
      <c r="R458" s="2" t="s">
        <v>711</v>
      </c>
      <c r="S458" s="2" t="s">
        <v>721</v>
      </c>
      <c r="T458" s="2" t="s">
        <v>730</v>
      </c>
      <c r="U458" t="e">
        <f>(AE458/#REF!)*100</f>
        <v>#REF!</v>
      </c>
      <c r="V458" s="2" t="s">
        <v>1189</v>
      </c>
      <c r="W458" s="7">
        <v>307.43</v>
      </c>
      <c r="X458" s="7">
        <v>495.19</v>
      </c>
      <c r="Y458" s="7">
        <f t="shared" si="90"/>
        <v>495.19</v>
      </c>
      <c r="Z458" s="7" t="str">
        <f t="shared" si="91"/>
        <v>Low</v>
      </c>
      <c r="AA458" s="13">
        <v>0</v>
      </c>
      <c r="AB458" s="13">
        <f t="shared" si="92"/>
        <v>0</v>
      </c>
      <c r="AC458" s="13" t="str">
        <f t="shared" si="93"/>
        <v>OK</v>
      </c>
      <c r="AD458" s="7">
        <v>42</v>
      </c>
      <c r="AE458" s="7">
        <f>Y458*AD458*(1-AB458)</f>
        <v>20797.98</v>
      </c>
      <c r="AF458" s="7">
        <f>W458*AD458</f>
        <v>12912.06</v>
      </c>
      <c r="AG458" s="7">
        <f t="shared" si="94"/>
        <v>7885.92</v>
      </c>
      <c r="AH458" s="13">
        <f t="shared" si="95"/>
        <v>0.37916759223732305</v>
      </c>
    </row>
    <row r="459" spans="1:34" x14ac:dyDescent="0.35">
      <c r="A459" s="2" t="s">
        <v>471</v>
      </c>
      <c r="B459" s="5">
        <v>45048</v>
      </c>
      <c r="C459" s="5">
        <f>IF(H459&lt;B459,H459,B459)</f>
        <v>45048</v>
      </c>
      <c r="D459" s="5" t="str">
        <f t="shared" si="84"/>
        <v>May-2023</v>
      </c>
      <c r="E459" s="5" t="str">
        <f t="shared" si="85"/>
        <v>May</v>
      </c>
      <c r="F459" s="5" t="str">
        <f t="shared" si="86"/>
        <v>2023</v>
      </c>
      <c r="G459" s="5" t="str">
        <f t="shared" si="87"/>
        <v>Q2-2023</v>
      </c>
      <c r="H459" s="5">
        <v>45065</v>
      </c>
      <c r="I459" s="5">
        <f>IF(H459&lt;B459, B459+7, H459)</f>
        <v>45065</v>
      </c>
      <c r="J459" s="5" t="str">
        <f>IF(H459&lt;B459, "Invalid","Okay")</f>
        <v>Okay</v>
      </c>
      <c r="K459" s="16">
        <f>I459-C459</f>
        <v>17</v>
      </c>
      <c r="L459" s="16" t="str">
        <f t="shared" si="88"/>
        <v>Target Not Met</v>
      </c>
      <c r="M459" s="2" t="s">
        <v>647</v>
      </c>
      <c r="N459" s="2" t="s">
        <v>659</v>
      </c>
      <c r="O459" s="2" t="s">
        <v>685</v>
      </c>
      <c r="P459" s="29" t="str">
        <f t="shared" si="89"/>
        <v>Asia→China→Shanghai</v>
      </c>
      <c r="Q459" s="2" t="s">
        <v>703</v>
      </c>
      <c r="R459" s="2" t="s">
        <v>711</v>
      </c>
      <c r="S459" s="2" t="s">
        <v>713</v>
      </c>
      <c r="T459" s="2" t="s">
        <v>732</v>
      </c>
      <c r="U459" t="e">
        <f>(AE459/#REF!)*100</f>
        <v>#REF!</v>
      </c>
      <c r="V459" s="2" t="s">
        <v>1190</v>
      </c>
      <c r="W459" s="7">
        <v>714.28</v>
      </c>
      <c r="X459" s="7">
        <v>757.59</v>
      </c>
      <c r="Y459" s="7">
        <f t="shared" si="90"/>
        <v>757.59</v>
      </c>
      <c r="Z459" s="7" t="str">
        <f t="shared" si="91"/>
        <v>Low</v>
      </c>
      <c r="AA459" s="13">
        <v>0.13600000000000001</v>
      </c>
      <c r="AB459" s="13">
        <f t="shared" si="92"/>
        <v>0.13600000000000001</v>
      </c>
      <c r="AC459" s="13" t="str">
        <f t="shared" si="93"/>
        <v>OK</v>
      </c>
      <c r="AD459" s="7">
        <v>12</v>
      </c>
      <c r="AE459" s="7">
        <f>Y459*AD459*(1-AB459)</f>
        <v>7854.6931199999999</v>
      </c>
      <c r="AF459" s="7">
        <f>W459*AD459</f>
        <v>8571.36</v>
      </c>
      <c r="AG459" s="7">
        <f t="shared" si="94"/>
        <v>-716.66688000000067</v>
      </c>
      <c r="AH459" s="13">
        <f t="shared" si="95"/>
        <v>-9.1240595787910383E-2</v>
      </c>
    </row>
    <row r="460" spans="1:34" x14ac:dyDescent="0.35">
      <c r="A460" s="2" t="s">
        <v>472</v>
      </c>
      <c r="B460" s="5">
        <v>45260</v>
      </c>
      <c r="C460" s="5">
        <f>IF(H460&lt;B460,H460,B460)</f>
        <v>45260</v>
      </c>
      <c r="D460" s="5" t="str">
        <f t="shared" si="84"/>
        <v>Nov-2023</v>
      </c>
      <c r="E460" s="5" t="str">
        <f t="shared" si="85"/>
        <v>Nov</v>
      </c>
      <c r="F460" s="5" t="str">
        <f t="shared" si="86"/>
        <v>2023</v>
      </c>
      <c r="G460" s="5" t="str">
        <f t="shared" si="87"/>
        <v>Q4-2023</v>
      </c>
      <c r="H460" s="5">
        <v>45270</v>
      </c>
      <c r="I460" s="5">
        <f>IF(H460&lt;B460, B460+7, H460)</f>
        <v>45270</v>
      </c>
      <c r="J460" s="5" t="str">
        <f>IF(H460&lt;B460, "Invalid","Okay")</f>
        <v>Okay</v>
      </c>
      <c r="K460" s="16">
        <f>I460-C460</f>
        <v>10</v>
      </c>
      <c r="L460" s="16" t="str">
        <f t="shared" si="88"/>
        <v>Target Not Met</v>
      </c>
      <c r="M460" s="2" t="s">
        <v>649</v>
      </c>
      <c r="N460" s="2" t="s">
        <v>656</v>
      </c>
      <c r="O460" s="2" t="s">
        <v>684</v>
      </c>
      <c r="P460" s="29" t="str">
        <f t="shared" si="89"/>
        <v>Europe→Germany→Munich</v>
      </c>
      <c r="Q460" s="2" t="s">
        <v>705</v>
      </c>
      <c r="R460" s="2" t="s">
        <v>711</v>
      </c>
      <c r="S460" s="2" t="s">
        <v>721</v>
      </c>
      <c r="T460" s="2" t="s">
        <v>731</v>
      </c>
      <c r="U460" t="e">
        <f>(AE460/#REF!)*100</f>
        <v>#REF!</v>
      </c>
      <c r="V460" s="2" t="s">
        <v>1191</v>
      </c>
      <c r="W460" s="7">
        <v>174.74</v>
      </c>
      <c r="X460" s="7">
        <v>415.96</v>
      </c>
      <c r="Y460" s="7">
        <f t="shared" si="90"/>
        <v>415.96</v>
      </c>
      <c r="Z460" s="7" t="str">
        <f t="shared" si="91"/>
        <v>Low</v>
      </c>
      <c r="AA460" s="13">
        <v>0.125</v>
      </c>
      <c r="AB460" s="13">
        <f t="shared" si="92"/>
        <v>0.125</v>
      </c>
      <c r="AC460" s="13" t="str">
        <f t="shared" si="93"/>
        <v>OK</v>
      </c>
      <c r="AD460" s="7">
        <v>21</v>
      </c>
      <c r="AE460" s="7">
        <f>Y460*AD460*(1-AB460)</f>
        <v>7643.2649999999994</v>
      </c>
      <c r="AF460" s="7">
        <f>W460*AD460</f>
        <v>3669.54</v>
      </c>
      <c r="AG460" s="7">
        <f t="shared" si="94"/>
        <v>3973.7249999999995</v>
      </c>
      <c r="AH460" s="13">
        <f t="shared" si="95"/>
        <v>0.51989889137691803</v>
      </c>
    </row>
    <row r="461" spans="1:34" x14ac:dyDescent="0.35">
      <c r="A461" s="2" t="s">
        <v>473</v>
      </c>
      <c r="B461" s="5">
        <v>45417</v>
      </c>
      <c r="C461" s="5">
        <f>IF(H461&lt;B461,H461,B461)</f>
        <v>45417</v>
      </c>
      <c r="D461" s="5" t="str">
        <f t="shared" si="84"/>
        <v>May-2024</v>
      </c>
      <c r="E461" s="5" t="str">
        <f t="shared" si="85"/>
        <v>May</v>
      </c>
      <c r="F461" s="5" t="str">
        <f t="shared" si="86"/>
        <v>2024</v>
      </c>
      <c r="G461" s="5" t="str">
        <f t="shared" si="87"/>
        <v>Q2-2024</v>
      </c>
      <c r="H461" s="5">
        <v>45430</v>
      </c>
      <c r="I461" s="5">
        <f>IF(H461&lt;B461, B461+7, H461)</f>
        <v>45430</v>
      </c>
      <c r="J461" s="5" t="str">
        <f>IF(H461&lt;B461, "Invalid","Okay")</f>
        <v>Okay</v>
      </c>
      <c r="K461" s="16">
        <f>I461-C461</f>
        <v>13</v>
      </c>
      <c r="L461" s="16" t="str">
        <f t="shared" si="88"/>
        <v>Target Not Met</v>
      </c>
      <c r="M461" s="2" t="s">
        <v>649</v>
      </c>
      <c r="N461" s="2" t="s">
        <v>657</v>
      </c>
      <c r="O461" s="2" t="s">
        <v>673</v>
      </c>
      <c r="P461" s="29" t="str">
        <f t="shared" si="89"/>
        <v>Europe→France→Marseille</v>
      </c>
      <c r="Q461" s="2" t="s">
        <v>701</v>
      </c>
      <c r="R461" s="2" t="s">
        <v>709</v>
      </c>
      <c r="S461" s="2" t="s">
        <v>720</v>
      </c>
      <c r="T461" s="2" t="s">
        <v>727</v>
      </c>
      <c r="U461" t="e">
        <f>(AE461/#REF!)*100</f>
        <v>#REF!</v>
      </c>
      <c r="V461" s="2" t="s">
        <v>1192</v>
      </c>
      <c r="W461" s="7">
        <v>1264.04</v>
      </c>
      <c r="X461" s="7">
        <v>1870.89</v>
      </c>
      <c r="Y461" s="7">
        <f t="shared" si="90"/>
        <v>1870.89</v>
      </c>
      <c r="Z461" s="7" t="str">
        <f t="shared" si="91"/>
        <v>Medium</v>
      </c>
      <c r="AA461" s="13">
        <v>0</v>
      </c>
      <c r="AB461" s="13">
        <f t="shared" si="92"/>
        <v>0</v>
      </c>
      <c r="AC461" s="13" t="str">
        <f t="shared" si="93"/>
        <v>OK</v>
      </c>
      <c r="AD461" s="7">
        <v>13</v>
      </c>
      <c r="AE461" s="7">
        <f>Y461*AD461*(1-AB461)</f>
        <v>24321.57</v>
      </c>
      <c r="AF461" s="7">
        <f>W461*AD461</f>
        <v>16432.52</v>
      </c>
      <c r="AG461" s="7">
        <f t="shared" si="94"/>
        <v>7889.0499999999993</v>
      </c>
      <c r="AH461" s="13">
        <f t="shared" si="95"/>
        <v>0.32436433996653996</v>
      </c>
    </row>
    <row r="462" spans="1:34" x14ac:dyDescent="0.35">
      <c r="A462" s="2" t="s">
        <v>474</v>
      </c>
      <c r="B462" s="5">
        <v>45116</v>
      </c>
      <c r="C462" s="5">
        <f>IF(H462&lt;B462,H462,B462)</f>
        <v>45116</v>
      </c>
      <c r="D462" s="5" t="str">
        <f t="shared" si="84"/>
        <v>Jul-2023</v>
      </c>
      <c r="E462" s="5" t="str">
        <f t="shared" si="85"/>
        <v>Jul</v>
      </c>
      <c r="F462" s="5" t="str">
        <f t="shared" si="86"/>
        <v>2023</v>
      </c>
      <c r="G462" s="5" t="str">
        <f t="shared" si="87"/>
        <v>Q3-2023</v>
      </c>
      <c r="H462" s="5">
        <v>45126</v>
      </c>
      <c r="I462" s="5">
        <f>IF(H462&lt;B462, B462+7, H462)</f>
        <v>45126</v>
      </c>
      <c r="J462" s="5" t="str">
        <f>IF(H462&lt;B462, "Invalid","Okay")</f>
        <v>Okay</v>
      </c>
      <c r="K462" s="16">
        <f>I462-C462</f>
        <v>10</v>
      </c>
      <c r="L462" s="16" t="str">
        <f t="shared" si="88"/>
        <v>Target Not Met</v>
      </c>
      <c r="M462" s="2" t="s">
        <v>647</v>
      </c>
      <c r="N462" s="2" t="s">
        <v>652</v>
      </c>
      <c r="O462" s="2" t="s">
        <v>689</v>
      </c>
      <c r="P462" s="29" t="str">
        <f t="shared" si="89"/>
        <v>Asia→Japan→Tokyo</v>
      </c>
      <c r="Q462" s="2" t="s">
        <v>706</v>
      </c>
      <c r="R462" s="2" t="s">
        <v>710</v>
      </c>
      <c r="S462" s="2" t="s">
        <v>725</v>
      </c>
      <c r="T462" s="2" t="s">
        <v>727</v>
      </c>
      <c r="U462" t="e">
        <f>(AE462/#REF!)*100</f>
        <v>#REF!</v>
      </c>
      <c r="V462" s="2" t="s">
        <v>1193</v>
      </c>
      <c r="W462" s="7">
        <v>141.26</v>
      </c>
      <c r="X462" s="7">
        <v>206.88</v>
      </c>
      <c r="Y462" s="7">
        <f t="shared" si="90"/>
        <v>206.88</v>
      </c>
      <c r="Z462" s="7" t="str">
        <f t="shared" si="91"/>
        <v>Low</v>
      </c>
      <c r="AA462" s="13">
        <v>0.107</v>
      </c>
      <c r="AB462" s="13">
        <f t="shared" si="92"/>
        <v>0.107</v>
      </c>
      <c r="AC462" s="13" t="str">
        <f t="shared" si="93"/>
        <v>OK</v>
      </c>
      <c r="AD462" s="7">
        <v>9</v>
      </c>
      <c r="AE462" s="7">
        <f>Y462*AD462*(1-AB462)</f>
        <v>1662.6945600000001</v>
      </c>
      <c r="AF462" s="7">
        <f>W462*AD462</f>
        <v>1271.3399999999999</v>
      </c>
      <c r="AG462" s="7">
        <f t="shared" si="94"/>
        <v>391.35456000000022</v>
      </c>
      <c r="AH462" s="13">
        <f t="shared" si="95"/>
        <v>0.23537369365062469</v>
      </c>
    </row>
    <row r="463" spans="1:34" x14ac:dyDescent="0.35">
      <c r="A463" s="2" t="s">
        <v>475</v>
      </c>
      <c r="B463" s="5">
        <v>45063</v>
      </c>
      <c r="C463" s="5">
        <f>IF(H463&lt;B463,H463,B463)</f>
        <v>45063</v>
      </c>
      <c r="D463" s="5" t="str">
        <f t="shared" si="84"/>
        <v>May-2023</v>
      </c>
      <c r="E463" s="5" t="str">
        <f t="shared" si="85"/>
        <v>May</v>
      </c>
      <c r="F463" s="5" t="str">
        <f t="shared" si="86"/>
        <v>2023</v>
      </c>
      <c r="G463" s="5" t="str">
        <f t="shared" si="87"/>
        <v>Q2-2023</v>
      </c>
      <c r="H463" s="5">
        <v>45092</v>
      </c>
      <c r="I463" s="5">
        <f>IF(H463&lt;B463, B463+7, H463)</f>
        <v>45092</v>
      </c>
      <c r="J463" s="5" t="str">
        <f>IF(H463&lt;B463, "Invalid","Okay")</f>
        <v>Okay</v>
      </c>
      <c r="K463" s="16">
        <f>I463-C463</f>
        <v>29</v>
      </c>
      <c r="L463" s="16" t="str">
        <f t="shared" si="88"/>
        <v>Target Not Met</v>
      </c>
      <c r="M463" s="2" t="s">
        <v>646</v>
      </c>
      <c r="N463" s="2" t="s">
        <v>661</v>
      </c>
      <c r="O463" s="2" t="s">
        <v>687</v>
      </c>
      <c r="P463" s="29" t="str">
        <f t="shared" si="89"/>
        <v>Africa→South Africa→Durban</v>
      </c>
      <c r="Q463" s="2" t="s">
        <v>706</v>
      </c>
      <c r="R463" s="2" t="s">
        <v>707</v>
      </c>
      <c r="S463" s="2" t="s">
        <v>723</v>
      </c>
      <c r="T463" s="2" t="s">
        <v>733</v>
      </c>
      <c r="U463" t="e">
        <f>(AE463/#REF!)*100</f>
        <v>#REF!</v>
      </c>
      <c r="V463" s="2" t="s">
        <v>1194</v>
      </c>
      <c r="W463" s="7">
        <v>40.89</v>
      </c>
      <c r="X463" s="7">
        <v>62.82</v>
      </c>
      <c r="Y463" s="7">
        <f t="shared" si="90"/>
        <v>62.82</v>
      </c>
      <c r="Z463" s="7" t="str">
        <f t="shared" si="91"/>
        <v>Low</v>
      </c>
      <c r="AA463" s="13">
        <v>0.129</v>
      </c>
      <c r="AB463" s="13">
        <f t="shared" si="92"/>
        <v>0.129</v>
      </c>
      <c r="AC463" s="13" t="str">
        <f t="shared" si="93"/>
        <v>OK</v>
      </c>
      <c r="AD463" s="7">
        <v>17</v>
      </c>
      <c r="AE463" s="7">
        <f>Y463*AD463*(1-AB463)</f>
        <v>930.17574000000002</v>
      </c>
      <c r="AF463" s="7">
        <f>W463*AD463</f>
        <v>695.13</v>
      </c>
      <c r="AG463" s="7">
        <f t="shared" si="94"/>
        <v>235.04574000000002</v>
      </c>
      <c r="AH463" s="13">
        <f t="shared" si="95"/>
        <v>0.25268960465470752</v>
      </c>
    </row>
    <row r="464" spans="1:34" x14ac:dyDescent="0.35">
      <c r="A464" s="2" t="s">
        <v>476</v>
      </c>
      <c r="B464" s="5">
        <v>45358</v>
      </c>
      <c r="C464" s="5">
        <f>IF(H464&lt;B464,H464,B464)</f>
        <v>45358</v>
      </c>
      <c r="D464" s="5" t="str">
        <f t="shared" si="84"/>
        <v>Mar-2024</v>
      </c>
      <c r="E464" s="5" t="str">
        <f t="shared" si="85"/>
        <v>Mar</v>
      </c>
      <c r="F464" s="5" t="str">
        <f t="shared" si="86"/>
        <v>2024</v>
      </c>
      <c r="G464" s="5" t="str">
        <f t="shared" si="87"/>
        <v>Q1-2024</v>
      </c>
      <c r="H464" s="5">
        <v>45385</v>
      </c>
      <c r="I464" s="5">
        <f>IF(H464&lt;B464, B464+7, H464)</f>
        <v>45385</v>
      </c>
      <c r="J464" s="5" t="str">
        <f>IF(H464&lt;B464, "Invalid","Okay")</f>
        <v>Okay</v>
      </c>
      <c r="K464" s="16">
        <f>I464-C464</f>
        <v>27</v>
      </c>
      <c r="L464" s="16" t="str">
        <f t="shared" si="88"/>
        <v>Target Not Met</v>
      </c>
      <c r="M464" s="2" t="s">
        <v>649</v>
      </c>
      <c r="N464" s="2" t="s">
        <v>656</v>
      </c>
      <c r="O464" s="2" t="s">
        <v>698</v>
      </c>
      <c r="P464" s="29" t="str">
        <f t="shared" si="89"/>
        <v>Europe→Germany→Frankfurt</v>
      </c>
      <c r="Q464" s="2" t="s">
        <v>701</v>
      </c>
      <c r="R464" s="2" t="s">
        <v>711</v>
      </c>
      <c r="S464" s="2" t="s">
        <v>724</v>
      </c>
      <c r="T464" s="2" t="s">
        <v>728</v>
      </c>
      <c r="U464" t="e">
        <f>(AE464/#REF!)*100</f>
        <v>#REF!</v>
      </c>
      <c r="V464" s="2" t="s">
        <v>1195</v>
      </c>
      <c r="W464" s="7">
        <v>738.16</v>
      </c>
      <c r="X464" s="7">
        <v>956.49</v>
      </c>
      <c r="Y464" s="7">
        <f t="shared" si="90"/>
        <v>956.49</v>
      </c>
      <c r="Z464" s="7" t="str">
        <f t="shared" si="91"/>
        <v>Low</v>
      </c>
      <c r="AA464" s="13">
        <v>0.152</v>
      </c>
      <c r="AB464" s="13">
        <f t="shared" si="92"/>
        <v>0.152</v>
      </c>
      <c r="AC464" s="13" t="str">
        <f t="shared" si="93"/>
        <v>OK</v>
      </c>
      <c r="AD464" s="7">
        <v>5</v>
      </c>
      <c r="AE464" s="7">
        <f>Y464*AD464*(1-AB464)</f>
        <v>4055.5175999999997</v>
      </c>
      <c r="AF464" s="7">
        <f>W464*AD464</f>
        <v>3690.7999999999997</v>
      </c>
      <c r="AG464" s="7">
        <f t="shared" si="94"/>
        <v>364.71759999999995</v>
      </c>
      <c r="AH464" s="13">
        <f t="shared" si="95"/>
        <v>8.9931208780847108E-2</v>
      </c>
    </row>
    <row r="465" spans="1:34" x14ac:dyDescent="0.35">
      <c r="A465" s="2" t="s">
        <v>477</v>
      </c>
      <c r="B465" s="5">
        <v>45757</v>
      </c>
      <c r="C465" s="5">
        <f>IF(H465&lt;B465,H465,B465)</f>
        <v>45757</v>
      </c>
      <c r="D465" s="5" t="str">
        <f t="shared" si="84"/>
        <v>Apr-2025</v>
      </c>
      <c r="E465" s="5" t="str">
        <f t="shared" si="85"/>
        <v>Apr</v>
      </c>
      <c r="F465" s="5" t="str">
        <f t="shared" si="86"/>
        <v>2025</v>
      </c>
      <c r="G465" s="5" t="str">
        <f t="shared" si="87"/>
        <v>Q2-2025</v>
      </c>
      <c r="H465" s="5">
        <v>45766</v>
      </c>
      <c r="I465" s="5">
        <f>IF(H465&lt;B465, B465+7, H465)</f>
        <v>45766</v>
      </c>
      <c r="J465" s="5" t="str">
        <f>IF(H465&lt;B465, "Invalid","Okay")</f>
        <v>Okay</v>
      </c>
      <c r="K465" s="16">
        <f>I465-C465</f>
        <v>9</v>
      </c>
      <c r="L465" s="16" t="str">
        <f t="shared" si="88"/>
        <v>Target Not Met</v>
      </c>
      <c r="M465" s="2" t="s">
        <v>646</v>
      </c>
      <c r="N465" s="2" t="s">
        <v>661</v>
      </c>
      <c r="O465" s="2" t="s">
        <v>687</v>
      </c>
      <c r="P465" s="29" t="str">
        <f t="shared" si="89"/>
        <v>Africa→South Africa→Durban</v>
      </c>
      <c r="Q465" s="2" t="s">
        <v>706</v>
      </c>
      <c r="R465" s="2" t="s">
        <v>1423</v>
      </c>
      <c r="S465" s="2" t="s">
        <v>715</v>
      </c>
      <c r="T465" s="2" t="s">
        <v>729</v>
      </c>
      <c r="U465" t="e">
        <f>(AE465/#REF!)*100</f>
        <v>#REF!</v>
      </c>
      <c r="V465" s="2" t="s">
        <v>1196</v>
      </c>
      <c r="W465" s="7">
        <v>113.74</v>
      </c>
      <c r="X465" s="7">
        <v>165.7</v>
      </c>
      <c r="Y465" s="7">
        <f t="shared" si="90"/>
        <v>165.7</v>
      </c>
      <c r="Z465" s="7" t="str">
        <f t="shared" si="91"/>
        <v>Low</v>
      </c>
      <c r="AA465" s="13">
        <v>0.124</v>
      </c>
      <c r="AB465" s="13">
        <f t="shared" si="92"/>
        <v>0.124</v>
      </c>
      <c r="AC465" s="13" t="str">
        <f t="shared" si="93"/>
        <v>OK</v>
      </c>
      <c r="AD465" s="7">
        <v>13</v>
      </c>
      <c r="AE465" s="7">
        <f>Y465*AD465*(1-AB465)</f>
        <v>1886.9915999999998</v>
      </c>
      <c r="AF465" s="7">
        <f>W465*AD465</f>
        <v>1478.62</v>
      </c>
      <c r="AG465" s="7">
        <f t="shared" si="94"/>
        <v>408.37159999999994</v>
      </c>
      <c r="AH465" s="13">
        <f t="shared" si="95"/>
        <v>0.21641410592394794</v>
      </c>
    </row>
    <row r="466" spans="1:34" x14ac:dyDescent="0.35">
      <c r="A466" s="2" t="s">
        <v>478</v>
      </c>
      <c r="B466" s="5">
        <v>45865</v>
      </c>
      <c r="C466" s="5">
        <f>IF(H466&lt;B466,H466,B466)</f>
        <v>45865</v>
      </c>
      <c r="D466" s="5" t="str">
        <f t="shared" si="84"/>
        <v>Jul-2025</v>
      </c>
      <c r="E466" s="5" t="str">
        <f t="shared" si="85"/>
        <v>Jul</v>
      </c>
      <c r="F466" s="5" t="str">
        <f t="shared" si="86"/>
        <v>2025</v>
      </c>
      <c r="G466" s="5" t="str">
        <f t="shared" si="87"/>
        <v>Q3-2025</v>
      </c>
      <c r="H466" s="5">
        <v>45884</v>
      </c>
      <c r="I466" s="5">
        <f>IF(H466&lt;B466, B466+7, H466)</f>
        <v>45884</v>
      </c>
      <c r="J466" s="5" t="str">
        <f>IF(H466&lt;B466, "Invalid","Okay")</f>
        <v>Okay</v>
      </c>
      <c r="K466" s="16">
        <f>I466-C466</f>
        <v>19</v>
      </c>
      <c r="L466" s="16" t="str">
        <f t="shared" si="88"/>
        <v>Target Not Met</v>
      </c>
      <c r="M466" s="2" t="s">
        <v>647</v>
      </c>
      <c r="N466" s="2" t="s">
        <v>652</v>
      </c>
      <c r="O466" s="2" t="s">
        <v>689</v>
      </c>
      <c r="P466" s="29" t="str">
        <f t="shared" si="89"/>
        <v>Asia→Japan→Tokyo</v>
      </c>
      <c r="Q466" s="2" t="s">
        <v>705</v>
      </c>
      <c r="R466" s="2" t="s">
        <v>709</v>
      </c>
      <c r="S466" s="2" t="s">
        <v>713</v>
      </c>
      <c r="T466" s="2" t="s">
        <v>727</v>
      </c>
      <c r="U466" t="e">
        <f>(AE466/#REF!)*100</f>
        <v>#REF!</v>
      </c>
      <c r="V466" s="2" t="s">
        <v>1197</v>
      </c>
      <c r="W466" s="7">
        <v>275.43</v>
      </c>
      <c r="X466" s="7">
        <v>608.36</v>
      </c>
      <c r="Y466" s="7">
        <f t="shared" si="90"/>
        <v>608.36</v>
      </c>
      <c r="Z466" s="7" t="str">
        <f t="shared" si="91"/>
        <v>Low</v>
      </c>
      <c r="AA466" s="13">
        <v>0.25700000000000001</v>
      </c>
      <c r="AB466" s="13">
        <f t="shared" si="92"/>
        <v>0.25700000000000001</v>
      </c>
      <c r="AC466" s="13" t="str">
        <f t="shared" si="93"/>
        <v>OK</v>
      </c>
      <c r="AD466" s="7">
        <v>4</v>
      </c>
      <c r="AE466" s="7">
        <f>Y466*AD466*(1-AB466)</f>
        <v>1808.04592</v>
      </c>
      <c r="AF466" s="7">
        <f>W466*AD466</f>
        <v>1101.72</v>
      </c>
      <c r="AG466" s="7">
        <f t="shared" si="94"/>
        <v>706.32592</v>
      </c>
      <c r="AH466" s="13">
        <f t="shared" si="95"/>
        <v>0.39065706915231446</v>
      </c>
    </row>
    <row r="467" spans="1:34" x14ac:dyDescent="0.35">
      <c r="A467" s="2" t="s">
        <v>479</v>
      </c>
      <c r="B467" s="5">
        <v>45618</v>
      </c>
      <c r="C467" s="5">
        <f>IF(H467&lt;B467,H467,B467)</f>
        <v>45618</v>
      </c>
      <c r="D467" s="5" t="str">
        <f t="shared" si="84"/>
        <v>Nov-2024</v>
      </c>
      <c r="E467" s="5" t="str">
        <f t="shared" si="85"/>
        <v>Nov</v>
      </c>
      <c r="F467" s="5" t="str">
        <f t="shared" si="86"/>
        <v>2024</v>
      </c>
      <c r="G467" s="5" t="str">
        <f t="shared" si="87"/>
        <v>Q4-2024</v>
      </c>
      <c r="H467" s="5">
        <v>45641</v>
      </c>
      <c r="I467" s="5">
        <f>IF(H467&lt;B467, B467+7, H467)</f>
        <v>45641</v>
      </c>
      <c r="J467" s="5" t="str">
        <f>IF(H467&lt;B467, "Invalid","Okay")</f>
        <v>Okay</v>
      </c>
      <c r="K467" s="16">
        <f>I467-C467</f>
        <v>23</v>
      </c>
      <c r="L467" s="16" t="str">
        <f t="shared" si="88"/>
        <v>Target Not Met</v>
      </c>
      <c r="M467" s="2" t="s">
        <v>646</v>
      </c>
      <c r="N467" s="2" t="s">
        <v>650</v>
      </c>
      <c r="O467" s="2" t="s">
        <v>675</v>
      </c>
      <c r="P467" s="29" t="str">
        <f t="shared" si="89"/>
        <v>Africa→Kenya→Mombasa</v>
      </c>
      <c r="Q467" s="2" t="s">
        <v>703</v>
      </c>
      <c r="R467" s="2" t="s">
        <v>710</v>
      </c>
      <c r="S467" s="2" t="s">
        <v>712</v>
      </c>
      <c r="T467" s="2" t="s">
        <v>727</v>
      </c>
      <c r="U467" t="e">
        <f>(AE467/#REF!)*100</f>
        <v>#REF!</v>
      </c>
      <c r="V467" s="2" t="s">
        <v>1198</v>
      </c>
      <c r="W467" s="7">
        <v>1335.76</v>
      </c>
      <c r="X467" s="7">
        <v>2665.91</v>
      </c>
      <c r="Y467" s="7">
        <f t="shared" si="90"/>
        <v>2665.91</v>
      </c>
      <c r="Z467" s="7" t="str">
        <f t="shared" si="91"/>
        <v>High</v>
      </c>
      <c r="AA467" s="13">
        <v>0.21099999999999999</v>
      </c>
      <c r="AB467" s="13">
        <f t="shared" si="92"/>
        <v>0.21099999999999999</v>
      </c>
      <c r="AC467" s="13" t="str">
        <f t="shared" si="93"/>
        <v>OK</v>
      </c>
      <c r="AD467" s="7">
        <v>40</v>
      </c>
      <c r="AE467" s="7">
        <f>Y467*AD467*(1-AB467)</f>
        <v>84136.119600000005</v>
      </c>
      <c r="AF467" s="7">
        <f>W467*AD467</f>
        <v>53430.400000000001</v>
      </c>
      <c r="AG467" s="7">
        <f t="shared" si="94"/>
        <v>30705.719600000004</v>
      </c>
      <c r="AH467" s="13">
        <f t="shared" si="95"/>
        <v>0.36495288522909253</v>
      </c>
    </row>
    <row r="468" spans="1:34" x14ac:dyDescent="0.35">
      <c r="A468" s="2" t="s">
        <v>480</v>
      </c>
      <c r="B468" s="5">
        <v>45466</v>
      </c>
      <c r="C468" s="5">
        <f>IF(H468&lt;B468,H468,B468)</f>
        <v>45466</v>
      </c>
      <c r="D468" s="5" t="str">
        <f t="shared" si="84"/>
        <v>Jun-2024</v>
      </c>
      <c r="E468" s="5" t="str">
        <f t="shared" si="85"/>
        <v>Jun</v>
      </c>
      <c r="F468" s="5" t="str">
        <f t="shared" si="86"/>
        <v>2024</v>
      </c>
      <c r="G468" s="5" t="str">
        <f t="shared" si="87"/>
        <v>Q2-2024</v>
      </c>
      <c r="H468" s="5">
        <v>45471</v>
      </c>
      <c r="I468" s="5">
        <f>IF(H468&lt;B468, B468+7, H468)</f>
        <v>45471</v>
      </c>
      <c r="J468" s="5" t="str">
        <f>IF(H468&lt;B468, "Invalid","Okay")</f>
        <v>Okay</v>
      </c>
      <c r="K468" s="16">
        <f>I468-C468</f>
        <v>5</v>
      </c>
      <c r="L468" s="16" t="str">
        <f t="shared" si="88"/>
        <v>Target Met</v>
      </c>
      <c r="M468" s="2" t="s">
        <v>646</v>
      </c>
      <c r="N468" s="2" t="s">
        <v>651</v>
      </c>
      <c r="O468" s="2" t="s">
        <v>663</v>
      </c>
      <c r="P468" s="29" t="str">
        <f t="shared" si="89"/>
        <v>Africa→Nigeria→Port Harcourt</v>
      </c>
      <c r="Q468" s="2" t="s">
        <v>703</v>
      </c>
      <c r="R468" s="2" t="s">
        <v>711</v>
      </c>
      <c r="S468" s="2" t="s">
        <v>724</v>
      </c>
      <c r="T468" s="2" t="s">
        <v>733</v>
      </c>
      <c r="U468" t="e">
        <f>(AE468/#REF!)*100</f>
        <v>#REF!</v>
      </c>
      <c r="V468" s="2" t="s">
        <v>1199</v>
      </c>
      <c r="W468" s="7">
        <v>242.31</v>
      </c>
      <c r="X468" s="7">
        <v>587.95000000000005</v>
      </c>
      <c r="Y468" s="7">
        <f t="shared" si="90"/>
        <v>587.95000000000005</v>
      </c>
      <c r="Z468" s="7" t="str">
        <f t="shared" si="91"/>
        <v>Low</v>
      </c>
      <c r="AA468" s="13">
        <v>0.22900000000000001</v>
      </c>
      <c r="AB468" s="13">
        <f t="shared" si="92"/>
        <v>0.22900000000000001</v>
      </c>
      <c r="AC468" s="13" t="str">
        <f t="shared" si="93"/>
        <v>OK</v>
      </c>
      <c r="AD468" s="7">
        <v>6</v>
      </c>
      <c r="AE468" s="7">
        <f>Y468*AD468*(1-AB468)</f>
        <v>2719.8567000000003</v>
      </c>
      <c r="AF468" s="7">
        <f>W468*AD468</f>
        <v>1453.8600000000001</v>
      </c>
      <c r="AG468" s="7">
        <f t="shared" si="94"/>
        <v>1265.9967000000001</v>
      </c>
      <c r="AH468" s="13">
        <f t="shared" si="95"/>
        <v>0.46546448568411714</v>
      </c>
    </row>
    <row r="469" spans="1:34" x14ac:dyDescent="0.35">
      <c r="A469" s="2" t="s">
        <v>481</v>
      </c>
      <c r="B469" s="5">
        <v>45278</v>
      </c>
      <c r="C469" s="5">
        <f>IF(H469&lt;B469,H469,B469)</f>
        <v>45278</v>
      </c>
      <c r="D469" s="5" t="str">
        <f t="shared" si="84"/>
        <v>Dec-2023</v>
      </c>
      <c r="E469" s="5" t="str">
        <f t="shared" si="85"/>
        <v>Dec</v>
      </c>
      <c r="F469" s="5" t="str">
        <f t="shared" si="86"/>
        <v>2023</v>
      </c>
      <c r="G469" s="5" t="str">
        <f t="shared" si="87"/>
        <v>Q4-2023</v>
      </c>
      <c r="H469" s="5">
        <v>45305</v>
      </c>
      <c r="I469" s="5">
        <f>IF(H469&lt;B469, B469+7, H469)</f>
        <v>45305</v>
      </c>
      <c r="J469" s="5" t="str">
        <f>IF(H469&lt;B469, "Invalid","Okay")</f>
        <v>Okay</v>
      </c>
      <c r="K469" s="16">
        <f>I469-C469</f>
        <v>27</v>
      </c>
      <c r="L469" s="16" t="str">
        <f t="shared" si="88"/>
        <v>Target Not Met</v>
      </c>
      <c r="M469" s="2" t="s">
        <v>647</v>
      </c>
      <c r="N469" s="2" t="s">
        <v>654</v>
      </c>
      <c r="O469" s="2" t="s">
        <v>691</v>
      </c>
      <c r="P469" s="29" t="str">
        <f t="shared" si="89"/>
        <v>Asia→India→Mumbai</v>
      </c>
      <c r="Q469" s="2" t="s">
        <v>704</v>
      </c>
      <c r="R469" s="2" t="s">
        <v>710</v>
      </c>
      <c r="S469" s="2" t="s">
        <v>726</v>
      </c>
      <c r="T469" s="2" t="s">
        <v>729</v>
      </c>
      <c r="U469" t="e">
        <f>(AE469/#REF!)*100</f>
        <v>#REF!</v>
      </c>
      <c r="V469" s="2" t="s">
        <v>1200</v>
      </c>
      <c r="W469" s="7">
        <v>1408.3</v>
      </c>
      <c r="X469" s="7">
        <v>2193.13</v>
      </c>
      <c r="Y469" s="7">
        <f t="shared" si="90"/>
        <v>2193.13</v>
      </c>
      <c r="Z469" s="7" t="str">
        <f t="shared" si="91"/>
        <v>High</v>
      </c>
      <c r="AA469" s="13">
        <v>7.0999999999999994E-2</v>
      </c>
      <c r="AB469" s="13">
        <f t="shared" si="92"/>
        <v>7.0999999999999994E-2</v>
      </c>
      <c r="AC469" s="13" t="str">
        <f t="shared" si="93"/>
        <v>OK</v>
      </c>
      <c r="AD469" s="7">
        <v>7</v>
      </c>
      <c r="AE469" s="7">
        <f>Y469*AD469*(1-AB469)</f>
        <v>14261.92439</v>
      </c>
      <c r="AF469" s="7">
        <f>W469*AD469</f>
        <v>9858.1</v>
      </c>
      <c r="AG469" s="7">
        <f t="shared" si="94"/>
        <v>4403.8243899999998</v>
      </c>
      <c r="AH469" s="13">
        <f t="shared" si="95"/>
        <v>0.30878191957656281</v>
      </c>
    </row>
    <row r="470" spans="1:34" x14ac:dyDescent="0.35">
      <c r="A470" s="2" t="s">
        <v>482</v>
      </c>
      <c r="B470" s="5">
        <v>45809</v>
      </c>
      <c r="C470" s="5">
        <f>IF(H470&lt;B470,H470,B470)</f>
        <v>45809</v>
      </c>
      <c r="D470" s="5" t="str">
        <f t="shared" si="84"/>
        <v>Jun-2025</v>
      </c>
      <c r="E470" s="5" t="str">
        <f t="shared" si="85"/>
        <v>Jun</v>
      </c>
      <c r="F470" s="5" t="str">
        <f t="shared" si="86"/>
        <v>2025</v>
      </c>
      <c r="G470" s="5" t="str">
        <f t="shared" si="87"/>
        <v>Q2-2025</v>
      </c>
      <c r="H470" s="5">
        <v>45813</v>
      </c>
      <c r="I470" s="5">
        <f>IF(H470&lt;B470, B470+7, H470)</f>
        <v>45813</v>
      </c>
      <c r="J470" s="5" t="str">
        <f>IF(H470&lt;B470, "Invalid","Okay")</f>
        <v>Okay</v>
      </c>
      <c r="K470" s="16">
        <f>I470-C470</f>
        <v>4</v>
      </c>
      <c r="L470" s="16" t="str">
        <f t="shared" si="88"/>
        <v>Target Met</v>
      </c>
      <c r="M470" s="2" t="s">
        <v>649</v>
      </c>
      <c r="N470" s="2" t="s">
        <v>656</v>
      </c>
      <c r="O470" s="2" t="s">
        <v>684</v>
      </c>
      <c r="P470" s="29" t="str">
        <f t="shared" si="89"/>
        <v>Europe→Germany→Munich</v>
      </c>
      <c r="Q470" s="2" t="s">
        <v>706</v>
      </c>
      <c r="R470" s="2" t="s">
        <v>711</v>
      </c>
      <c r="S470" s="2" t="s">
        <v>724</v>
      </c>
      <c r="T470" s="2" t="s">
        <v>727</v>
      </c>
      <c r="U470" t="e">
        <f>(AE470/#REF!)*100</f>
        <v>#REF!</v>
      </c>
      <c r="V470" s="2" t="s">
        <v>1201</v>
      </c>
      <c r="W470" s="7">
        <v>1171.42</v>
      </c>
      <c r="X470" s="7">
        <v>2187.8000000000002</v>
      </c>
      <c r="Y470" s="7">
        <f t="shared" si="90"/>
        <v>2187.8000000000002</v>
      </c>
      <c r="Z470" s="7" t="str">
        <f t="shared" si="91"/>
        <v>High</v>
      </c>
      <c r="AA470" s="13">
        <v>0.23</v>
      </c>
      <c r="AB470" s="13">
        <f t="shared" si="92"/>
        <v>0.23</v>
      </c>
      <c r="AC470" s="13" t="str">
        <f t="shared" si="93"/>
        <v>OK</v>
      </c>
      <c r="AD470" s="7">
        <v>15</v>
      </c>
      <c r="AE470" s="7">
        <f>Y470*AD470*(1-AB470)</f>
        <v>25269.09</v>
      </c>
      <c r="AF470" s="7">
        <f>W470*AD470</f>
        <v>17571.300000000003</v>
      </c>
      <c r="AG470" s="7">
        <f t="shared" si="94"/>
        <v>7697.7899999999972</v>
      </c>
      <c r="AH470" s="13">
        <f t="shared" si="95"/>
        <v>0.30463265594447592</v>
      </c>
    </row>
    <row r="471" spans="1:34" x14ac:dyDescent="0.35">
      <c r="A471" s="2" t="s">
        <v>483</v>
      </c>
      <c r="B471" s="5">
        <v>45739</v>
      </c>
      <c r="C471" s="5">
        <f>IF(H471&lt;B471,H471,B471)</f>
        <v>45739</v>
      </c>
      <c r="D471" s="5" t="str">
        <f t="shared" si="84"/>
        <v>Mar-2025</v>
      </c>
      <c r="E471" s="5" t="str">
        <f t="shared" si="85"/>
        <v>Mar</v>
      </c>
      <c r="F471" s="5" t="str">
        <f t="shared" si="86"/>
        <v>2025</v>
      </c>
      <c r="G471" s="5" t="str">
        <f t="shared" si="87"/>
        <v>Q1-2025</v>
      </c>
      <c r="H471" s="5">
        <v>45749</v>
      </c>
      <c r="I471" s="5">
        <f>IF(H471&lt;B471, B471+7, H471)</f>
        <v>45749</v>
      </c>
      <c r="J471" s="5" t="str">
        <f>IF(H471&lt;B471, "Invalid","Okay")</f>
        <v>Okay</v>
      </c>
      <c r="K471" s="16">
        <f>I471-C471</f>
        <v>10</v>
      </c>
      <c r="L471" s="16" t="str">
        <f t="shared" si="88"/>
        <v>Target Not Met</v>
      </c>
      <c r="M471" s="2" t="s">
        <v>649</v>
      </c>
      <c r="N471" s="2" t="s">
        <v>656</v>
      </c>
      <c r="O471" s="2" t="s">
        <v>671</v>
      </c>
      <c r="P471" s="29" t="str">
        <f t="shared" si="89"/>
        <v>Europe→Germany→Berlin</v>
      </c>
      <c r="Q471" s="2" t="s">
        <v>706</v>
      </c>
      <c r="R471" s="2" t="s">
        <v>708</v>
      </c>
      <c r="S471" s="2" t="s">
        <v>718</v>
      </c>
      <c r="T471" s="2" t="s">
        <v>728</v>
      </c>
      <c r="U471" t="e">
        <f>(AE471/#REF!)*100</f>
        <v>#REF!</v>
      </c>
      <c r="V471" s="2" t="s">
        <v>1202</v>
      </c>
      <c r="W471" s="7">
        <v>663.61</v>
      </c>
      <c r="X471" s="7">
        <v>1002.11</v>
      </c>
      <c r="Y471" s="7">
        <f t="shared" si="90"/>
        <v>1002.11</v>
      </c>
      <c r="Z471" s="7" t="str">
        <f t="shared" si="91"/>
        <v>Low</v>
      </c>
      <c r="AA471" s="13">
        <v>4.5999999999999999E-2</v>
      </c>
      <c r="AB471" s="13">
        <f t="shared" si="92"/>
        <v>4.5999999999999999E-2</v>
      </c>
      <c r="AC471" s="13" t="str">
        <f t="shared" si="93"/>
        <v>OK</v>
      </c>
      <c r="AD471" s="7">
        <v>17</v>
      </c>
      <c r="AE471" s="7">
        <f>Y471*AD471*(1-AB471)</f>
        <v>16252.219979999998</v>
      </c>
      <c r="AF471" s="7">
        <f>W471*AD471</f>
        <v>11281.37</v>
      </c>
      <c r="AG471" s="7">
        <f t="shared" si="94"/>
        <v>4970.8499799999972</v>
      </c>
      <c r="AH471" s="13">
        <f t="shared" si="95"/>
        <v>0.30585667595670812</v>
      </c>
    </row>
    <row r="472" spans="1:34" x14ac:dyDescent="0.35">
      <c r="A472" s="2" t="s">
        <v>484</v>
      </c>
      <c r="B472" s="5">
        <v>45060</v>
      </c>
      <c r="C472" s="5">
        <f>IF(H472&lt;B472,H472,B472)</f>
        <v>45060</v>
      </c>
      <c r="D472" s="5" t="str">
        <f t="shared" si="84"/>
        <v>May-2023</v>
      </c>
      <c r="E472" s="5" t="str">
        <f t="shared" si="85"/>
        <v>May</v>
      </c>
      <c r="F472" s="5" t="str">
        <f t="shared" si="86"/>
        <v>2023</v>
      </c>
      <c r="G472" s="5" t="str">
        <f t="shared" si="87"/>
        <v>Q2-2023</v>
      </c>
      <c r="H472" s="5">
        <v>45068</v>
      </c>
      <c r="I472" s="5">
        <f>IF(H472&lt;B472, B472+7, H472)</f>
        <v>45068</v>
      </c>
      <c r="J472" s="5" t="str">
        <f>IF(H472&lt;B472, "Invalid","Okay")</f>
        <v>Okay</v>
      </c>
      <c r="K472" s="16">
        <f>I472-C472</f>
        <v>8</v>
      </c>
      <c r="L472" s="16" t="str">
        <f t="shared" si="88"/>
        <v>Target Not Met</v>
      </c>
      <c r="M472" s="2" t="s">
        <v>646</v>
      </c>
      <c r="N472" s="2" t="s">
        <v>650</v>
      </c>
      <c r="O472" s="2" t="s">
        <v>675</v>
      </c>
      <c r="P472" s="29" t="str">
        <f t="shared" si="89"/>
        <v>Africa→Kenya→Mombasa</v>
      </c>
      <c r="Q472" s="2" t="s">
        <v>705</v>
      </c>
      <c r="R472" s="2" t="s">
        <v>710</v>
      </c>
      <c r="S472" s="2" t="s">
        <v>721</v>
      </c>
      <c r="T472" s="2" t="s">
        <v>728</v>
      </c>
      <c r="U472" t="e">
        <f>(AE472/#REF!)*100</f>
        <v>#REF!</v>
      </c>
      <c r="V472" s="2" t="s">
        <v>1203</v>
      </c>
      <c r="W472" s="7">
        <v>432.01</v>
      </c>
      <c r="X472" s="7">
        <v>913.78</v>
      </c>
      <c r="Y472" s="7">
        <f t="shared" si="90"/>
        <v>913.78</v>
      </c>
      <c r="Z472" s="7" t="str">
        <f t="shared" si="91"/>
        <v>Low</v>
      </c>
      <c r="AA472" s="13">
        <v>4.9000000000000002E-2</v>
      </c>
      <c r="AB472" s="13">
        <f t="shared" si="92"/>
        <v>4.9000000000000002E-2</v>
      </c>
      <c r="AC472" s="13" t="str">
        <f t="shared" si="93"/>
        <v>OK</v>
      </c>
      <c r="AD472" s="7">
        <v>12</v>
      </c>
      <c r="AE472" s="7">
        <f>Y472*AD472*(1-AB472)</f>
        <v>10428.057360000001</v>
      </c>
      <c r="AF472" s="7">
        <f>W472*AD472</f>
        <v>5184.12</v>
      </c>
      <c r="AG472" s="7">
        <f t="shared" si="94"/>
        <v>5243.9373600000008</v>
      </c>
      <c r="AH472" s="13">
        <f t="shared" si="95"/>
        <v>0.50286809699711899</v>
      </c>
    </row>
    <row r="473" spans="1:34" x14ac:dyDescent="0.35">
      <c r="A473" s="2" t="s">
        <v>485</v>
      </c>
      <c r="B473" s="5">
        <v>45167</v>
      </c>
      <c r="C473" s="5">
        <f>IF(H473&lt;B473,H473,B473)</f>
        <v>45167</v>
      </c>
      <c r="D473" s="5" t="str">
        <f t="shared" si="84"/>
        <v>Aug-2023</v>
      </c>
      <c r="E473" s="5" t="str">
        <f t="shared" si="85"/>
        <v>Aug</v>
      </c>
      <c r="F473" s="5" t="str">
        <f t="shared" si="86"/>
        <v>2023</v>
      </c>
      <c r="G473" s="5" t="str">
        <f t="shared" si="87"/>
        <v>Q3-2023</v>
      </c>
      <c r="H473" s="5">
        <v>45188</v>
      </c>
      <c r="I473" s="5">
        <f>IF(H473&lt;B473, B473+7, H473)</f>
        <v>45188</v>
      </c>
      <c r="J473" s="5" t="str">
        <f>IF(H473&lt;B473, "Invalid","Okay")</f>
        <v>Okay</v>
      </c>
      <c r="K473" s="16">
        <f>I473-C473</f>
        <v>21</v>
      </c>
      <c r="L473" s="16" t="str">
        <f t="shared" si="88"/>
        <v>Target Not Met</v>
      </c>
      <c r="M473" s="2" t="s">
        <v>649</v>
      </c>
      <c r="N473" s="2" t="s">
        <v>657</v>
      </c>
      <c r="O473" s="2" t="s">
        <v>679</v>
      </c>
      <c r="P473" s="29" t="str">
        <f t="shared" si="89"/>
        <v>Europe→France→Lyon</v>
      </c>
      <c r="Q473" s="2" t="s">
        <v>705</v>
      </c>
      <c r="R473" s="2" t="s">
        <v>711</v>
      </c>
      <c r="S473" s="2" t="s">
        <v>717</v>
      </c>
      <c r="T473" s="2" t="s">
        <v>728</v>
      </c>
      <c r="U473" t="e">
        <f>(AE473/#REF!)*100</f>
        <v>#REF!</v>
      </c>
      <c r="V473" s="2" t="s">
        <v>1204</v>
      </c>
      <c r="W473" s="7">
        <v>784.46</v>
      </c>
      <c r="X473" s="7">
        <v>1843.51</v>
      </c>
      <c r="Y473" s="7">
        <f t="shared" si="90"/>
        <v>1843.51</v>
      </c>
      <c r="Z473" s="7" t="str">
        <f t="shared" si="91"/>
        <v>Medium</v>
      </c>
      <c r="AA473" s="13">
        <v>0.13800000000000001</v>
      </c>
      <c r="AB473" s="13">
        <f t="shared" si="92"/>
        <v>0.13800000000000001</v>
      </c>
      <c r="AC473" s="13" t="str">
        <f t="shared" si="93"/>
        <v>OK</v>
      </c>
      <c r="AD473" s="7">
        <v>23</v>
      </c>
      <c r="AE473" s="7">
        <f>Y473*AD473*(1-AB473)</f>
        <v>36549.429260000004</v>
      </c>
      <c r="AF473" s="7">
        <f>W473*AD473</f>
        <v>18042.580000000002</v>
      </c>
      <c r="AG473" s="7">
        <f t="shared" si="94"/>
        <v>18506.849260000003</v>
      </c>
      <c r="AH473" s="13">
        <f t="shared" si="95"/>
        <v>0.50635125184441798</v>
      </c>
    </row>
    <row r="474" spans="1:34" x14ac:dyDescent="0.35">
      <c r="A474" s="2" t="s">
        <v>486</v>
      </c>
      <c r="B474" s="5">
        <v>45841</v>
      </c>
      <c r="C474" s="5">
        <f>IF(H474&lt;B474,H474,B474)</f>
        <v>45841</v>
      </c>
      <c r="D474" s="5" t="str">
        <f t="shared" si="84"/>
        <v>Jul-2025</v>
      </c>
      <c r="E474" s="5" t="str">
        <f t="shared" si="85"/>
        <v>Jul</v>
      </c>
      <c r="F474" s="5" t="str">
        <f t="shared" si="86"/>
        <v>2025</v>
      </c>
      <c r="G474" s="5" t="str">
        <f t="shared" si="87"/>
        <v>Q3-2025</v>
      </c>
      <c r="H474" s="5">
        <v>45861</v>
      </c>
      <c r="I474" s="5">
        <f>IF(H474&lt;B474, B474+7, H474)</f>
        <v>45861</v>
      </c>
      <c r="J474" s="5" t="str">
        <f>IF(H474&lt;B474, "Invalid","Okay")</f>
        <v>Okay</v>
      </c>
      <c r="K474" s="16">
        <f>I474-C474</f>
        <v>20</v>
      </c>
      <c r="L474" s="16" t="str">
        <f t="shared" si="88"/>
        <v>Target Not Met</v>
      </c>
      <c r="M474" s="2" t="s">
        <v>647</v>
      </c>
      <c r="N474" s="2" t="s">
        <v>659</v>
      </c>
      <c r="O474" s="2" t="s">
        <v>699</v>
      </c>
      <c r="P474" s="29" t="str">
        <f t="shared" si="89"/>
        <v>Asia→China→Beijing</v>
      </c>
      <c r="Q474" s="2" t="s">
        <v>705</v>
      </c>
      <c r="R474" s="2" t="s">
        <v>708</v>
      </c>
      <c r="S474" s="2" t="s">
        <v>724</v>
      </c>
      <c r="T474" s="2" t="s">
        <v>727</v>
      </c>
      <c r="U474" t="e">
        <f>(AE474/#REF!)*100</f>
        <v>#REF!</v>
      </c>
      <c r="V474" s="2" t="s">
        <v>1205</v>
      </c>
      <c r="W474" s="7">
        <v>647.36</v>
      </c>
      <c r="X474" s="7">
        <v>1383.6</v>
      </c>
      <c r="Y474" s="7">
        <f t="shared" si="90"/>
        <v>1383.6</v>
      </c>
      <c r="Z474" s="7" t="str">
        <f t="shared" si="91"/>
        <v>Medium</v>
      </c>
      <c r="AA474" s="13">
        <v>7.3999999999999996E-2</v>
      </c>
      <c r="AB474" s="13">
        <f t="shared" si="92"/>
        <v>7.3999999999999996E-2</v>
      </c>
      <c r="AC474" s="13" t="str">
        <f t="shared" si="93"/>
        <v>OK</v>
      </c>
      <c r="AD474" s="7">
        <v>12</v>
      </c>
      <c r="AE474" s="7">
        <f>Y474*AD474*(1-AB474)</f>
        <v>15374.563199999999</v>
      </c>
      <c r="AF474" s="7">
        <f>W474*AD474</f>
        <v>7768.32</v>
      </c>
      <c r="AG474" s="7">
        <f t="shared" si="94"/>
        <v>7606.243199999999</v>
      </c>
      <c r="AH474" s="13">
        <f t="shared" si="95"/>
        <v>0.49472906000997802</v>
      </c>
    </row>
    <row r="475" spans="1:34" x14ac:dyDescent="0.35">
      <c r="A475" s="2" t="s">
        <v>487</v>
      </c>
      <c r="B475" s="5">
        <v>45328</v>
      </c>
      <c r="C475" s="5">
        <f>IF(H475&lt;B475,H475,B475)</f>
        <v>45328</v>
      </c>
      <c r="D475" s="5" t="str">
        <f t="shared" si="84"/>
        <v>Feb-2024</v>
      </c>
      <c r="E475" s="5" t="str">
        <f t="shared" si="85"/>
        <v>Feb</v>
      </c>
      <c r="F475" s="5" t="str">
        <f t="shared" si="86"/>
        <v>2024</v>
      </c>
      <c r="G475" s="5" t="str">
        <f t="shared" si="87"/>
        <v>Q1-2024</v>
      </c>
      <c r="H475" s="5">
        <v>45350</v>
      </c>
      <c r="I475" s="5">
        <f>IF(H475&lt;B475, B475+7, H475)</f>
        <v>45350</v>
      </c>
      <c r="J475" s="5" t="str">
        <f>IF(H475&lt;B475, "Invalid","Okay")</f>
        <v>Okay</v>
      </c>
      <c r="K475" s="16">
        <f>I475-C475</f>
        <v>22</v>
      </c>
      <c r="L475" s="16" t="str">
        <f t="shared" si="88"/>
        <v>Target Not Met</v>
      </c>
      <c r="M475" s="2" t="s">
        <v>646</v>
      </c>
      <c r="N475" s="2" t="s">
        <v>650</v>
      </c>
      <c r="O475" s="2" t="s">
        <v>662</v>
      </c>
      <c r="P475" s="29" t="str">
        <f t="shared" si="89"/>
        <v>Africa→Kenya→Kisumu</v>
      </c>
      <c r="Q475" s="2" t="s">
        <v>703</v>
      </c>
      <c r="R475" s="2" t="s">
        <v>708</v>
      </c>
      <c r="S475" s="2" t="s">
        <v>723</v>
      </c>
      <c r="T475" s="2" t="s">
        <v>732</v>
      </c>
      <c r="U475" t="e">
        <f>(AE475/#REF!)*100</f>
        <v>#REF!</v>
      </c>
      <c r="V475" s="2" t="s">
        <v>1206</v>
      </c>
      <c r="W475" s="7">
        <v>834.93</v>
      </c>
      <c r="X475" s="7">
        <v>1588.53</v>
      </c>
      <c r="Y475" s="7">
        <f t="shared" si="90"/>
        <v>1588.53</v>
      </c>
      <c r="Z475" s="7" t="str">
        <f t="shared" si="91"/>
        <v>Medium</v>
      </c>
      <c r="AA475" s="13">
        <v>0.126</v>
      </c>
      <c r="AB475" s="13">
        <f t="shared" si="92"/>
        <v>0.126</v>
      </c>
      <c r="AC475" s="13" t="str">
        <f t="shared" si="93"/>
        <v>OK</v>
      </c>
      <c r="AD475" s="7">
        <v>6</v>
      </c>
      <c r="AE475" s="7">
        <f>Y475*AD475*(1-AB475)</f>
        <v>8330.2513199999994</v>
      </c>
      <c r="AF475" s="7">
        <f>W475*AD475</f>
        <v>5009.58</v>
      </c>
      <c r="AG475" s="7">
        <f t="shared" si="94"/>
        <v>3320.6713199999995</v>
      </c>
      <c r="AH475" s="13">
        <f t="shared" si="95"/>
        <v>0.39862798761274343</v>
      </c>
    </row>
    <row r="476" spans="1:34" x14ac:dyDescent="0.35">
      <c r="A476" s="2" t="s">
        <v>488</v>
      </c>
      <c r="B476" s="5">
        <v>45882</v>
      </c>
      <c r="C476" s="5">
        <f>IF(H476&lt;B476,H476,B476)</f>
        <v>45882</v>
      </c>
      <c r="D476" s="5" t="str">
        <f t="shared" si="84"/>
        <v>Aug-2025</v>
      </c>
      <c r="E476" s="5" t="str">
        <f t="shared" si="85"/>
        <v>Aug</v>
      </c>
      <c r="F476" s="5" t="str">
        <f t="shared" si="86"/>
        <v>2025</v>
      </c>
      <c r="G476" s="5" t="str">
        <f t="shared" si="87"/>
        <v>Q3-2025</v>
      </c>
      <c r="H476" s="5">
        <v>45903</v>
      </c>
      <c r="I476" s="5">
        <f>IF(H476&lt;B476, B476+7, H476)</f>
        <v>45903</v>
      </c>
      <c r="J476" s="5" t="str">
        <f>IF(H476&lt;B476, "Invalid","Okay")</f>
        <v>Okay</v>
      </c>
      <c r="K476" s="16">
        <f>I476-C476</f>
        <v>21</v>
      </c>
      <c r="L476" s="16" t="str">
        <f t="shared" si="88"/>
        <v>Target Not Met</v>
      </c>
      <c r="M476" s="2" t="s">
        <v>649</v>
      </c>
      <c r="N476" s="2" t="s">
        <v>657</v>
      </c>
      <c r="O476" s="2" t="s">
        <v>690</v>
      </c>
      <c r="P476" s="29" t="str">
        <f t="shared" si="89"/>
        <v>Europe→France→Paris</v>
      </c>
      <c r="Q476" s="2" t="s">
        <v>702</v>
      </c>
      <c r="R476" s="2" t="s">
        <v>707</v>
      </c>
      <c r="S476" s="2" t="s">
        <v>714</v>
      </c>
      <c r="T476" s="2" t="s">
        <v>730</v>
      </c>
      <c r="U476" t="e">
        <f>(AE476/#REF!)*100</f>
        <v>#REF!</v>
      </c>
      <c r="V476" s="2" t="s">
        <v>1207</v>
      </c>
      <c r="W476" s="7">
        <v>603.47</v>
      </c>
      <c r="X476" s="7">
        <v>1344.05</v>
      </c>
      <c r="Y476" s="7">
        <f t="shared" si="90"/>
        <v>1344.05</v>
      </c>
      <c r="Z476" s="7" t="str">
        <f t="shared" si="91"/>
        <v>Medium</v>
      </c>
      <c r="AA476" s="13">
        <v>0.20499999999999999</v>
      </c>
      <c r="AB476" s="13">
        <f t="shared" si="92"/>
        <v>0.20499999999999999</v>
      </c>
      <c r="AC476" s="13" t="str">
        <f t="shared" si="93"/>
        <v>OK</v>
      </c>
      <c r="AD476" s="7">
        <v>18</v>
      </c>
      <c r="AE476" s="7">
        <f>Y476*AD476*(1-AB476)</f>
        <v>19233.355499999998</v>
      </c>
      <c r="AF476" s="7">
        <f>W476*AD476</f>
        <v>10862.460000000001</v>
      </c>
      <c r="AG476" s="7">
        <f t="shared" si="94"/>
        <v>8370.8954999999969</v>
      </c>
      <c r="AH476" s="13">
        <f t="shared" si="95"/>
        <v>0.43522803392262976</v>
      </c>
    </row>
    <row r="477" spans="1:34" x14ac:dyDescent="0.35">
      <c r="A477" s="2" t="s">
        <v>489</v>
      </c>
      <c r="B477" s="5">
        <v>45069</v>
      </c>
      <c r="C477" s="5">
        <f>IF(H477&lt;B477,H477,B477)</f>
        <v>45069</v>
      </c>
      <c r="D477" s="5" t="str">
        <f t="shared" si="84"/>
        <v>May-2023</v>
      </c>
      <c r="E477" s="5" t="str">
        <f t="shared" si="85"/>
        <v>May</v>
      </c>
      <c r="F477" s="5" t="str">
        <f t="shared" si="86"/>
        <v>2023</v>
      </c>
      <c r="G477" s="5" t="str">
        <f t="shared" si="87"/>
        <v>Q2-2023</v>
      </c>
      <c r="H477" s="5">
        <v>45071</v>
      </c>
      <c r="I477" s="5">
        <f>IF(H477&lt;B477, B477+7, H477)</f>
        <v>45071</v>
      </c>
      <c r="J477" s="5" t="str">
        <f>IF(H477&lt;B477, "Invalid","Okay")</f>
        <v>Okay</v>
      </c>
      <c r="K477" s="16">
        <f>I477-C477</f>
        <v>2</v>
      </c>
      <c r="L477" s="16" t="str">
        <f t="shared" si="88"/>
        <v>Target Met</v>
      </c>
      <c r="M477" s="2" t="s">
        <v>648</v>
      </c>
      <c r="N477" s="2" t="s">
        <v>655</v>
      </c>
      <c r="O477" s="2" t="s">
        <v>692</v>
      </c>
      <c r="P477" s="29" t="str">
        <f t="shared" si="89"/>
        <v>Americas→Brazil→Rio de Janeiro</v>
      </c>
      <c r="Q477" s="2" t="s">
        <v>706</v>
      </c>
      <c r="R477" s="2" t="s">
        <v>707</v>
      </c>
      <c r="S477" s="2" t="s">
        <v>724</v>
      </c>
      <c r="T477" s="2" t="s">
        <v>728</v>
      </c>
      <c r="U477" t="e">
        <f>(AE477/#REF!)*100</f>
        <v>#REF!</v>
      </c>
      <c r="V477" s="2" t="s">
        <v>1208</v>
      </c>
      <c r="W477" s="7">
        <v>690.49</v>
      </c>
      <c r="X477" s="7">
        <v>1290.29</v>
      </c>
      <c r="Y477" s="7">
        <f t="shared" si="90"/>
        <v>1290.29</v>
      </c>
      <c r="Z477" s="7" t="str">
        <f t="shared" si="91"/>
        <v>Medium</v>
      </c>
      <c r="AA477" s="13">
        <v>4.2000000000000003E-2</v>
      </c>
      <c r="AB477" s="13">
        <f t="shared" si="92"/>
        <v>4.2000000000000003E-2</v>
      </c>
      <c r="AC477" s="13" t="str">
        <f t="shared" si="93"/>
        <v>OK</v>
      </c>
      <c r="AD477" s="7">
        <v>22</v>
      </c>
      <c r="AE477" s="7">
        <f>Y477*AD477*(1-AB477)</f>
        <v>27194.152039999997</v>
      </c>
      <c r="AF477" s="7">
        <f>W477*AD477</f>
        <v>15190.78</v>
      </c>
      <c r="AG477" s="7">
        <f t="shared" si="94"/>
        <v>12003.372039999997</v>
      </c>
      <c r="AH477" s="13">
        <f t="shared" si="95"/>
        <v>0.44139534199647718</v>
      </c>
    </row>
    <row r="478" spans="1:34" x14ac:dyDescent="0.35">
      <c r="A478" s="2" t="s">
        <v>490</v>
      </c>
      <c r="B478" s="5">
        <v>45422</v>
      </c>
      <c r="C478" s="5">
        <f>IF(H478&lt;B478,H478,B478)</f>
        <v>45422</v>
      </c>
      <c r="D478" s="5" t="str">
        <f t="shared" si="84"/>
        <v>May-2024</v>
      </c>
      <c r="E478" s="5" t="str">
        <f t="shared" si="85"/>
        <v>May</v>
      </c>
      <c r="F478" s="5" t="str">
        <f t="shared" si="86"/>
        <v>2024</v>
      </c>
      <c r="G478" s="5" t="str">
        <f t="shared" si="87"/>
        <v>Q2-2024</v>
      </c>
      <c r="H478" s="5">
        <v>45428</v>
      </c>
      <c r="I478" s="5">
        <f>IF(H478&lt;B478, B478+7, H478)</f>
        <v>45428</v>
      </c>
      <c r="J478" s="5" t="str">
        <f>IF(H478&lt;B478, "Invalid","Okay")</f>
        <v>Okay</v>
      </c>
      <c r="K478" s="16">
        <f>I478-C478</f>
        <v>6</v>
      </c>
      <c r="L478" s="16" t="str">
        <f t="shared" si="88"/>
        <v>Target Met</v>
      </c>
      <c r="M478" s="2" t="s">
        <v>649</v>
      </c>
      <c r="N478" s="2" t="s">
        <v>658</v>
      </c>
      <c r="O478" s="2" t="s">
        <v>674</v>
      </c>
      <c r="P478" s="29" t="str">
        <f t="shared" si="89"/>
        <v>Europe→United Kingdom→Birmingham</v>
      </c>
      <c r="Q478" s="2" t="s">
        <v>703</v>
      </c>
      <c r="R478" s="2" t="s">
        <v>711</v>
      </c>
      <c r="S478" s="2" t="s">
        <v>715</v>
      </c>
      <c r="T478" s="2" t="s">
        <v>731</v>
      </c>
      <c r="U478" t="e">
        <f>(AE478/#REF!)*100</f>
        <v>#REF!</v>
      </c>
      <c r="V478" s="2" t="s">
        <v>1209</v>
      </c>
      <c r="W478" s="7">
        <v>210.76</v>
      </c>
      <c r="X478" s="7">
        <v>221.58</v>
      </c>
      <c r="Y478" s="7">
        <f t="shared" si="90"/>
        <v>221.58</v>
      </c>
      <c r="Z478" s="7" t="str">
        <f t="shared" si="91"/>
        <v>Low</v>
      </c>
      <c r="AA478" s="13">
        <v>8.8999999999999996E-2</v>
      </c>
      <c r="AB478" s="13">
        <f t="shared" si="92"/>
        <v>8.8999999999999996E-2</v>
      </c>
      <c r="AC478" s="13" t="str">
        <f t="shared" si="93"/>
        <v>OK</v>
      </c>
      <c r="AD478" s="7">
        <v>5</v>
      </c>
      <c r="AE478" s="7">
        <f>Y478*AD478*(1-AB478)</f>
        <v>1009.2969000000002</v>
      </c>
      <c r="AF478" s="7">
        <f>W478*AD478</f>
        <v>1053.8</v>
      </c>
      <c r="AG478" s="7">
        <f t="shared" si="94"/>
        <v>-44.50309999999979</v>
      </c>
      <c r="AH478" s="13">
        <f t="shared" si="95"/>
        <v>-4.4093170205912434E-2</v>
      </c>
    </row>
    <row r="479" spans="1:34" x14ac:dyDescent="0.35">
      <c r="A479" s="2" t="s">
        <v>491</v>
      </c>
      <c r="B479" s="5">
        <v>44999</v>
      </c>
      <c r="C479" s="5">
        <f>IF(H479&lt;B479,H479,B479)</f>
        <v>44999</v>
      </c>
      <c r="D479" s="5" t="str">
        <f t="shared" si="84"/>
        <v>Mar-2023</v>
      </c>
      <c r="E479" s="5" t="str">
        <f t="shared" si="85"/>
        <v>Mar</v>
      </c>
      <c r="F479" s="5" t="str">
        <f t="shared" si="86"/>
        <v>2023</v>
      </c>
      <c r="G479" s="5" t="str">
        <f t="shared" si="87"/>
        <v>Q1-2023</v>
      </c>
      <c r="H479" s="5">
        <v>45003</v>
      </c>
      <c r="I479" s="5">
        <f>IF(H479&lt;B479, B479+7, H479)</f>
        <v>45003</v>
      </c>
      <c r="J479" s="5" t="str">
        <f>IF(H479&lt;B479, "Invalid","Okay")</f>
        <v>Okay</v>
      </c>
      <c r="K479" s="16">
        <f>I479-C479</f>
        <v>4</v>
      </c>
      <c r="L479" s="16" t="str">
        <f t="shared" si="88"/>
        <v>Target Met</v>
      </c>
      <c r="M479" s="2" t="s">
        <v>649</v>
      </c>
      <c r="N479" s="2" t="s">
        <v>656</v>
      </c>
      <c r="O479" s="2" t="s">
        <v>698</v>
      </c>
      <c r="P479" s="29" t="str">
        <f t="shared" si="89"/>
        <v>Europe→Germany→Frankfurt</v>
      </c>
      <c r="Q479" s="2" t="s">
        <v>706</v>
      </c>
      <c r="R479" s="2" t="s">
        <v>711</v>
      </c>
      <c r="S479" s="2" t="s">
        <v>720</v>
      </c>
      <c r="T479" s="2" t="s">
        <v>727</v>
      </c>
      <c r="U479" t="e">
        <f>(AE479/#REF!)*100</f>
        <v>#REF!</v>
      </c>
      <c r="V479" s="2" t="s">
        <v>1210</v>
      </c>
      <c r="W479" s="7">
        <v>472.33</v>
      </c>
      <c r="X479" s="7">
        <v>360.34</v>
      </c>
      <c r="Y479" s="7">
        <f t="shared" si="90"/>
        <v>360.34</v>
      </c>
      <c r="Z479" s="7" t="str">
        <f t="shared" si="91"/>
        <v>Low</v>
      </c>
      <c r="AA479" s="13">
        <v>0.16500000000000001</v>
      </c>
      <c r="AB479" s="13">
        <f t="shared" si="92"/>
        <v>0.16500000000000001</v>
      </c>
      <c r="AC479" s="13" t="str">
        <f t="shared" si="93"/>
        <v>OK</v>
      </c>
      <c r="AD479" s="7">
        <v>14</v>
      </c>
      <c r="AE479" s="7">
        <f>Y479*AD479*(1-AB479)</f>
        <v>4212.3745999999992</v>
      </c>
      <c r="AF479" s="7">
        <f>W479*AD479</f>
        <v>6612.62</v>
      </c>
      <c r="AG479" s="7">
        <f t="shared" si="94"/>
        <v>-2400.2454000000007</v>
      </c>
      <c r="AH479" s="13">
        <f t="shared" si="95"/>
        <v>-0.56980815523861561</v>
      </c>
    </row>
    <row r="480" spans="1:34" x14ac:dyDescent="0.35">
      <c r="A480" s="2" t="s">
        <v>492</v>
      </c>
      <c r="B480" s="5">
        <v>45123</v>
      </c>
      <c r="C480" s="5">
        <f>IF(H480&lt;B480,H480,B480)</f>
        <v>45123</v>
      </c>
      <c r="D480" s="5" t="str">
        <f t="shared" si="84"/>
        <v>Jul-2023</v>
      </c>
      <c r="E480" s="5" t="str">
        <f t="shared" si="85"/>
        <v>Jul</v>
      </c>
      <c r="F480" s="5" t="str">
        <f t="shared" si="86"/>
        <v>2023</v>
      </c>
      <c r="G480" s="5" t="str">
        <f t="shared" si="87"/>
        <v>Q3-2023</v>
      </c>
      <c r="H480" s="5">
        <v>45151</v>
      </c>
      <c r="I480" s="5">
        <f>IF(H480&lt;B480, B480+7, H480)</f>
        <v>45151</v>
      </c>
      <c r="J480" s="5" t="str">
        <f>IF(H480&lt;B480, "Invalid","Okay")</f>
        <v>Okay</v>
      </c>
      <c r="K480" s="16">
        <f>I480-C480</f>
        <v>28</v>
      </c>
      <c r="L480" s="16" t="str">
        <f t="shared" si="88"/>
        <v>Target Not Met</v>
      </c>
      <c r="M480" s="2" t="s">
        <v>649</v>
      </c>
      <c r="N480" s="2" t="s">
        <v>658</v>
      </c>
      <c r="O480" s="2" t="s">
        <v>693</v>
      </c>
      <c r="P480" s="29" t="str">
        <f t="shared" si="89"/>
        <v>Europe→United Kingdom→Manchester</v>
      </c>
      <c r="Q480" s="2" t="s">
        <v>703</v>
      </c>
      <c r="R480" s="2" t="s">
        <v>708</v>
      </c>
      <c r="S480" s="2" t="s">
        <v>713</v>
      </c>
      <c r="T480" s="2" t="s">
        <v>731</v>
      </c>
      <c r="U480" t="e">
        <f>(AE480/#REF!)*100</f>
        <v>#REF!</v>
      </c>
      <c r="V480" s="2" t="s">
        <v>1211</v>
      </c>
      <c r="W480" s="7">
        <v>1039.03</v>
      </c>
      <c r="X480" s="7">
        <v>2545.81</v>
      </c>
      <c r="Y480" s="7">
        <f t="shared" si="90"/>
        <v>2545.81</v>
      </c>
      <c r="Z480" s="7" t="str">
        <f t="shared" si="91"/>
        <v>High</v>
      </c>
      <c r="AA480" s="13">
        <v>0.216</v>
      </c>
      <c r="AB480" s="13">
        <f t="shared" si="92"/>
        <v>0.216</v>
      </c>
      <c r="AC480" s="13" t="str">
        <f t="shared" si="93"/>
        <v>OK</v>
      </c>
      <c r="AD480" s="7">
        <v>21</v>
      </c>
      <c r="AE480" s="7">
        <f>Y480*AD480*(1-AB480)</f>
        <v>41914.215840000004</v>
      </c>
      <c r="AF480" s="7">
        <f>W480*AD480</f>
        <v>21819.63</v>
      </c>
      <c r="AG480" s="7">
        <f t="shared" si="94"/>
        <v>20094.585840000003</v>
      </c>
      <c r="AH480" s="13">
        <f t="shared" si="95"/>
        <v>0.47942172929364774</v>
      </c>
    </row>
    <row r="481" spans="1:34" x14ac:dyDescent="0.35">
      <c r="A481" s="2" t="s">
        <v>493</v>
      </c>
      <c r="B481" s="5">
        <v>45032</v>
      </c>
      <c r="C481" s="5">
        <f>IF(H481&lt;B481,H481,B481)</f>
        <v>45032</v>
      </c>
      <c r="D481" s="5" t="str">
        <f t="shared" si="84"/>
        <v>Apr-2023</v>
      </c>
      <c r="E481" s="5" t="str">
        <f t="shared" si="85"/>
        <v>Apr</v>
      </c>
      <c r="F481" s="5" t="str">
        <f t="shared" si="86"/>
        <v>2023</v>
      </c>
      <c r="G481" s="5" t="str">
        <f t="shared" si="87"/>
        <v>Q2-2023</v>
      </c>
      <c r="H481" s="5">
        <v>45035</v>
      </c>
      <c r="I481" s="5">
        <f>IF(H481&lt;B481, B481+7, H481)</f>
        <v>45035</v>
      </c>
      <c r="J481" s="5" t="str">
        <f>IF(H481&lt;B481, "Invalid","Okay")</f>
        <v>Okay</v>
      </c>
      <c r="K481" s="16">
        <f>I481-C481</f>
        <v>3</v>
      </c>
      <c r="L481" s="16" t="str">
        <f t="shared" si="88"/>
        <v>Target Met</v>
      </c>
      <c r="M481" s="2" t="s">
        <v>649</v>
      </c>
      <c r="N481" s="2" t="s">
        <v>656</v>
      </c>
      <c r="O481" s="2" t="s">
        <v>684</v>
      </c>
      <c r="P481" s="29" t="str">
        <f t="shared" si="89"/>
        <v>Europe→Germany→Munich</v>
      </c>
      <c r="Q481" s="2" t="s">
        <v>701</v>
      </c>
      <c r="R481" s="2" t="s">
        <v>711</v>
      </c>
      <c r="S481" s="2" t="s">
        <v>717</v>
      </c>
      <c r="T481" s="2" t="s">
        <v>733</v>
      </c>
      <c r="U481" t="e">
        <f>(AE481/#REF!)*100</f>
        <v>#REF!</v>
      </c>
      <c r="V481" s="2" t="s">
        <v>1212</v>
      </c>
      <c r="W481" s="7">
        <v>553.61</v>
      </c>
      <c r="X481" s="7">
        <v>699.47</v>
      </c>
      <c r="Y481" s="7">
        <f t="shared" si="90"/>
        <v>699.47</v>
      </c>
      <c r="Z481" s="7" t="str">
        <f t="shared" si="91"/>
        <v>Low</v>
      </c>
      <c r="AA481" s="13">
        <v>0.02</v>
      </c>
      <c r="AB481" s="13">
        <f t="shared" si="92"/>
        <v>0.02</v>
      </c>
      <c r="AC481" s="13" t="str">
        <f t="shared" si="93"/>
        <v>OK</v>
      </c>
      <c r="AD481" s="7">
        <v>33</v>
      </c>
      <c r="AE481" s="7">
        <f>Y481*AD481*(1-AB481)</f>
        <v>22620.859800000002</v>
      </c>
      <c r="AF481" s="7">
        <f>W481*AD481</f>
        <v>18269.13</v>
      </c>
      <c r="AG481" s="7">
        <f t="shared" si="94"/>
        <v>4351.729800000001</v>
      </c>
      <c r="AH481" s="13">
        <f t="shared" si="95"/>
        <v>0.19237685209472014</v>
      </c>
    </row>
    <row r="482" spans="1:34" x14ac:dyDescent="0.35">
      <c r="A482" s="2" t="s">
        <v>494</v>
      </c>
      <c r="B482" s="5">
        <v>45293</v>
      </c>
      <c r="C482" s="5">
        <f>IF(H482&lt;B482,H482,B482)</f>
        <v>45293</v>
      </c>
      <c r="D482" s="5" t="str">
        <f t="shared" si="84"/>
        <v>Jan-2024</v>
      </c>
      <c r="E482" s="5" t="str">
        <f t="shared" si="85"/>
        <v>Jan</v>
      </c>
      <c r="F482" s="5" t="str">
        <f t="shared" si="86"/>
        <v>2024</v>
      </c>
      <c r="G482" s="5" t="str">
        <f t="shared" si="87"/>
        <v>Q1-2024</v>
      </c>
      <c r="H482" s="5">
        <v>45306</v>
      </c>
      <c r="I482" s="5">
        <f>IF(H482&lt;B482, B482+7, H482)</f>
        <v>45306</v>
      </c>
      <c r="J482" s="5" t="str">
        <f>IF(H482&lt;B482, "Invalid","Okay")</f>
        <v>Okay</v>
      </c>
      <c r="K482" s="16">
        <f>I482-C482</f>
        <v>13</v>
      </c>
      <c r="L482" s="16" t="str">
        <f t="shared" si="88"/>
        <v>Target Not Met</v>
      </c>
      <c r="M482" s="2" t="s">
        <v>647</v>
      </c>
      <c r="N482" s="2" t="s">
        <v>652</v>
      </c>
      <c r="O482" s="2" t="s">
        <v>694</v>
      </c>
      <c r="P482" s="29" t="str">
        <f t="shared" si="89"/>
        <v>Asia→Japan→Nagoya</v>
      </c>
      <c r="Q482" s="2" t="s">
        <v>705</v>
      </c>
      <c r="R482" s="2" t="s">
        <v>709</v>
      </c>
      <c r="S482" s="2" t="s">
        <v>715</v>
      </c>
      <c r="T482" s="2" t="s">
        <v>729</v>
      </c>
      <c r="U482" t="e">
        <f>(AE482/#REF!)*100</f>
        <v>#REF!</v>
      </c>
      <c r="V482" s="2" t="s">
        <v>1213</v>
      </c>
      <c r="W482" s="7">
        <v>1219.06</v>
      </c>
      <c r="X482" s="7">
        <v>2738.69</v>
      </c>
      <c r="Y482" s="7">
        <f t="shared" si="90"/>
        <v>2738.69</v>
      </c>
      <c r="Z482" s="7" t="str">
        <f t="shared" si="91"/>
        <v>High</v>
      </c>
      <c r="AA482" s="13">
        <v>7.5999999999999998E-2</v>
      </c>
      <c r="AB482" s="13">
        <f t="shared" si="92"/>
        <v>7.5999999999999998E-2</v>
      </c>
      <c r="AC482" s="13" t="str">
        <f t="shared" si="93"/>
        <v>OK</v>
      </c>
      <c r="AD482" s="7">
        <v>16</v>
      </c>
      <c r="AE482" s="7">
        <f>Y482*AD482*(1-AB482)</f>
        <v>40488.792960000006</v>
      </c>
      <c r="AF482" s="7">
        <f>W482*AD482</f>
        <v>19504.96</v>
      </c>
      <c r="AG482" s="7">
        <f t="shared" si="94"/>
        <v>20983.832960000007</v>
      </c>
      <c r="AH482" s="13">
        <f t="shared" si="95"/>
        <v>0.51826274447673737</v>
      </c>
    </row>
    <row r="483" spans="1:34" x14ac:dyDescent="0.35">
      <c r="A483" s="2" t="s">
        <v>495</v>
      </c>
      <c r="B483" s="5">
        <v>45538</v>
      </c>
      <c r="C483" s="5">
        <f>IF(H483&lt;B483,H483,B483)</f>
        <v>45538</v>
      </c>
      <c r="D483" s="5" t="str">
        <f t="shared" si="84"/>
        <v>Sep-2024</v>
      </c>
      <c r="E483" s="5" t="str">
        <f t="shared" si="85"/>
        <v>Sep</v>
      </c>
      <c r="F483" s="5" t="str">
        <f t="shared" si="86"/>
        <v>2024</v>
      </c>
      <c r="G483" s="5" t="str">
        <f t="shared" si="87"/>
        <v>Q3-2024</v>
      </c>
      <c r="H483" s="5">
        <v>45542</v>
      </c>
      <c r="I483" s="5">
        <f>IF(H483&lt;B483, B483+7, H483)</f>
        <v>45542</v>
      </c>
      <c r="J483" s="5" t="str">
        <f>IF(H483&lt;B483, "Invalid","Okay")</f>
        <v>Okay</v>
      </c>
      <c r="K483" s="16">
        <f>I483-C483</f>
        <v>4</v>
      </c>
      <c r="L483" s="16" t="str">
        <f t="shared" si="88"/>
        <v>Target Met</v>
      </c>
      <c r="M483" s="2" t="s">
        <v>647</v>
      </c>
      <c r="N483" s="2" t="s">
        <v>652</v>
      </c>
      <c r="O483" s="2" t="s">
        <v>689</v>
      </c>
      <c r="P483" s="29" t="str">
        <f t="shared" si="89"/>
        <v>Asia→Japan→Tokyo</v>
      </c>
      <c r="Q483" s="2" t="s">
        <v>705</v>
      </c>
      <c r="R483" s="2" t="s">
        <v>710</v>
      </c>
      <c r="S483" s="2" t="s">
        <v>725</v>
      </c>
      <c r="T483" s="2" t="s">
        <v>728</v>
      </c>
      <c r="U483" t="e">
        <f>(AE483/#REF!)*100</f>
        <v>#REF!</v>
      </c>
      <c r="V483" s="2" t="s">
        <v>1214</v>
      </c>
      <c r="W483" s="7">
        <v>43.23</v>
      </c>
      <c r="X483" s="7">
        <v>94.78</v>
      </c>
      <c r="Y483" s="7">
        <f t="shared" si="90"/>
        <v>94.78</v>
      </c>
      <c r="Z483" s="7" t="str">
        <f t="shared" si="91"/>
        <v>Low</v>
      </c>
      <c r="AA483" s="13">
        <v>9.0999999999999998E-2</v>
      </c>
      <c r="AB483" s="13">
        <f t="shared" si="92"/>
        <v>9.0999999999999998E-2</v>
      </c>
      <c r="AC483" s="13" t="str">
        <f t="shared" si="93"/>
        <v>OK</v>
      </c>
      <c r="AD483" s="7">
        <v>55</v>
      </c>
      <c r="AE483" s="7">
        <f>Y483*AD483*(1-AB483)</f>
        <v>4738.5261</v>
      </c>
      <c r="AF483" s="7">
        <f>W483*AD483</f>
        <v>2377.6499999999996</v>
      </c>
      <c r="AG483" s="7">
        <f t="shared" si="94"/>
        <v>2360.8761000000004</v>
      </c>
      <c r="AH483" s="13">
        <f t="shared" si="95"/>
        <v>0.49823005090127082</v>
      </c>
    </row>
    <row r="484" spans="1:34" x14ac:dyDescent="0.35">
      <c r="A484" s="2" t="s">
        <v>496</v>
      </c>
      <c r="B484" s="5">
        <v>45899</v>
      </c>
      <c r="C484" s="5">
        <f>IF(H484&lt;B484,H484,B484)</f>
        <v>45899</v>
      </c>
      <c r="D484" s="5" t="str">
        <f t="shared" si="84"/>
        <v>Aug-2025</v>
      </c>
      <c r="E484" s="5" t="str">
        <f t="shared" si="85"/>
        <v>Aug</v>
      </c>
      <c r="F484" s="5" t="str">
        <f t="shared" si="86"/>
        <v>2025</v>
      </c>
      <c r="G484" s="5" t="str">
        <f t="shared" si="87"/>
        <v>Q3-2025</v>
      </c>
      <c r="H484" s="5">
        <v>45903</v>
      </c>
      <c r="I484" s="5">
        <f>IF(H484&lt;B484, B484+7, H484)</f>
        <v>45903</v>
      </c>
      <c r="J484" s="5" t="str">
        <f>IF(H484&lt;B484, "Invalid","Okay")</f>
        <v>Okay</v>
      </c>
      <c r="K484" s="16">
        <f>I484-C484</f>
        <v>4</v>
      </c>
      <c r="L484" s="16" t="str">
        <f t="shared" si="88"/>
        <v>Target Met</v>
      </c>
      <c r="M484" s="2" t="s">
        <v>649</v>
      </c>
      <c r="N484" s="2" t="s">
        <v>657</v>
      </c>
      <c r="O484" s="2" t="s">
        <v>673</v>
      </c>
      <c r="P484" s="29" t="str">
        <f t="shared" si="89"/>
        <v>Europe→France→Marseille</v>
      </c>
      <c r="Q484" s="2" t="s">
        <v>705</v>
      </c>
      <c r="R484" s="2" t="s">
        <v>709</v>
      </c>
      <c r="S484" s="2" t="s">
        <v>713</v>
      </c>
      <c r="T484" s="2" t="s">
        <v>731</v>
      </c>
      <c r="U484" t="e">
        <f>(AE484/#REF!)*100</f>
        <v>#REF!</v>
      </c>
      <c r="V484" s="2" t="s">
        <v>1215</v>
      </c>
      <c r="W484" s="7">
        <v>1286.56</v>
      </c>
      <c r="X484" s="7">
        <v>2777.35</v>
      </c>
      <c r="Y484" s="7">
        <f t="shared" si="90"/>
        <v>2777.35</v>
      </c>
      <c r="Z484" s="7" t="str">
        <f t="shared" si="91"/>
        <v>High</v>
      </c>
      <c r="AA484" s="13">
        <v>0.13200000000000001</v>
      </c>
      <c r="AB484" s="13">
        <f t="shared" si="92"/>
        <v>0.13200000000000001</v>
      </c>
      <c r="AC484" s="13" t="str">
        <f t="shared" si="93"/>
        <v>OK</v>
      </c>
      <c r="AD484" s="7">
        <v>15</v>
      </c>
      <c r="AE484" s="7">
        <f>Y484*AD484*(1-AB484)</f>
        <v>36161.097000000002</v>
      </c>
      <c r="AF484" s="7">
        <f>W484*AD484</f>
        <v>19298.399999999998</v>
      </c>
      <c r="AG484" s="7">
        <f t="shared" si="94"/>
        <v>16862.697000000004</v>
      </c>
      <c r="AH484" s="13">
        <f t="shared" si="95"/>
        <v>0.46632150014696744</v>
      </c>
    </row>
    <row r="485" spans="1:34" x14ac:dyDescent="0.35">
      <c r="A485" s="2" t="s">
        <v>497</v>
      </c>
      <c r="B485" s="5">
        <v>45775</v>
      </c>
      <c r="C485" s="5">
        <f>IF(H485&lt;B485,H485,B485)</f>
        <v>45775</v>
      </c>
      <c r="D485" s="5" t="str">
        <f t="shared" si="84"/>
        <v>Apr-2025</v>
      </c>
      <c r="E485" s="5" t="str">
        <f t="shared" si="85"/>
        <v>Apr</v>
      </c>
      <c r="F485" s="5" t="str">
        <f t="shared" si="86"/>
        <v>2025</v>
      </c>
      <c r="G485" s="5" t="str">
        <f t="shared" si="87"/>
        <v>Q2-2025</v>
      </c>
      <c r="H485" s="5">
        <v>45796</v>
      </c>
      <c r="I485" s="5">
        <f>IF(H485&lt;B485, B485+7, H485)</f>
        <v>45796</v>
      </c>
      <c r="J485" s="5" t="str">
        <f>IF(H485&lt;B485, "Invalid","Okay")</f>
        <v>Okay</v>
      </c>
      <c r="K485" s="16">
        <f>I485-C485</f>
        <v>21</v>
      </c>
      <c r="L485" s="16" t="str">
        <f t="shared" si="88"/>
        <v>Target Not Met</v>
      </c>
      <c r="M485" s="2" t="s">
        <v>649</v>
      </c>
      <c r="N485" s="2" t="s">
        <v>656</v>
      </c>
      <c r="O485" s="2" t="s">
        <v>671</v>
      </c>
      <c r="P485" s="29" t="str">
        <f t="shared" si="89"/>
        <v>Europe→Germany→Berlin</v>
      </c>
      <c r="Q485" s="2" t="s">
        <v>701</v>
      </c>
      <c r="R485" s="2" t="s">
        <v>710</v>
      </c>
      <c r="S485" s="2" t="s">
        <v>717</v>
      </c>
      <c r="T485" s="2" t="s">
        <v>730</v>
      </c>
      <c r="U485" t="e">
        <f>(AE485/#REF!)*100</f>
        <v>#REF!</v>
      </c>
      <c r="V485" s="2" t="s">
        <v>1216</v>
      </c>
      <c r="W485" s="7">
        <v>350.76</v>
      </c>
      <c r="X485" s="7">
        <v>492.18</v>
      </c>
      <c r="Y485" s="7">
        <f t="shared" si="90"/>
        <v>492.18</v>
      </c>
      <c r="Z485" s="7" t="str">
        <f t="shared" si="91"/>
        <v>Low</v>
      </c>
      <c r="AA485" s="13">
        <v>5.2999999999999999E-2</v>
      </c>
      <c r="AB485" s="13">
        <f t="shared" si="92"/>
        <v>5.2999999999999999E-2</v>
      </c>
      <c r="AC485" s="13" t="str">
        <f t="shared" si="93"/>
        <v>OK</v>
      </c>
      <c r="AD485" s="7">
        <v>11</v>
      </c>
      <c r="AE485" s="7">
        <f>Y485*AD485*(1-AB485)</f>
        <v>5127.0390600000001</v>
      </c>
      <c r="AF485" s="7">
        <f>W485*AD485</f>
        <v>3858.3599999999997</v>
      </c>
      <c r="AG485" s="7">
        <f t="shared" si="94"/>
        <v>1268.6790600000004</v>
      </c>
      <c r="AH485" s="13">
        <f t="shared" si="95"/>
        <v>0.24744868239798437</v>
      </c>
    </row>
    <row r="486" spans="1:34" x14ac:dyDescent="0.35">
      <c r="A486" s="2" t="s">
        <v>498</v>
      </c>
      <c r="B486" s="5">
        <v>45148</v>
      </c>
      <c r="C486" s="5">
        <f>IF(H486&lt;B486,H486,B486)</f>
        <v>45148</v>
      </c>
      <c r="D486" s="5" t="str">
        <f t="shared" si="84"/>
        <v>Aug-2023</v>
      </c>
      <c r="E486" s="5" t="str">
        <f t="shared" si="85"/>
        <v>Aug</v>
      </c>
      <c r="F486" s="5" t="str">
        <f t="shared" si="86"/>
        <v>2023</v>
      </c>
      <c r="G486" s="5" t="str">
        <f t="shared" si="87"/>
        <v>Q3-2023</v>
      </c>
      <c r="H486" s="5">
        <v>45153</v>
      </c>
      <c r="I486" s="5">
        <f>IF(H486&lt;B486, B486+7, H486)</f>
        <v>45153</v>
      </c>
      <c r="J486" s="5" t="str">
        <f>IF(H486&lt;B486, "Invalid","Okay")</f>
        <v>Okay</v>
      </c>
      <c r="K486" s="16">
        <f>I486-C486</f>
        <v>5</v>
      </c>
      <c r="L486" s="16" t="str">
        <f t="shared" si="88"/>
        <v>Target Met</v>
      </c>
      <c r="M486" s="2" t="s">
        <v>648</v>
      </c>
      <c r="N486" s="2" t="s">
        <v>655</v>
      </c>
      <c r="O486" s="2" t="s">
        <v>670</v>
      </c>
      <c r="P486" s="29" t="str">
        <f t="shared" si="89"/>
        <v>Americas→Brazil→São Paulo</v>
      </c>
      <c r="Q486" s="2" t="s">
        <v>702</v>
      </c>
      <c r="R486" s="2" t="s">
        <v>711</v>
      </c>
      <c r="S486" s="2" t="s">
        <v>715</v>
      </c>
      <c r="T486" s="2" t="s">
        <v>729</v>
      </c>
      <c r="U486" t="e">
        <f>(AE486/#REF!)*100</f>
        <v>#REF!</v>
      </c>
      <c r="V486" s="2" t="s">
        <v>1217</v>
      </c>
      <c r="W486" s="7">
        <v>1307.52</v>
      </c>
      <c r="X486" s="7">
        <v>1921.65</v>
      </c>
      <c r="Y486" s="7">
        <f t="shared" si="90"/>
        <v>1921.65</v>
      </c>
      <c r="Z486" s="7" t="str">
        <f t="shared" si="91"/>
        <v>High</v>
      </c>
      <c r="AA486" s="13">
        <v>0.123</v>
      </c>
      <c r="AB486" s="13">
        <f t="shared" si="92"/>
        <v>0.123</v>
      </c>
      <c r="AC486" s="13" t="str">
        <f t="shared" si="93"/>
        <v>OK</v>
      </c>
      <c r="AD486" s="7">
        <v>13</v>
      </c>
      <c r="AE486" s="7">
        <f>Y486*AD486*(1-AB486)</f>
        <v>21908.731650000002</v>
      </c>
      <c r="AF486" s="7">
        <f>W486*AD486</f>
        <v>16997.759999999998</v>
      </c>
      <c r="AG486" s="7">
        <f t="shared" si="94"/>
        <v>4910.9716500000031</v>
      </c>
      <c r="AH486" s="13">
        <f t="shared" si="95"/>
        <v>0.22415590863289445</v>
      </c>
    </row>
    <row r="487" spans="1:34" x14ac:dyDescent="0.35">
      <c r="A487" s="2" t="s">
        <v>499</v>
      </c>
      <c r="B487" s="5">
        <v>45634</v>
      </c>
      <c r="C487" s="5">
        <f>IF(H487&lt;B487,H487,B487)</f>
        <v>45634</v>
      </c>
      <c r="D487" s="5" t="str">
        <f t="shared" si="84"/>
        <v>Dec-2024</v>
      </c>
      <c r="E487" s="5" t="str">
        <f t="shared" si="85"/>
        <v>Dec</v>
      </c>
      <c r="F487" s="5" t="str">
        <f t="shared" si="86"/>
        <v>2024</v>
      </c>
      <c r="G487" s="5" t="str">
        <f t="shared" si="87"/>
        <v>Q4-2024</v>
      </c>
      <c r="H487" s="5">
        <v>45634</v>
      </c>
      <c r="I487" s="5">
        <f>IF(H487&lt;B487, B487+7, H487)</f>
        <v>45634</v>
      </c>
      <c r="J487" s="5" t="str">
        <f>IF(H487&lt;B487, "Invalid","Okay")</f>
        <v>Okay</v>
      </c>
      <c r="K487" s="16">
        <f>I487-C487</f>
        <v>0</v>
      </c>
      <c r="L487" s="16" t="str">
        <f t="shared" si="88"/>
        <v>Target Met</v>
      </c>
      <c r="M487" s="2" t="s">
        <v>649</v>
      </c>
      <c r="N487" s="2" t="s">
        <v>657</v>
      </c>
      <c r="O487" s="2" t="s">
        <v>679</v>
      </c>
      <c r="P487" s="29" t="str">
        <f t="shared" si="89"/>
        <v>Europe→France→Lyon</v>
      </c>
      <c r="Q487" s="2" t="s">
        <v>706</v>
      </c>
      <c r="R487" s="2" t="s">
        <v>707</v>
      </c>
      <c r="S487" s="2" t="s">
        <v>722</v>
      </c>
      <c r="T487" s="2" t="s">
        <v>727</v>
      </c>
      <c r="U487" t="e">
        <f>(AE487/#REF!)*100</f>
        <v>#REF!</v>
      </c>
      <c r="V487" s="2" t="s">
        <v>1218</v>
      </c>
      <c r="W487" s="7">
        <v>257.44</v>
      </c>
      <c r="X487" s="7">
        <v>290.33</v>
      </c>
      <c r="Y487" s="7">
        <f t="shared" si="90"/>
        <v>290.33</v>
      </c>
      <c r="Z487" s="7" t="str">
        <f t="shared" si="91"/>
        <v>Low</v>
      </c>
      <c r="AA487" s="13">
        <v>9.1999999999999998E-2</v>
      </c>
      <c r="AB487" s="13">
        <f t="shared" si="92"/>
        <v>9.1999999999999998E-2</v>
      </c>
      <c r="AC487" s="13" t="str">
        <f t="shared" si="93"/>
        <v>OK</v>
      </c>
      <c r="AD487" s="7">
        <v>23</v>
      </c>
      <c r="AE487" s="7">
        <f>Y487*AD487*(1-AB487)</f>
        <v>6063.2517199999993</v>
      </c>
      <c r="AF487" s="7">
        <f>W487*AD487</f>
        <v>5921.12</v>
      </c>
      <c r="AG487" s="7">
        <f t="shared" si="94"/>
        <v>142.1317199999994</v>
      </c>
      <c r="AH487" s="13">
        <f t="shared" si="95"/>
        <v>2.3441500792581216E-2</v>
      </c>
    </row>
    <row r="488" spans="1:34" x14ac:dyDescent="0.35">
      <c r="A488" s="2" t="s">
        <v>500</v>
      </c>
      <c r="B488" s="5">
        <v>45224</v>
      </c>
      <c r="C488" s="5">
        <f>IF(H488&lt;B488,H488,B488)</f>
        <v>45224</v>
      </c>
      <c r="D488" s="5" t="str">
        <f t="shared" si="84"/>
        <v>Oct-2023</v>
      </c>
      <c r="E488" s="5" t="str">
        <f t="shared" si="85"/>
        <v>Oct</v>
      </c>
      <c r="F488" s="5" t="str">
        <f t="shared" si="86"/>
        <v>2023</v>
      </c>
      <c r="G488" s="5" t="str">
        <f t="shared" si="87"/>
        <v>Q4-2023</v>
      </c>
      <c r="H488" s="5">
        <v>45254</v>
      </c>
      <c r="I488" s="5">
        <f>IF(H488&lt;B488, B488+7, H488)</f>
        <v>45254</v>
      </c>
      <c r="J488" s="5" t="str">
        <f>IF(H488&lt;B488, "Invalid","Okay")</f>
        <v>Okay</v>
      </c>
      <c r="K488" s="16">
        <f>I488-C488</f>
        <v>30</v>
      </c>
      <c r="L488" s="16" t="str">
        <f t="shared" si="88"/>
        <v>Target Not Met</v>
      </c>
      <c r="M488" s="2" t="s">
        <v>649</v>
      </c>
      <c r="N488" s="2" t="s">
        <v>657</v>
      </c>
      <c r="O488" s="2" t="s">
        <v>690</v>
      </c>
      <c r="P488" s="29" t="str">
        <f t="shared" si="89"/>
        <v>Europe→France→Paris</v>
      </c>
      <c r="Q488" s="2" t="s">
        <v>706</v>
      </c>
      <c r="R488" s="2" t="s">
        <v>710</v>
      </c>
      <c r="S488" s="2" t="s">
        <v>712</v>
      </c>
      <c r="T488" s="2" t="s">
        <v>730</v>
      </c>
      <c r="U488" t="e">
        <f>(AE488/#REF!)*100</f>
        <v>#REF!</v>
      </c>
      <c r="V488" s="2" t="s">
        <v>1219</v>
      </c>
      <c r="W488" s="7">
        <v>287.85000000000002</v>
      </c>
      <c r="X488" s="7">
        <v>602.91999999999996</v>
      </c>
      <c r="Y488" s="7">
        <f t="shared" si="90"/>
        <v>602.91999999999996</v>
      </c>
      <c r="Z488" s="7" t="str">
        <f t="shared" si="91"/>
        <v>Low</v>
      </c>
      <c r="AA488" s="13">
        <v>0.222</v>
      </c>
      <c r="AB488" s="13">
        <f t="shared" si="92"/>
        <v>0.222</v>
      </c>
      <c r="AC488" s="13" t="str">
        <f t="shared" si="93"/>
        <v>OK</v>
      </c>
      <c r="AD488" s="7">
        <v>11</v>
      </c>
      <c r="AE488" s="7">
        <f>Y488*AD488*(1-AB488)</f>
        <v>5159.7893599999998</v>
      </c>
      <c r="AF488" s="7">
        <f>W488*AD488</f>
        <v>3166.3500000000004</v>
      </c>
      <c r="AG488" s="7">
        <f t="shared" si="94"/>
        <v>1993.4393599999994</v>
      </c>
      <c r="AH488" s="13">
        <f t="shared" si="95"/>
        <v>0.38634122847216373</v>
      </c>
    </row>
    <row r="489" spans="1:34" x14ac:dyDescent="0.35">
      <c r="A489" s="2" t="s">
        <v>501</v>
      </c>
      <c r="B489" s="5">
        <v>45613</v>
      </c>
      <c r="C489" s="5">
        <f>IF(H489&lt;B489,H489,B489)</f>
        <v>45613</v>
      </c>
      <c r="D489" s="5" t="str">
        <f t="shared" si="84"/>
        <v>Nov-2024</v>
      </c>
      <c r="E489" s="5" t="str">
        <f t="shared" si="85"/>
        <v>Nov</v>
      </c>
      <c r="F489" s="5" t="str">
        <f t="shared" si="86"/>
        <v>2024</v>
      </c>
      <c r="G489" s="5" t="str">
        <f t="shared" si="87"/>
        <v>Q4-2024</v>
      </c>
      <c r="H489" s="5">
        <v>45624</v>
      </c>
      <c r="I489" s="5">
        <f>IF(H489&lt;B489, B489+7, H489)</f>
        <v>45624</v>
      </c>
      <c r="J489" s="5" t="str">
        <f>IF(H489&lt;B489, "Invalid","Okay")</f>
        <v>Okay</v>
      </c>
      <c r="K489" s="16">
        <f>I489-C489</f>
        <v>11</v>
      </c>
      <c r="L489" s="16" t="str">
        <f t="shared" si="88"/>
        <v>Target Not Met</v>
      </c>
      <c r="M489" s="2" t="s">
        <v>648</v>
      </c>
      <c r="N489" s="2" t="s">
        <v>653</v>
      </c>
      <c r="O489" s="2" t="s">
        <v>1423</v>
      </c>
      <c r="P489" s="29" t="str">
        <f t="shared" si="89"/>
        <v>Americas→Canada→Unknown</v>
      </c>
      <c r="Q489" s="2" t="s">
        <v>704</v>
      </c>
      <c r="R489" s="2" t="s">
        <v>710</v>
      </c>
      <c r="S489" s="2" t="s">
        <v>720</v>
      </c>
      <c r="T489" s="2" t="s">
        <v>728</v>
      </c>
      <c r="U489" t="e">
        <f>(AE489/#REF!)*100</f>
        <v>#REF!</v>
      </c>
      <c r="V489" s="2" t="s">
        <v>1220</v>
      </c>
      <c r="W489" s="7">
        <v>1008.16</v>
      </c>
      <c r="X489" s="7">
        <v>2077.5</v>
      </c>
      <c r="Y489" s="7">
        <f t="shared" si="90"/>
        <v>2077.5</v>
      </c>
      <c r="Z489" s="7" t="str">
        <f t="shared" si="91"/>
        <v>High</v>
      </c>
      <c r="AA489" s="13">
        <v>7.3999999999999996E-2</v>
      </c>
      <c r="AB489" s="13">
        <f t="shared" si="92"/>
        <v>7.3999999999999996E-2</v>
      </c>
      <c r="AC489" s="13" t="str">
        <f t="shared" si="93"/>
        <v>OK</v>
      </c>
      <c r="AD489" s="7">
        <v>15</v>
      </c>
      <c r="AE489" s="7">
        <f>Y489*AD489*(1-AB489)</f>
        <v>28856.475000000002</v>
      </c>
      <c r="AF489" s="7">
        <f>W489*AD489</f>
        <v>15122.4</v>
      </c>
      <c r="AG489" s="7">
        <f t="shared" si="94"/>
        <v>13734.075000000003</v>
      </c>
      <c r="AH489" s="13">
        <f t="shared" si="95"/>
        <v>0.47594430712691005</v>
      </c>
    </row>
    <row r="490" spans="1:34" x14ac:dyDescent="0.35">
      <c r="A490" s="2" t="s">
        <v>502</v>
      </c>
      <c r="B490" s="5">
        <v>45424</v>
      </c>
      <c r="C490" s="5">
        <f>IF(H490&lt;B490,H490,B490)</f>
        <v>45424</v>
      </c>
      <c r="D490" s="5" t="str">
        <f t="shared" si="84"/>
        <v>May-2024</v>
      </c>
      <c r="E490" s="5" t="str">
        <f t="shared" si="85"/>
        <v>May</v>
      </c>
      <c r="F490" s="5" t="str">
        <f t="shared" si="86"/>
        <v>2024</v>
      </c>
      <c r="G490" s="5" t="str">
        <f t="shared" si="87"/>
        <v>Q2-2024</v>
      </c>
      <c r="H490" s="5">
        <v>45436</v>
      </c>
      <c r="I490" s="5">
        <f>IF(H490&lt;B490, B490+7, H490)</f>
        <v>45436</v>
      </c>
      <c r="J490" s="5" t="str">
        <f>IF(H490&lt;B490, "Invalid","Okay")</f>
        <v>Okay</v>
      </c>
      <c r="K490" s="16">
        <f>I490-C490</f>
        <v>12</v>
      </c>
      <c r="L490" s="16" t="str">
        <f t="shared" si="88"/>
        <v>Target Not Met</v>
      </c>
      <c r="M490" s="2" t="s">
        <v>649</v>
      </c>
      <c r="N490" s="2" t="s">
        <v>658</v>
      </c>
      <c r="O490" s="2" t="s">
        <v>693</v>
      </c>
      <c r="P490" s="29" t="str">
        <f t="shared" si="89"/>
        <v>Europe→United Kingdom→Manchester</v>
      </c>
      <c r="Q490" s="2" t="s">
        <v>702</v>
      </c>
      <c r="R490" s="2" t="s">
        <v>709</v>
      </c>
      <c r="S490" s="2" t="s">
        <v>723</v>
      </c>
      <c r="T490" s="2" t="s">
        <v>728</v>
      </c>
      <c r="U490" t="e">
        <f>(AE490/#REF!)*100</f>
        <v>#REF!</v>
      </c>
      <c r="V490" s="2" t="s">
        <v>1221</v>
      </c>
      <c r="W490" s="7">
        <v>111.02</v>
      </c>
      <c r="X490" s="7">
        <v>172.88</v>
      </c>
      <c r="Y490" s="7">
        <f t="shared" si="90"/>
        <v>172.88</v>
      </c>
      <c r="Z490" s="7" t="str">
        <f t="shared" si="91"/>
        <v>Low</v>
      </c>
      <c r="AA490" s="13">
        <v>0.19700000000000001</v>
      </c>
      <c r="AB490" s="13">
        <f t="shared" si="92"/>
        <v>0.19700000000000001</v>
      </c>
      <c r="AC490" s="13" t="str">
        <f t="shared" si="93"/>
        <v>OK</v>
      </c>
      <c r="AD490" s="7">
        <v>29</v>
      </c>
      <c r="AE490" s="7">
        <f>Y490*AD490*(1-AB490)</f>
        <v>4025.8565599999993</v>
      </c>
      <c r="AF490" s="7">
        <f>W490*AD490</f>
        <v>3219.58</v>
      </c>
      <c r="AG490" s="7">
        <f t="shared" si="94"/>
        <v>806.27655999999934</v>
      </c>
      <c r="AH490" s="13">
        <f t="shared" si="95"/>
        <v>0.20027453735212053</v>
      </c>
    </row>
    <row r="491" spans="1:34" x14ac:dyDescent="0.35">
      <c r="A491" s="2" t="s">
        <v>503</v>
      </c>
      <c r="B491" s="5">
        <v>45792</v>
      </c>
      <c r="C491" s="5">
        <f>IF(H491&lt;B491,H491,B491)</f>
        <v>45792</v>
      </c>
      <c r="D491" s="5" t="str">
        <f t="shared" si="84"/>
        <v>May-2025</v>
      </c>
      <c r="E491" s="5" t="str">
        <f t="shared" si="85"/>
        <v>May</v>
      </c>
      <c r="F491" s="5" t="str">
        <f t="shared" si="86"/>
        <v>2025</v>
      </c>
      <c r="G491" s="5" t="str">
        <f t="shared" si="87"/>
        <v>Q2-2025</v>
      </c>
      <c r="H491" s="5">
        <v>45813</v>
      </c>
      <c r="I491" s="5">
        <f>IF(H491&lt;B491, B491+7, H491)</f>
        <v>45813</v>
      </c>
      <c r="J491" s="5" t="str">
        <f>IF(H491&lt;B491, "Invalid","Okay")</f>
        <v>Okay</v>
      </c>
      <c r="K491" s="16">
        <f>I491-C491</f>
        <v>21</v>
      </c>
      <c r="L491" s="16" t="str">
        <f t="shared" si="88"/>
        <v>Target Not Met</v>
      </c>
      <c r="M491" s="2" t="s">
        <v>647</v>
      </c>
      <c r="N491" s="2" t="s">
        <v>652</v>
      </c>
      <c r="O491" s="2" t="s">
        <v>666</v>
      </c>
      <c r="P491" s="29" t="str">
        <f t="shared" si="89"/>
        <v>Asia→Japan→Osaka</v>
      </c>
      <c r="Q491" s="2" t="s">
        <v>706</v>
      </c>
      <c r="R491" s="2" t="s">
        <v>711</v>
      </c>
      <c r="S491" s="2" t="s">
        <v>722</v>
      </c>
      <c r="T491" s="2" t="s">
        <v>730</v>
      </c>
      <c r="U491" t="e">
        <f>(AE491/#REF!)*100</f>
        <v>#REF!</v>
      </c>
      <c r="V491" s="2" t="s">
        <v>1222</v>
      </c>
      <c r="W491" s="7">
        <v>1466.5</v>
      </c>
      <c r="X491" s="7">
        <v>2778.74</v>
      </c>
      <c r="Y491" s="7">
        <f t="shared" si="90"/>
        <v>2778.74</v>
      </c>
      <c r="Z491" s="7" t="str">
        <f t="shared" si="91"/>
        <v>High</v>
      </c>
      <c r="AA491" s="13">
        <v>0.13500000000000001</v>
      </c>
      <c r="AB491" s="13">
        <f t="shared" si="92"/>
        <v>0.13500000000000001</v>
      </c>
      <c r="AC491" s="13" t="str">
        <f t="shared" si="93"/>
        <v>OK</v>
      </c>
      <c r="AD491" s="7">
        <v>4</v>
      </c>
      <c r="AE491" s="7">
        <f>Y491*AD491*(1-AB491)</f>
        <v>9614.4403999999995</v>
      </c>
      <c r="AF491" s="7">
        <f>W491*AD491</f>
        <v>5866</v>
      </c>
      <c r="AG491" s="7">
        <f t="shared" si="94"/>
        <v>3748.4403999999995</v>
      </c>
      <c r="AH491" s="13">
        <f t="shared" si="95"/>
        <v>0.38987608680792279</v>
      </c>
    </row>
    <row r="492" spans="1:34" x14ac:dyDescent="0.35">
      <c r="A492" s="2" t="s">
        <v>504</v>
      </c>
      <c r="B492" s="5">
        <v>45403</v>
      </c>
      <c r="C492" s="5">
        <f>IF(H492&lt;B492,H492,B492)</f>
        <v>45403</v>
      </c>
      <c r="D492" s="5" t="str">
        <f t="shared" si="84"/>
        <v>Apr-2024</v>
      </c>
      <c r="E492" s="5" t="str">
        <f t="shared" si="85"/>
        <v>Apr</v>
      </c>
      <c r="F492" s="5" t="str">
        <f t="shared" si="86"/>
        <v>2024</v>
      </c>
      <c r="G492" s="5" t="str">
        <f t="shared" si="87"/>
        <v>Q2-2024</v>
      </c>
      <c r="H492" s="5">
        <v>45431</v>
      </c>
      <c r="I492" s="5">
        <f>IF(H492&lt;B492, B492+7, H492)</f>
        <v>45431</v>
      </c>
      <c r="J492" s="5" t="str">
        <f>IF(H492&lt;B492, "Invalid","Okay")</f>
        <v>Okay</v>
      </c>
      <c r="K492" s="16">
        <f>I492-C492</f>
        <v>28</v>
      </c>
      <c r="L492" s="16" t="str">
        <f t="shared" si="88"/>
        <v>Target Not Met</v>
      </c>
      <c r="M492" s="2" t="s">
        <v>646</v>
      </c>
      <c r="N492" s="2" t="s">
        <v>651</v>
      </c>
      <c r="O492" s="2" t="s">
        <v>665</v>
      </c>
      <c r="P492" s="29" t="str">
        <f t="shared" si="89"/>
        <v>Africa→Nigeria→Lagos</v>
      </c>
      <c r="Q492" s="2" t="s">
        <v>701</v>
      </c>
      <c r="R492" s="2" t="s">
        <v>710</v>
      </c>
      <c r="S492" s="2" t="s">
        <v>720</v>
      </c>
      <c r="T492" s="2" t="s">
        <v>733</v>
      </c>
      <c r="U492" t="e">
        <f>(AE492/#REF!)*100</f>
        <v>#REF!</v>
      </c>
      <c r="V492" s="2" t="s">
        <v>1223</v>
      </c>
      <c r="W492" s="7">
        <v>187.22</v>
      </c>
      <c r="X492" s="7">
        <v>309.47000000000003</v>
      </c>
      <c r="Y492" s="7">
        <f t="shared" si="90"/>
        <v>309.47000000000003</v>
      </c>
      <c r="Z492" s="7" t="str">
        <f t="shared" si="91"/>
        <v>Low</v>
      </c>
      <c r="AA492" s="13">
        <v>0</v>
      </c>
      <c r="AB492" s="13">
        <f t="shared" si="92"/>
        <v>0</v>
      </c>
      <c r="AC492" s="13" t="str">
        <f t="shared" si="93"/>
        <v>OK</v>
      </c>
      <c r="AD492" s="7">
        <v>5</v>
      </c>
      <c r="AE492" s="7">
        <f>Y492*AD492*(1-AB492)</f>
        <v>1547.3500000000001</v>
      </c>
      <c r="AF492" s="7">
        <f>W492*AD492</f>
        <v>936.1</v>
      </c>
      <c r="AG492" s="7">
        <f t="shared" si="94"/>
        <v>611.25000000000011</v>
      </c>
      <c r="AH492" s="13">
        <f t="shared" si="95"/>
        <v>0.39503021294471197</v>
      </c>
    </row>
    <row r="493" spans="1:34" x14ac:dyDescent="0.35">
      <c r="A493" s="2" t="s">
        <v>505</v>
      </c>
      <c r="B493" s="5">
        <v>45523</v>
      </c>
      <c r="C493" s="5">
        <f>IF(H493&lt;B493,H493,B493)</f>
        <v>45523</v>
      </c>
      <c r="D493" s="5" t="str">
        <f t="shared" si="84"/>
        <v>Aug-2024</v>
      </c>
      <c r="E493" s="5" t="str">
        <f t="shared" si="85"/>
        <v>Aug</v>
      </c>
      <c r="F493" s="5" t="str">
        <f t="shared" si="86"/>
        <v>2024</v>
      </c>
      <c r="G493" s="5" t="str">
        <f t="shared" si="87"/>
        <v>Q3-2024</v>
      </c>
      <c r="H493" s="5">
        <v>45542</v>
      </c>
      <c r="I493" s="5">
        <f>IF(H493&lt;B493, B493+7, H493)</f>
        <v>45542</v>
      </c>
      <c r="J493" s="5" t="str">
        <f>IF(H493&lt;B493, "Invalid","Okay")</f>
        <v>Okay</v>
      </c>
      <c r="K493" s="16">
        <f>I493-C493</f>
        <v>19</v>
      </c>
      <c r="L493" s="16" t="str">
        <f t="shared" si="88"/>
        <v>Target Not Met</v>
      </c>
      <c r="M493" s="2" t="s">
        <v>649</v>
      </c>
      <c r="N493" s="2" t="s">
        <v>657</v>
      </c>
      <c r="O493" s="2" t="s">
        <v>679</v>
      </c>
      <c r="P493" s="29" t="str">
        <f t="shared" si="89"/>
        <v>Europe→France→Lyon</v>
      </c>
      <c r="Q493" s="2" t="s">
        <v>701</v>
      </c>
      <c r="R493" s="2" t="s">
        <v>711</v>
      </c>
      <c r="S493" s="2" t="s">
        <v>713</v>
      </c>
      <c r="T493" s="2" t="s">
        <v>727</v>
      </c>
      <c r="U493" t="e">
        <f>(AE493/#REF!)*100</f>
        <v>#REF!</v>
      </c>
      <c r="V493" s="2" t="s">
        <v>1224</v>
      </c>
      <c r="W493" s="7">
        <v>297.58999999999997</v>
      </c>
      <c r="X493" s="7">
        <v>666.41</v>
      </c>
      <c r="Y493" s="7">
        <f t="shared" si="90"/>
        <v>666.41</v>
      </c>
      <c r="Z493" s="7" t="str">
        <f t="shared" si="91"/>
        <v>Low</v>
      </c>
      <c r="AA493" s="13">
        <v>0</v>
      </c>
      <c r="AB493" s="13">
        <f t="shared" si="92"/>
        <v>0</v>
      </c>
      <c r="AC493" s="13" t="str">
        <f t="shared" si="93"/>
        <v>OK</v>
      </c>
      <c r="AD493" s="7">
        <v>10</v>
      </c>
      <c r="AE493" s="7">
        <f>Y493*AD493*(1-AB493)</f>
        <v>6664.0999999999995</v>
      </c>
      <c r="AF493" s="7">
        <f>W493*AD493</f>
        <v>2975.8999999999996</v>
      </c>
      <c r="AG493" s="7">
        <f t="shared" si="94"/>
        <v>3688.2</v>
      </c>
      <c r="AH493" s="13">
        <f t="shared" si="95"/>
        <v>0.55344307558409989</v>
      </c>
    </row>
    <row r="494" spans="1:34" x14ac:dyDescent="0.35">
      <c r="A494" s="2" t="s">
        <v>506</v>
      </c>
      <c r="B494" s="5">
        <v>45861</v>
      </c>
      <c r="C494" s="5">
        <f>IF(H494&lt;B494,H494,B494)</f>
        <v>45861</v>
      </c>
      <c r="D494" s="5" t="str">
        <f t="shared" si="84"/>
        <v>Jul-2025</v>
      </c>
      <c r="E494" s="5" t="str">
        <f t="shared" si="85"/>
        <v>Jul</v>
      </c>
      <c r="F494" s="5" t="str">
        <f t="shared" si="86"/>
        <v>2025</v>
      </c>
      <c r="G494" s="5" t="str">
        <f t="shared" si="87"/>
        <v>Q3-2025</v>
      </c>
      <c r="H494" s="5">
        <v>45888</v>
      </c>
      <c r="I494" s="5">
        <f>IF(H494&lt;B494, B494+7, H494)</f>
        <v>45888</v>
      </c>
      <c r="J494" s="5" t="str">
        <f>IF(H494&lt;B494, "Invalid","Okay")</f>
        <v>Okay</v>
      </c>
      <c r="K494" s="16">
        <f>I494-C494</f>
        <v>27</v>
      </c>
      <c r="L494" s="16" t="str">
        <f t="shared" si="88"/>
        <v>Target Not Met</v>
      </c>
      <c r="M494" s="2" t="s">
        <v>647</v>
      </c>
      <c r="N494" s="2" t="s">
        <v>652</v>
      </c>
      <c r="O494" s="2" t="s">
        <v>694</v>
      </c>
      <c r="P494" s="29" t="str">
        <f t="shared" si="89"/>
        <v>Asia→Japan→Nagoya</v>
      </c>
      <c r="Q494" s="2" t="s">
        <v>704</v>
      </c>
      <c r="R494" s="2" t="s">
        <v>709</v>
      </c>
      <c r="S494" s="2" t="s">
        <v>717</v>
      </c>
      <c r="T494" s="2" t="s">
        <v>733</v>
      </c>
      <c r="U494" t="e">
        <f>(AE494/#REF!)*100</f>
        <v>#REF!</v>
      </c>
      <c r="V494" s="2" t="s">
        <v>1225</v>
      </c>
      <c r="W494" s="7">
        <v>896.09</v>
      </c>
      <c r="X494" s="7">
        <v>744.27</v>
      </c>
      <c r="Y494" s="7">
        <f t="shared" si="90"/>
        <v>744.27</v>
      </c>
      <c r="Z494" s="7" t="str">
        <f t="shared" si="91"/>
        <v>Low</v>
      </c>
      <c r="AA494" s="13">
        <v>8.3000000000000004E-2</v>
      </c>
      <c r="AB494" s="13">
        <f t="shared" si="92"/>
        <v>8.3000000000000004E-2</v>
      </c>
      <c r="AC494" s="13" t="str">
        <f t="shared" si="93"/>
        <v>OK</v>
      </c>
      <c r="AD494" s="7">
        <v>11</v>
      </c>
      <c r="AE494" s="7">
        <f>Y494*AD494*(1-AB494)</f>
        <v>7507.4514899999995</v>
      </c>
      <c r="AF494" s="7">
        <f>W494*AD494</f>
        <v>9856.99</v>
      </c>
      <c r="AG494" s="7">
        <f t="shared" si="94"/>
        <v>-2349.5385100000003</v>
      </c>
      <c r="AH494" s="13">
        <f t="shared" si="95"/>
        <v>-0.31296086469950679</v>
      </c>
    </row>
    <row r="495" spans="1:34" x14ac:dyDescent="0.35">
      <c r="A495" s="2" t="s">
        <v>507</v>
      </c>
      <c r="B495" s="5">
        <v>45352</v>
      </c>
      <c r="C495" s="5">
        <f>IF(H495&lt;B495,H495,B495)</f>
        <v>45351</v>
      </c>
      <c r="D495" s="5" t="str">
        <f t="shared" si="84"/>
        <v>Mar-2024</v>
      </c>
      <c r="E495" s="5" t="str">
        <f t="shared" si="85"/>
        <v>Feb</v>
      </c>
      <c r="F495" s="5" t="str">
        <f t="shared" si="86"/>
        <v>2024</v>
      </c>
      <c r="G495" s="5" t="str">
        <f t="shared" si="87"/>
        <v>Q1-2024</v>
      </c>
      <c r="H495" s="5">
        <v>45351</v>
      </c>
      <c r="I495" s="5">
        <f>IF(H495&lt;B495, B495+7, H495)</f>
        <v>45359</v>
      </c>
      <c r="J495" s="5" t="str">
        <f>IF(H495&lt;B495, "Invalid","Okay")</f>
        <v>Invalid</v>
      </c>
      <c r="K495" s="16">
        <f>I495-C495</f>
        <v>8</v>
      </c>
      <c r="L495" s="16" t="str">
        <f t="shared" si="88"/>
        <v>Target Not Met</v>
      </c>
      <c r="M495" s="2" t="s">
        <v>648</v>
      </c>
      <c r="N495" s="2" t="s">
        <v>655</v>
      </c>
      <c r="O495" s="2" t="s">
        <v>670</v>
      </c>
      <c r="P495" s="29" t="str">
        <f t="shared" si="89"/>
        <v>Americas→Brazil→São Paulo</v>
      </c>
      <c r="Q495" s="2" t="s">
        <v>703</v>
      </c>
      <c r="R495" s="2" t="s">
        <v>711</v>
      </c>
      <c r="S495" s="2" t="s">
        <v>714</v>
      </c>
      <c r="T495" s="2" t="s">
        <v>730</v>
      </c>
      <c r="U495" t="e">
        <f>(AE495/#REF!)*100</f>
        <v>#REF!</v>
      </c>
      <c r="V495" s="2" t="s">
        <v>1226</v>
      </c>
      <c r="W495" s="7">
        <v>5.34</v>
      </c>
      <c r="X495" s="7">
        <v>12.69</v>
      </c>
      <c r="Y495" s="7">
        <f t="shared" si="90"/>
        <v>12.69</v>
      </c>
      <c r="Z495" s="7" t="str">
        <f t="shared" si="91"/>
        <v>Low</v>
      </c>
      <c r="AA495" s="13">
        <v>0.13200000000000001</v>
      </c>
      <c r="AB495" s="13">
        <f t="shared" si="92"/>
        <v>0.13200000000000001</v>
      </c>
      <c r="AC495" s="13" t="str">
        <f t="shared" si="93"/>
        <v>OK</v>
      </c>
      <c r="AD495" s="7">
        <v>10</v>
      </c>
      <c r="AE495" s="7">
        <f>Y495*AD495*(1-AB495)</f>
        <v>110.14919999999999</v>
      </c>
      <c r="AF495" s="7">
        <f>W495*AD495</f>
        <v>53.4</v>
      </c>
      <c r="AG495" s="7">
        <f t="shared" si="94"/>
        <v>56.749199999999995</v>
      </c>
      <c r="AH495" s="13">
        <f t="shared" si="95"/>
        <v>0.51520301554618642</v>
      </c>
    </row>
    <row r="496" spans="1:34" x14ac:dyDescent="0.35">
      <c r="A496" s="2" t="s">
        <v>508</v>
      </c>
      <c r="B496" s="5">
        <v>45439</v>
      </c>
      <c r="C496" s="5">
        <f>IF(H496&lt;B496,H496,B496)</f>
        <v>45439</v>
      </c>
      <c r="D496" s="5" t="str">
        <f t="shared" si="84"/>
        <v>May-2024</v>
      </c>
      <c r="E496" s="5" t="str">
        <f t="shared" si="85"/>
        <v>May</v>
      </c>
      <c r="F496" s="5" t="str">
        <f t="shared" si="86"/>
        <v>2024</v>
      </c>
      <c r="G496" s="5" t="str">
        <f t="shared" si="87"/>
        <v>Q2-2024</v>
      </c>
      <c r="H496" s="5">
        <v>45460</v>
      </c>
      <c r="I496" s="5">
        <f>IF(H496&lt;B496, B496+7, H496)</f>
        <v>45460</v>
      </c>
      <c r="J496" s="5" t="str">
        <f>IF(H496&lt;B496, "Invalid","Okay")</f>
        <v>Okay</v>
      </c>
      <c r="K496" s="16">
        <f>I496-C496</f>
        <v>21</v>
      </c>
      <c r="L496" s="16" t="str">
        <f t="shared" si="88"/>
        <v>Target Not Met</v>
      </c>
      <c r="M496" s="2" t="s">
        <v>647</v>
      </c>
      <c r="N496" s="2" t="s">
        <v>654</v>
      </c>
      <c r="O496" s="2" t="s">
        <v>680</v>
      </c>
      <c r="P496" s="29" t="str">
        <f t="shared" si="89"/>
        <v>Asia→India→Delhi</v>
      </c>
      <c r="Q496" s="2" t="s">
        <v>705</v>
      </c>
      <c r="R496" s="2" t="s">
        <v>708</v>
      </c>
      <c r="S496" s="2" t="s">
        <v>722</v>
      </c>
      <c r="T496" s="2" t="s">
        <v>733</v>
      </c>
      <c r="U496" t="e">
        <f>(AE496/#REF!)*100</f>
        <v>#REF!</v>
      </c>
      <c r="V496" s="2" t="s">
        <v>1227</v>
      </c>
      <c r="W496" s="7">
        <v>465.02</v>
      </c>
      <c r="X496" s="7">
        <v>651.55999999999995</v>
      </c>
      <c r="Y496" s="7">
        <f t="shared" si="90"/>
        <v>651.55999999999995</v>
      </c>
      <c r="Z496" s="7" t="str">
        <f t="shared" si="91"/>
        <v>Low</v>
      </c>
      <c r="AA496" s="13">
        <v>4.2000000000000003E-2</v>
      </c>
      <c r="AB496" s="13">
        <f t="shared" si="92"/>
        <v>4.2000000000000003E-2</v>
      </c>
      <c r="AC496" s="13" t="str">
        <f t="shared" si="93"/>
        <v>OK</v>
      </c>
      <c r="AD496" s="7">
        <v>19</v>
      </c>
      <c r="AE496" s="7">
        <f>Y496*AD496*(1-AB496)</f>
        <v>11859.695119999998</v>
      </c>
      <c r="AF496" s="7">
        <f>W496*AD496</f>
        <v>8835.3799999999992</v>
      </c>
      <c r="AG496" s="7">
        <f t="shared" si="94"/>
        <v>3024.3151199999993</v>
      </c>
      <c r="AH496" s="13">
        <f t="shared" si="95"/>
        <v>0.25500783025187918</v>
      </c>
    </row>
    <row r="497" spans="1:34" x14ac:dyDescent="0.35">
      <c r="A497" s="2" t="s">
        <v>509</v>
      </c>
      <c r="B497" s="5">
        <v>45508</v>
      </c>
      <c r="C497" s="5">
        <f>IF(H497&lt;B497,H497,B497)</f>
        <v>45508</v>
      </c>
      <c r="D497" s="5" t="str">
        <f t="shared" si="84"/>
        <v>Aug-2024</v>
      </c>
      <c r="E497" s="5" t="str">
        <f t="shared" si="85"/>
        <v>Aug</v>
      </c>
      <c r="F497" s="5" t="str">
        <f t="shared" si="86"/>
        <v>2024</v>
      </c>
      <c r="G497" s="5" t="str">
        <f t="shared" si="87"/>
        <v>Q3-2024</v>
      </c>
      <c r="H497" s="5">
        <v>45521</v>
      </c>
      <c r="I497" s="5">
        <f>IF(H497&lt;B497, B497+7, H497)</f>
        <v>45521</v>
      </c>
      <c r="J497" s="5" t="str">
        <f>IF(H497&lt;B497, "Invalid","Okay")</f>
        <v>Okay</v>
      </c>
      <c r="K497" s="16">
        <f>I497-C497</f>
        <v>13</v>
      </c>
      <c r="L497" s="16" t="str">
        <f t="shared" si="88"/>
        <v>Target Not Met</v>
      </c>
      <c r="M497" s="2" t="s">
        <v>648</v>
      </c>
      <c r="N497" s="2" t="s">
        <v>660</v>
      </c>
      <c r="O497" s="2" t="s">
        <v>697</v>
      </c>
      <c r="P497" s="29" t="str">
        <f t="shared" si="89"/>
        <v>Americas→USA→Austin</v>
      </c>
      <c r="Q497" s="2" t="s">
        <v>704</v>
      </c>
      <c r="R497" s="2" t="s">
        <v>707</v>
      </c>
      <c r="S497" s="2" t="s">
        <v>726</v>
      </c>
      <c r="T497" s="2" t="s">
        <v>732</v>
      </c>
      <c r="U497" t="e">
        <f>(AE497/#REF!)*100</f>
        <v>#REF!</v>
      </c>
      <c r="V497" s="2" t="s">
        <v>1228</v>
      </c>
      <c r="W497" s="7">
        <v>352.79</v>
      </c>
      <c r="X497" s="7">
        <v>754.22</v>
      </c>
      <c r="Y497" s="7">
        <f t="shared" si="90"/>
        <v>754.22</v>
      </c>
      <c r="Z497" s="7" t="str">
        <f t="shared" si="91"/>
        <v>Low</v>
      </c>
      <c r="AA497" s="13">
        <v>0.113</v>
      </c>
      <c r="AB497" s="13">
        <f t="shared" si="92"/>
        <v>0.113</v>
      </c>
      <c r="AC497" s="13" t="str">
        <f t="shared" si="93"/>
        <v>OK</v>
      </c>
      <c r="AD497" s="7">
        <v>7</v>
      </c>
      <c r="AE497" s="7">
        <f>Y497*AD497*(1-AB497)</f>
        <v>4682.9519799999998</v>
      </c>
      <c r="AF497" s="7">
        <f>W497*AD497</f>
        <v>2469.5300000000002</v>
      </c>
      <c r="AG497" s="7">
        <f t="shared" si="94"/>
        <v>2213.4219799999996</v>
      </c>
      <c r="AH497" s="13">
        <f t="shared" si="95"/>
        <v>0.47265528014233443</v>
      </c>
    </row>
    <row r="498" spans="1:34" x14ac:dyDescent="0.35">
      <c r="A498" s="2" t="s">
        <v>510</v>
      </c>
      <c r="B498" s="5">
        <v>45097</v>
      </c>
      <c r="C498" s="5">
        <f>IF(H498&lt;B498,H498,B498)</f>
        <v>45097</v>
      </c>
      <c r="D498" s="5" t="str">
        <f t="shared" si="84"/>
        <v>Jun-2023</v>
      </c>
      <c r="E498" s="5" t="str">
        <f t="shared" si="85"/>
        <v>Jun</v>
      </c>
      <c r="F498" s="5" t="str">
        <f t="shared" si="86"/>
        <v>2023</v>
      </c>
      <c r="G498" s="5" t="str">
        <f t="shared" si="87"/>
        <v>Q2-2023</v>
      </c>
      <c r="H498" s="5">
        <v>45111</v>
      </c>
      <c r="I498" s="5">
        <f>IF(H498&lt;B498, B498+7, H498)</f>
        <v>45111</v>
      </c>
      <c r="J498" s="5" t="str">
        <f>IF(H498&lt;B498, "Invalid","Okay")</f>
        <v>Okay</v>
      </c>
      <c r="K498" s="16">
        <f>I498-C498</f>
        <v>14</v>
      </c>
      <c r="L498" s="16" t="str">
        <f t="shared" si="88"/>
        <v>Target Not Met</v>
      </c>
      <c r="M498" s="2" t="s">
        <v>648</v>
      </c>
      <c r="N498" s="2" t="s">
        <v>655</v>
      </c>
      <c r="O498" s="2" t="s">
        <v>672</v>
      </c>
      <c r="P498" s="29" t="str">
        <f t="shared" si="89"/>
        <v>Americas→Brazil→Brasília</v>
      </c>
      <c r="Q498" s="2" t="s">
        <v>703</v>
      </c>
      <c r="R498" s="2" t="s">
        <v>711</v>
      </c>
      <c r="S498" s="2" t="s">
        <v>712</v>
      </c>
      <c r="T498" s="2" t="s">
        <v>729</v>
      </c>
      <c r="U498" t="e">
        <f>(AE498/#REF!)*100</f>
        <v>#REF!</v>
      </c>
      <c r="V498" s="2" t="s">
        <v>1229</v>
      </c>
      <c r="W498" s="7">
        <v>1292.8599999999999</v>
      </c>
      <c r="X498" s="7">
        <v>2981.01</v>
      </c>
      <c r="Y498" s="7">
        <f t="shared" si="90"/>
        <v>2981.01</v>
      </c>
      <c r="Z498" s="7" t="str">
        <f t="shared" si="91"/>
        <v>High</v>
      </c>
      <c r="AA498" s="13">
        <v>0.14199999999999999</v>
      </c>
      <c r="AB498" s="13">
        <f t="shared" si="92"/>
        <v>0.14199999999999999</v>
      </c>
      <c r="AC498" s="13" t="str">
        <f t="shared" si="93"/>
        <v>OK</v>
      </c>
      <c r="AD498" s="7">
        <v>12</v>
      </c>
      <c r="AE498" s="7">
        <f>Y498*AD498*(1-AB498)</f>
        <v>30692.47896</v>
      </c>
      <c r="AF498" s="7">
        <f>W498*AD498</f>
        <v>15514.32</v>
      </c>
      <c r="AG498" s="7">
        <f t="shared" si="94"/>
        <v>15178.158960000001</v>
      </c>
      <c r="AH498" s="13">
        <f t="shared" si="95"/>
        <v>0.49452372288927687</v>
      </c>
    </row>
    <row r="499" spans="1:34" x14ac:dyDescent="0.35">
      <c r="A499" s="2" t="s">
        <v>511</v>
      </c>
      <c r="B499" s="5">
        <v>45544</v>
      </c>
      <c r="C499" s="5">
        <f>IF(H499&lt;B499,H499,B499)</f>
        <v>45544</v>
      </c>
      <c r="D499" s="5" t="str">
        <f t="shared" si="84"/>
        <v>Sep-2024</v>
      </c>
      <c r="E499" s="5" t="str">
        <f t="shared" si="85"/>
        <v>Sep</v>
      </c>
      <c r="F499" s="5" t="str">
        <f t="shared" si="86"/>
        <v>2024</v>
      </c>
      <c r="G499" s="5" t="str">
        <f t="shared" si="87"/>
        <v>Q3-2024</v>
      </c>
      <c r="H499" s="5">
        <v>45548</v>
      </c>
      <c r="I499" s="5">
        <f>IF(H499&lt;B499, B499+7, H499)</f>
        <v>45548</v>
      </c>
      <c r="J499" s="5" t="str">
        <f>IF(H499&lt;B499, "Invalid","Okay")</f>
        <v>Okay</v>
      </c>
      <c r="K499" s="16">
        <f>I499-C499</f>
        <v>4</v>
      </c>
      <c r="L499" s="16" t="str">
        <f t="shared" si="88"/>
        <v>Target Met</v>
      </c>
      <c r="M499" s="2" t="s">
        <v>649</v>
      </c>
      <c r="N499" s="2" t="s">
        <v>658</v>
      </c>
      <c r="O499" s="2" t="s">
        <v>683</v>
      </c>
      <c r="P499" s="29" t="str">
        <f t="shared" si="89"/>
        <v>Europe→United Kingdom→London</v>
      </c>
      <c r="Q499" s="2" t="s">
        <v>704</v>
      </c>
      <c r="R499" s="2" t="s">
        <v>709</v>
      </c>
      <c r="S499" s="2" t="s">
        <v>721</v>
      </c>
      <c r="T499" s="2" t="s">
        <v>729</v>
      </c>
      <c r="U499" t="e">
        <f>(AE499/#REF!)*100</f>
        <v>#REF!</v>
      </c>
      <c r="V499" s="2" t="s">
        <v>1230</v>
      </c>
      <c r="W499" s="7">
        <v>1133.08</v>
      </c>
      <c r="X499" s="7">
        <v>976.17</v>
      </c>
      <c r="Y499" s="7">
        <f t="shared" si="90"/>
        <v>976.17</v>
      </c>
      <c r="Z499" s="7" t="str">
        <f t="shared" si="91"/>
        <v>Low</v>
      </c>
      <c r="AA499" s="13">
        <v>4.2000000000000003E-2</v>
      </c>
      <c r="AB499" s="13">
        <f t="shared" si="92"/>
        <v>4.2000000000000003E-2</v>
      </c>
      <c r="AC499" s="13" t="str">
        <f t="shared" si="93"/>
        <v>OK</v>
      </c>
      <c r="AD499" s="7">
        <v>27</v>
      </c>
      <c r="AE499" s="7">
        <f>Y499*AD499*(1-AB499)</f>
        <v>25249.613219999999</v>
      </c>
      <c r="AF499" s="7">
        <f>W499*AD499</f>
        <v>30593.159999999996</v>
      </c>
      <c r="AG499" s="7">
        <f t="shared" si="94"/>
        <v>-5343.5467799999969</v>
      </c>
      <c r="AH499" s="13">
        <f t="shared" si="95"/>
        <v>-0.21162885678452373</v>
      </c>
    </row>
    <row r="500" spans="1:34" x14ac:dyDescent="0.35">
      <c r="A500" s="2" t="s">
        <v>512</v>
      </c>
      <c r="B500" s="5">
        <v>45224</v>
      </c>
      <c r="C500" s="5">
        <f>IF(H500&lt;B500,H500,B500)</f>
        <v>45224</v>
      </c>
      <c r="D500" s="5" t="str">
        <f t="shared" si="84"/>
        <v>Oct-2023</v>
      </c>
      <c r="E500" s="5" t="str">
        <f t="shared" si="85"/>
        <v>Oct</v>
      </c>
      <c r="F500" s="5" t="str">
        <f t="shared" si="86"/>
        <v>2023</v>
      </c>
      <c r="G500" s="5" t="str">
        <f t="shared" si="87"/>
        <v>Q4-2023</v>
      </c>
      <c r="H500" s="5">
        <v>45227</v>
      </c>
      <c r="I500" s="5">
        <f>IF(H500&lt;B500, B500+7, H500)</f>
        <v>45227</v>
      </c>
      <c r="J500" s="5" t="str">
        <f>IF(H500&lt;B500, "Invalid","Okay")</f>
        <v>Okay</v>
      </c>
      <c r="K500" s="16">
        <f>I500-C500</f>
        <v>3</v>
      </c>
      <c r="L500" s="16" t="str">
        <f t="shared" si="88"/>
        <v>Target Met</v>
      </c>
      <c r="M500" s="2" t="s">
        <v>648</v>
      </c>
      <c r="N500" s="2" t="s">
        <v>655</v>
      </c>
      <c r="O500" s="2" t="s">
        <v>672</v>
      </c>
      <c r="P500" s="29" t="str">
        <f t="shared" si="89"/>
        <v>Americas→Brazil→Brasília</v>
      </c>
      <c r="Q500" s="2" t="s">
        <v>701</v>
      </c>
      <c r="R500" s="2" t="s">
        <v>710</v>
      </c>
      <c r="S500" s="2" t="s">
        <v>716</v>
      </c>
      <c r="T500" s="2" t="s">
        <v>733</v>
      </c>
      <c r="U500" t="e">
        <f>(AE500/#REF!)*100</f>
        <v>#REF!</v>
      </c>
      <c r="V500" s="2" t="s">
        <v>1231</v>
      </c>
      <c r="W500" s="7">
        <v>509.31</v>
      </c>
      <c r="X500" s="7">
        <v>1145.9000000000001</v>
      </c>
      <c r="Y500" s="7">
        <f t="shared" si="90"/>
        <v>1145.9000000000001</v>
      </c>
      <c r="Z500" s="7" t="str">
        <f t="shared" si="91"/>
        <v>Low</v>
      </c>
      <c r="AA500" s="13">
        <v>5.7000000000000002E-2</v>
      </c>
      <c r="AB500" s="13">
        <f t="shared" si="92"/>
        <v>5.7000000000000002E-2</v>
      </c>
      <c r="AC500" s="13" t="str">
        <f t="shared" si="93"/>
        <v>OK</v>
      </c>
      <c r="AD500" s="7">
        <v>8</v>
      </c>
      <c r="AE500" s="7">
        <f>Y500*AD500*(1-AB500)</f>
        <v>8644.6696000000011</v>
      </c>
      <c r="AF500" s="7">
        <f>W500*AD500</f>
        <v>4074.48</v>
      </c>
      <c r="AG500" s="7">
        <f t="shared" si="94"/>
        <v>4570.1896000000015</v>
      </c>
      <c r="AH500" s="13">
        <f t="shared" si="95"/>
        <v>0.52867140231709964</v>
      </c>
    </row>
    <row r="501" spans="1:34" x14ac:dyDescent="0.35">
      <c r="A501" s="2" t="s">
        <v>513</v>
      </c>
      <c r="B501" s="5">
        <v>45908</v>
      </c>
      <c r="C501" s="5">
        <f>IF(H501&lt;B501,H501,B501)</f>
        <v>45908</v>
      </c>
      <c r="D501" s="5" t="str">
        <f t="shared" si="84"/>
        <v>Sep-2025</v>
      </c>
      <c r="E501" s="5" t="str">
        <f t="shared" si="85"/>
        <v>Sep</v>
      </c>
      <c r="F501" s="5" t="str">
        <f t="shared" si="86"/>
        <v>2025</v>
      </c>
      <c r="G501" s="5" t="str">
        <f t="shared" si="87"/>
        <v>Q3-2025</v>
      </c>
      <c r="H501" s="5">
        <v>45935</v>
      </c>
      <c r="I501" s="5">
        <f>IF(H501&lt;B501, B501+7, H501)</f>
        <v>45935</v>
      </c>
      <c r="J501" s="5" t="str">
        <f>IF(H501&lt;B501, "Invalid","Okay")</f>
        <v>Okay</v>
      </c>
      <c r="K501" s="16">
        <f>I501-C501</f>
        <v>27</v>
      </c>
      <c r="L501" s="16" t="str">
        <f t="shared" si="88"/>
        <v>Target Not Met</v>
      </c>
      <c r="M501" s="2" t="s">
        <v>648</v>
      </c>
      <c r="N501" s="2" t="s">
        <v>655</v>
      </c>
      <c r="O501" s="2" t="s">
        <v>692</v>
      </c>
      <c r="P501" s="29" t="str">
        <f t="shared" si="89"/>
        <v>Americas→Brazil→Rio de Janeiro</v>
      </c>
      <c r="Q501" s="2" t="s">
        <v>702</v>
      </c>
      <c r="R501" s="2" t="s">
        <v>708</v>
      </c>
      <c r="S501" s="2" t="s">
        <v>712</v>
      </c>
      <c r="T501" s="2" t="s">
        <v>732</v>
      </c>
      <c r="U501" t="e">
        <f>(AE501/#REF!)*100</f>
        <v>#REF!</v>
      </c>
      <c r="V501" s="2" t="s">
        <v>1232</v>
      </c>
      <c r="W501" s="7">
        <v>660.78</v>
      </c>
      <c r="X501" s="7">
        <v>1630.39</v>
      </c>
      <c r="Y501" s="7">
        <f t="shared" si="90"/>
        <v>1630.39</v>
      </c>
      <c r="Z501" s="7" t="str">
        <f t="shared" si="91"/>
        <v>Medium</v>
      </c>
      <c r="AA501" s="13">
        <v>0.218</v>
      </c>
      <c r="AB501" s="13">
        <f t="shared" si="92"/>
        <v>0.218</v>
      </c>
      <c r="AC501" s="13" t="str">
        <f t="shared" si="93"/>
        <v>OK</v>
      </c>
      <c r="AD501" s="7">
        <v>13</v>
      </c>
      <c r="AE501" s="7">
        <f>Y501*AD501*(1-AB501)</f>
        <v>16574.544740000001</v>
      </c>
      <c r="AF501" s="7">
        <f>W501*AD501</f>
        <v>8590.14</v>
      </c>
      <c r="AG501" s="7">
        <f t="shared" si="94"/>
        <v>7984.4047400000018</v>
      </c>
      <c r="AH501" s="13">
        <f t="shared" si="95"/>
        <v>0.48172694123724097</v>
      </c>
    </row>
    <row r="502" spans="1:34" x14ac:dyDescent="0.35">
      <c r="A502" s="2" t="s">
        <v>514</v>
      </c>
      <c r="B502" s="5">
        <v>45048</v>
      </c>
      <c r="C502" s="5">
        <f>IF(H502&lt;B502,H502,B502)</f>
        <v>45048</v>
      </c>
      <c r="D502" s="5" t="str">
        <f t="shared" si="84"/>
        <v>May-2023</v>
      </c>
      <c r="E502" s="5" t="str">
        <f t="shared" si="85"/>
        <v>May</v>
      </c>
      <c r="F502" s="5" t="str">
        <f t="shared" si="86"/>
        <v>2023</v>
      </c>
      <c r="G502" s="5" t="str">
        <f t="shared" si="87"/>
        <v>Q2-2023</v>
      </c>
      <c r="H502" s="5">
        <v>45062</v>
      </c>
      <c r="I502" s="5">
        <f>IF(H502&lt;B502, B502+7, H502)</f>
        <v>45062</v>
      </c>
      <c r="J502" s="5" t="str">
        <f>IF(H502&lt;B502, "Invalid","Okay")</f>
        <v>Okay</v>
      </c>
      <c r="K502" s="16">
        <f>I502-C502</f>
        <v>14</v>
      </c>
      <c r="L502" s="16" t="str">
        <f t="shared" si="88"/>
        <v>Target Not Met</v>
      </c>
      <c r="M502" s="2" t="s">
        <v>647</v>
      </c>
      <c r="N502" s="2" t="s">
        <v>654</v>
      </c>
      <c r="O502" s="2" t="s">
        <v>668</v>
      </c>
      <c r="P502" s="29" t="str">
        <f t="shared" si="89"/>
        <v>Asia→India→Bengaluru</v>
      </c>
      <c r="Q502" s="2" t="s">
        <v>703</v>
      </c>
      <c r="R502" s="2" t="s">
        <v>707</v>
      </c>
      <c r="S502" s="2" t="s">
        <v>716</v>
      </c>
      <c r="T502" s="2" t="s">
        <v>732</v>
      </c>
      <c r="U502" t="e">
        <f>(AE502/#REF!)*100</f>
        <v>#REF!</v>
      </c>
      <c r="V502" s="2" t="s">
        <v>1233</v>
      </c>
      <c r="W502" s="7">
        <v>475.37</v>
      </c>
      <c r="X502" s="7">
        <v>963.73</v>
      </c>
      <c r="Y502" s="7">
        <f t="shared" si="90"/>
        <v>963.73</v>
      </c>
      <c r="Z502" s="7" t="str">
        <f t="shared" si="91"/>
        <v>Low</v>
      </c>
      <c r="AA502" s="13">
        <v>4.1000000000000002E-2</v>
      </c>
      <c r="AB502" s="13">
        <f t="shared" si="92"/>
        <v>4.1000000000000002E-2</v>
      </c>
      <c r="AC502" s="13" t="str">
        <f t="shared" si="93"/>
        <v>OK</v>
      </c>
      <c r="AD502" s="7">
        <v>22</v>
      </c>
      <c r="AE502" s="7">
        <f>Y502*AD502*(1-AB502)</f>
        <v>20332.775539999999</v>
      </c>
      <c r="AF502" s="7">
        <f>W502*AD502</f>
        <v>10458.14</v>
      </c>
      <c r="AG502" s="7">
        <f t="shared" si="94"/>
        <v>9874.6355399999993</v>
      </c>
      <c r="AH502" s="13">
        <f t="shared" si="95"/>
        <v>0.48565113604750881</v>
      </c>
    </row>
    <row r="503" spans="1:34" x14ac:dyDescent="0.35">
      <c r="A503" s="2" t="s">
        <v>515</v>
      </c>
      <c r="B503" s="5">
        <v>45408</v>
      </c>
      <c r="C503" s="5">
        <f>IF(H503&lt;B503,H503,B503)</f>
        <v>45406</v>
      </c>
      <c r="D503" s="5" t="str">
        <f t="shared" si="84"/>
        <v>Apr-2024</v>
      </c>
      <c r="E503" s="5" t="str">
        <f t="shared" si="85"/>
        <v>Apr</v>
      </c>
      <c r="F503" s="5" t="str">
        <f t="shared" si="86"/>
        <v>2024</v>
      </c>
      <c r="G503" s="5" t="str">
        <f t="shared" si="87"/>
        <v>Q2-2024</v>
      </c>
      <c r="H503" s="5">
        <v>45406</v>
      </c>
      <c r="I503" s="5">
        <f>IF(H503&lt;B503, B503+7, H503)</f>
        <v>45415</v>
      </c>
      <c r="J503" s="5" t="str">
        <f>IF(H503&lt;B503, "Invalid","Okay")</f>
        <v>Invalid</v>
      </c>
      <c r="K503" s="16">
        <f>I503-C503</f>
        <v>9</v>
      </c>
      <c r="L503" s="16" t="str">
        <f t="shared" si="88"/>
        <v>Target Not Met</v>
      </c>
      <c r="M503" s="2" t="s">
        <v>649</v>
      </c>
      <c r="N503" s="2" t="s">
        <v>658</v>
      </c>
      <c r="O503" s="2" t="s">
        <v>683</v>
      </c>
      <c r="P503" s="29" t="str">
        <f t="shared" si="89"/>
        <v>Europe→United Kingdom→London</v>
      </c>
      <c r="Q503" s="2" t="s">
        <v>703</v>
      </c>
      <c r="R503" s="2" t="s">
        <v>710</v>
      </c>
      <c r="S503" s="2" t="s">
        <v>725</v>
      </c>
      <c r="T503" s="2" t="s">
        <v>730</v>
      </c>
      <c r="U503" t="e">
        <f>(AE503/#REF!)*100</f>
        <v>#REF!</v>
      </c>
      <c r="V503" s="2" t="s">
        <v>1234</v>
      </c>
      <c r="W503" s="7">
        <v>1232.77</v>
      </c>
      <c r="X503" s="7">
        <v>891.73</v>
      </c>
      <c r="Y503" s="7">
        <f t="shared" si="90"/>
        <v>891.73</v>
      </c>
      <c r="Z503" s="7" t="str">
        <f t="shared" si="91"/>
        <v>Low</v>
      </c>
      <c r="AA503" s="13">
        <v>0.16700000000000001</v>
      </c>
      <c r="AB503" s="13">
        <f t="shared" si="92"/>
        <v>0.16700000000000001</v>
      </c>
      <c r="AC503" s="13" t="str">
        <f t="shared" si="93"/>
        <v>OK</v>
      </c>
      <c r="AD503" s="7">
        <v>10</v>
      </c>
      <c r="AE503" s="7">
        <f>Y503*AD503*(1-AB503)</f>
        <v>7428.1108999999988</v>
      </c>
      <c r="AF503" s="7">
        <f>W503*AD503</f>
        <v>12327.7</v>
      </c>
      <c r="AG503" s="7">
        <f t="shared" si="94"/>
        <v>-4899.589100000002</v>
      </c>
      <c r="AH503" s="13">
        <f t="shared" si="95"/>
        <v>-0.65960096260813805</v>
      </c>
    </row>
    <row r="504" spans="1:34" x14ac:dyDescent="0.35">
      <c r="A504" s="2" t="s">
        <v>516</v>
      </c>
      <c r="B504" s="5">
        <v>44980</v>
      </c>
      <c r="C504" s="5">
        <f>IF(H504&lt;B504,H504,B504)</f>
        <v>44980</v>
      </c>
      <c r="D504" s="5" t="str">
        <f t="shared" si="84"/>
        <v>Feb-2023</v>
      </c>
      <c r="E504" s="5" t="str">
        <f t="shared" si="85"/>
        <v>Feb</v>
      </c>
      <c r="F504" s="5" t="str">
        <f t="shared" si="86"/>
        <v>2023</v>
      </c>
      <c r="G504" s="5" t="str">
        <f t="shared" si="87"/>
        <v>Q1-2023</v>
      </c>
      <c r="H504" s="5">
        <v>45003</v>
      </c>
      <c r="I504" s="5">
        <f>IF(H504&lt;B504, B504+7, H504)</f>
        <v>45003</v>
      </c>
      <c r="J504" s="5" t="str">
        <f>IF(H504&lt;B504, "Invalid","Okay")</f>
        <v>Okay</v>
      </c>
      <c r="K504" s="16">
        <f>I504-C504</f>
        <v>23</v>
      </c>
      <c r="L504" s="16" t="str">
        <f t="shared" si="88"/>
        <v>Target Not Met</v>
      </c>
      <c r="M504" s="2" t="s">
        <v>647</v>
      </c>
      <c r="N504" s="2" t="s">
        <v>659</v>
      </c>
      <c r="O504" s="2" t="s">
        <v>699</v>
      </c>
      <c r="P504" s="29" t="str">
        <f t="shared" si="89"/>
        <v>Asia→China→Beijing</v>
      </c>
      <c r="Q504" s="2" t="s">
        <v>702</v>
      </c>
      <c r="R504" s="2" t="s">
        <v>710</v>
      </c>
      <c r="S504" s="2" t="s">
        <v>723</v>
      </c>
      <c r="T504" s="2" t="s">
        <v>728</v>
      </c>
      <c r="U504" t="e">
        <f>(AE504/#REF!)*100</f>
        <v>#REF!</v>
      </c>
      <c r="V504" s="2" t="s">
        <v>1235</v>
      </c>
      <c r="W504" s="7">
        <v>770.11</v>
      </c>
      <c r="X504" s="7">
        <v>1667.82</v>
      </c>
      <c r="Y504" s="7">
        <f t="shared" si="90"/>
        <v>1667.82</v>
      </c>
      <c r="Z504" s="7" t="str">
        <f t="shared" si="91"/>
        <v>Medium</v>
      </c>
      <c r="AA504" s="13">
        <v>6.9000000000000006E-2</v>
      </c>
      <c r="AB504" s="13">
        <f t="shared" si="92"/>
        <v>6.9000000000000006E-2</v>
      </c>
      <c r="AC504" s="13" t="str">
        <f t="shared" si="93"/>
        <v>OK</v>
      </c>
      <c r="AD504" s="7">
        <v>7</v>
      </c>
      <c r="AE504" s="7">
        <f>Y504*AD504*(1-AB504)</f>
        <v>10869.182940000001</v>
      </c>
      <c r="AF504" s="7">
        <f>W504*AD504</f>
        <v>5390.77</v>
      </c>
      <c r="AG504" s="7">
        <f t="shared" si="94"/>
        <v>5478.4129400000002</v>
      </c>
      <c r="AH504" s="13">
        <f t="shared" si="95"/>
        <v>0.50403171703355287</v>
      </c>
    </row>
    <row r="505" spans="1:34" x14ac:dyDescent="0.35">
      <c r="A505" s="2" t="s">
        <v>517</v>
      </c>
      <c r="B505" s="5">
        <v>45740</v>
      </c>
      <c r="C505" s="5">
        <f>IF(H505&lt;B505,H505,B505)</f>
        <v>45740</v>
      </c>
      <c r="D505" s="5" t="str">
        <f t="shared" si="84"/>
        <v>Mar-2025</v>
      </c>
      <c r="E505" s="5" t="str">
        <f t="shared" si="85"/>
        <v>Mar</v>
      </c>
      <c r="F505" s="5" t="str">
        <f t="shared" si="86"/>
        <v>2025</v>
      </c>
      <c r="G505" s="5" t="str">
        <f t="shared" si="87"/>
        <v>Q1-2025</v>
      </c>
      <c r="H505" s="5">
        <v>45741</v>
      </c>
      <c r="I505" s="5">
        <f>IF(H505&lt;B505, B505+7, H505)</f>
        <v>45741</v>
      </c>
      <c r="J505" s="5" t="str">
        <f>IF(H505&lt;B505, "Invalid","Okay")</f>
        <v>Okay</v>
      </c>
      <c r="K505" s="16">
        <f>I505-C505</f>
        <v>1</v>
      </c>
      <c r="L505" s="16" t="str">
        <f t="shared" si="88"/>
        <v>Target Met</v>
      </c>
      <c r="M505" s="2" t="s">
        <v>647</v>
      </c>
      <c r="N505" s="2" t="s">
        <v>659</v>
      </c>
      <c r="O505" s="2" t="s">
        <v>699</v>
      </c>
      <c r="P505" s="29" t="str">
        <f t="shared" si="89"/>
        <v>Asia→China→Beijing</v>
      </c>
      <c r="Q505" s="2" t="s">
        <v>703</v>
      </c>
      <c r="R505" s="2" t="s">
        <v>708</v>
      </c>
      <c r="S505" s="2" t="s">
        <v>715</v>
      </c>
      <c r="T505" s="2" t="s">
        <v>729</v>
      </c>
      <c r="U505" t="e">
        <f>(AE505/#REF!)*100</f>
        <v>#REF!</v>
      </c>
      <c r="V505" s="2" t="s">
        <v>1236</v>
      </c>
      <c r="W505" s="7">
        <v>1133.03</v>
      </c>
      <c r="X505" s="7">
        <v>1921.51</v>
      </c>
      <c r="Y505" s="7">
        <f t="shared" si="90"/>
        <v>1921.51</v>
      </c>
      <c r="Z505" s="7" t="str">
        <f t="shared" si="91"/>
        <v>High</v>
      </c>
      <c r="AA505" s="13">
        <v>0.10100000000000001</v>
      </c>
      <c r="AB505" s="13">
        <f t="shared" si="92"/>
        <v>0.10100000000000001</v>
      </c>
      <c r="AC505" s="13" t="str">
        <f t="shared" si="93"/>
        <v>OK</v>
      </c>
      <c r="AD505" s="7">
        <v>5</v>
      </c>
      <c r="AE505" s="7">
        <f>Y505*AD505*(1-AB505)</f>
        <v>8637.1874499999994</v>
      </c>
      <c r="AF505" s="7">
        <f>W505*AD505</f>
        <v>5665.15</v>
      </c>
      <c r="AG505" s="7">
        <f t="shared" si="94"/>
        <v>2972.0374499999998</v>
      </c>
      <c r="AH505" s="13">
        <f t="shared" si="95"/>
        <v>0.3440978289755654</v>
      </c>
    </row>
    <row r="506" spans="1:34" x14ac:dyDescent="0.35">
      <c r="A506" s="2" t="s">
        <v>518</v>
      </c>
      <c r="B506" s="5">
        <v>45726</v>
      </c>
      <c r="C506" s="5">
        <f>IF(H506&lt;B506,H506,B506)</f>
        <v>45726</v>
      </c>
      <c r="D506" s="5" t="str">
        <f t="shared" si="84"/>
        <v>Mar-2025</v>
      </c>
      <c r="E506" s="5" t="str">
        <f t="shared" si="85"/>
        <v>Mar</v>
      </c>
      <c r="F506" s="5" t="str">
        <f t="shared" si="86"/>
        <v>2025</v>
      </c>
      <c r="G506" s="5" t="str">
        <f t="shared" si="87"/>
        <v>Q1-2025</v>
      </c>
      <c r="H506" s="5">
        <v>45743</v>
      </c>
      <c r="I506" s="5">
        <f>IF(H506&lt;B506, B506+7, H506)</f>
        <v>45743</v>
      </c>
      <c r="J506" s="5" t="str">
        <f>IF(H506&lt;B506, "Invalid","Okay")</f>
        <v>Okay</v>
      </c>
      <c r="K506" s="16">
        <f>I506-C506</f>
        <v>17</v>
      </c>
      <c r="L506" s="16" t="str">
        <f t="shared" si="88"/>
        <v>Target Not Met</v>
      </c>
      <c r="M506" s="2" t="s">
        <v>648</v>
      </c>
      <c r="N506" s="2" t="s">
        <v>655</v>
      </c>
      <c r="O506" s="2" t="s">
        <v>692</v>
      </c>
      <c r="P506" s="29" t="str">
        <f t="shared" si="89"/>
        <v>Americas→Brazil→Rio de Janeiro</v>
      </c>
      <c r="Q506" s="2" t="s">
        <v>706</v>
      </c>
      <c r="R506" s="2" t="s">
        <v>711</v>
      </c>
      <c r="S506" s="2" t="s">
        <v>721</v>
      </c>
      <c r="T506" s="2" t="s">
        <v>729</v>
      </c>
      <c r="U506" t="e">
        <f>(AE506/#REF!)*100</f>
        <v>#REF!</v>
      </c>
      <c r="V506" s="2" t="s">
        <v>1237</v>
      </c>
      <c r="W506" s="7">
        <v>996.73</v>
      </c>
      <c r="X506" s="7">
        <v>1217.43</v>
      </c>
      <c r="Y506" s="7">
        <f t="shared" si="90"/>
        <v>1217.43</v>
      </c>
      <c r="Z506" s="7" t="str">
        <f t="shared" si="91"/>
        <v>Medium</v>
      </c>
      <c r="AA506" s="13">
        <v>7.0000000000000007E-2</v>
      </c>
      <c r="AB506" s="13">
        <f t="shared" si="92"/>
        <v>7.0000000000000007E-2</v>
      </c>
      <c r="AC506" s="13" t="str">
        <f t="shared" si="93"/>
        <v>OK</v>
      </c>
      <c r="AD506" s="7">
        <v>9</v>
      </c>
      <c r="AE506" s="7">
        <f>Y506*AD506*(1-AB506)</f>
        <v>10189.8891</v>
      </c>
      <c r="AF506" s="7">
        <f>W506*AD506</f>
        <v>8970.57</v>
      </c>
      <c r="AG506" s="7">
        <f t="shared" si="94"/>
        <v>1219.3191000000006</v>
      </c>
      <c r="AH506" s="13">
        <f t="shared" si="95"/>
        <v>0.11965970267527255</v>
      </c>
    </row>
    <row r="507" spans="1:34" x14ac:dyDescent="0.35">
      <c r="A507" s="2" t="s">
        <v>519</v>
      </c>
      <c r="B507" s="5">
        <v>45387</v>
      </c>
      <c r="C507" s="5">
        <f>IF(H507&lt;B507,H507,B507)</f>
        <v>45387</v>
      </c>
      <c r="D507" s="5" t="str">
        <f t="shared" si="84"/>
        <v>Apr-2024</v>
      </c>
      <c r="E507" s="5" t="str">
        <f t="shared" si="85"/>
        <v>Apr</v>
      </c>
      <c r="F507" s="5" t="str">
        <f t="shared" si="86"/>
        <v>2024</v>
      </c>
      <c r="G507" s="5" t="str">
        <f t="shared" si="87"/>
        <v>Q2-2024</v>
      </c>
      <c r="H507" s="5">
        <v>45391</v>
      </c>
      <c r="I507" s="5">
        <f>IF(H507&lt;B507, B507+7, H507)</f>
        <v>45391</v>
      </c>
      <c r="J507" s="5" t="str">
        <f>IF(H507&lt;B507, "Invalid","Okay")</f>
        <v>Okay</v>
      </c>
      <c r="K507" s="16">
        <f>I507-C507</f>
        <v>4</v>
      </c>
      <c r="L507" s="16" t="str">
        <f t="shared" si="88"/>
        <v>Target Met</v>
      </c>
      <c r="M507" s="2" t="s">
        <v>646</v>
      </c>
      <c r="N507" s="2" t="s">
        <v>651</v>
      </c>
      <c r="O507" s="2" t="s">
        <v>665</v>
      </c>
      <c r="P507" s="29" t="str">
        <f t="shared" si="89"/>
        <v>Africa→Nigeria→Lagos</v>
      </c>
      <c r="Q507" s="2" t="s">
        <v>703</v>
      </c>
      <c r="R507" s="2" t="s">
        <v>711</v>
      </c>
      <c r="S507" s="2" t="s">
        <v>723</v>
      </c>
      <c r="T507" s="2" t="s">
        <v>727</v>
      </c>
      <c r="U507" t="e">
        <f>(AE507/#REF!)*100</f>
        <v>#REF!</v>
      </c>
      <c r="V507" s="2" t="s">
        <v>1238</v>
      </c>
      <c r="W507" s="7">
        <v>395.07</v>
      </c>
      <c r="X507" s="7">
        <v>970.27</v>
      </c>
      <c r="Y507" s="7">
        <f t="shared" si="90"/>
        <v>970.27</v>
      </c>
      <c r="Z507" s="7" t="str">
        <f t="shared" si="91"/>
        <v>Low</v>
      </c>
      <c r="AA507" s="13">
        <v>0.123</v>
      </c>
      <c r="AB507" s="13">
        <f t="shared" si="92"/>
        <v>0.123</v>
      </c>
      <c r="AC507" s="13" t="str">
        <f t="shared" si="93"/>
        <v>OK</v>
      </c>
      <c r="AD507" s="7">
        <v>38</v>
      </c>
      <c r="AE507" s="7">
        <f>Y507*AD507*(1-AB507)</f>
        <v>32335.21802</v>
      </c>
      <c r="AF507" s="7">
        <f>W507*AD507</f>
        <v>15012.66</v>
      </c>
      <c r="AG507" s="7">
        <f t="shared" si="94"/>
        <v>17322.55802</v>
      </c>
      <c r="AH507" s="13">
        <f t="shared" si="95"/>
        <v>0.53571799049833657</v>
      </c>
    </row>
    <row r="508" spans="1:34" x14ac:dyDescent="0.35">
      <c r="A508" s="2" t="s">
        <v>520</v>
      </c>
      <c r="B508" s="5">
        <v>45774</v>
      </c>
      <c r="C508" s="5">
        <f>IF(H508&lt;B508,H508,B508)</f>
        <v>45774</v>
      </c>
      <c r="D508" s="5" t="str">
        <f t="shared" si="84"/>
        <v>Apr-2025</v>
      </c>
      <c r="E508" s="5" t="str">
        <f t="shared" si="85"/>
        <v>Apr</v>
      </c>
      <c r="F508" s="5" t="str">
        <f t="shared" si="86"/>
        <v>2025</v>
      </c>
      <c r="G508" s="5" t="str">
        <f t="shared" si="87"/>
        <v>Q2-2025</v>
      </c>
      <c r="H508" s="5">
        <v>45794</v>
      </c>
      <c r="I508" s="5">
        <f>IF(H508&lt;B508, B508+7, H508)</f>
        <v>45794</v>
      </c>
      <c r="J508" s="5" t="str">
        <f>IF(H508&lt;B508, "Invalid","Okay")</f>
        <v>Okay</v>
      </c>
      <c r="K508" s="16">
        <f>I508-C508</f>
        <v>20</v>
      </c>
      <c r="L508" s="16" t="str">
        <f t="shared" si="88"/>
        <v>Target Not Met</v>
      </c>
      <c r="M508" s="2" t="s">
        <v>648</v>
      </c>
      <c r="N508" s="2" t="s">
        <v>660</v>
      </c>
      <c r="O508" s="2" t="s">
        <v>697</v>
      </c>
      <c r="P508" s="29" t="str">
        <f t="shared" si="89"/>
        <v>Americas→USA→Austin</v>
      </c>
      <c r="Q508" s="2" t="s">
        <v>701</v>
      </c>
      <c r="R508" s="2" t="s">
        <v>711</v>
      </c>
      <c r="S508" s="2" t="s">
        <v>725</v>
      </c>
      <c r="T508" s="2" t="s">
        <v>730</v>
      </c>
      <c r="U508" t="e">
        <f>(AE508/#REF!)*100</f>
        <v>#REF!</v>
      </c>
      <c r="V508" s="2" t="s">
        <v>1239</v>
      </c>
      <c r="W508" s="7">
        <v>932.26</v>
      </c>
      <c r="X508" s="7">
        <v>1624.67</v>
      </c>
      <c r="Y508" s="7">
        <f t="shared" si="90"/>
        <v>1624.67</v>
      </c>
      <c r="Z508" s="7" t="str">
        <f t="shared" si="91"/>
        <v>Medium</v>
      </c>
      <c r="AA508" s="13">
        <v>0.23499999999999999</v>
      </c>
      <c r="AB508" s="13">
        <f t="shared" si="92"/>
        <v>0.23499999999999999</v>
      </c>
      <c r="AC508" s="13" t="str">
        <f t="shared" si="93"/>
        <v>OK</v>
      </c>
      <c r="AD508" s="7">
        <v>28</v>
      </c>
      <c r="AE508" s="7">
        <f>Y508*AD508*(1-AB508)</f>
        <v>34800.431400000001</v>
      </c>
      <c r="AF508" s="7">
        <f>W508*AD508</f>
        <v>26103.279999999999</v>
      </c>
      <c r="AG508" s="7">
        <f t="shared" si="94"/>
        <v>8697.1514000000025</v>
      </c>
      <c r="AH508" s="13">
        <f t="shared" si="95"/>
        <v>0.24991504559337163</v>
      </c>
    </row>
    <row r="509" spans="1:34" x14ac:dyDescent="0.35">
      <c r="A509" s="2" t="s">
        <v>521</v>
      </c>
      <c r="B509" s="5">
        <v>45589</v>
      </c>
      <c r="C509" s="5">
        <f>IF(H509&lt;B509,H509,B509)</f>
        <v>45589</v>
      </c>
      <c r="D509" s="5" t="str">
        <f t="shared" si="84"/>
        <v>Oct-2024</v>
      </c>
      <c r="E509" s="5" t="str">
        <f t="shared" si="85"/>
        <v>Oct</v>
      </c>
      <c r="F509" s="5" t="str">
        <f t="shared" si="86"/>
        <v>2024</v>
      </c>
      <c r="G509" s="5" t="str">
        <f t="shared" si="87"/>
        <v>Q4-2024</v>
      </c>
      <c r="H509" s="5">
        <v>45593</v>
      </c>
      <c r="I509" s="5">
        <f>IF(H509&lt;B509, B509+7, H509)</f>
        <v>45593</v>
      </c>
      <c r="J509" s="5" t="str">
        <f>IF(H509&lt;B509, "Invalid","Okay")</f>
        <v>Okay</v>
      </c>
      <c r="K509" s="16">
        <f>I509-C509</f>
        <v>4</v>
      </c>
      <c r="L509" s="16" t="str">
        <f t="shared" si="88"/>
        <v>Target Met</v>
      </c>
      <c r="M509" s="2" t="s">
        <v>647</v>
      </c>
      <c r="N509" s="2" t="s">
        <v>659</v>
      </c>
      <c r="O509" s="2" t="s">
        <v>685</v>
      </c>
      <c r="P509" s="29" t="str">
        <f t="shared" si="89"/>
        <v>Asia→China→Shanghai</v>
      </c>
      <c r="Q509" s="2" t="s">
        <v>705</v>
      </c>
      <c r="R509" s="2" t="s">
        <v>710</v>
      </c>
      <c r="S509" s="2" t="s">
        <v>714</v>
      </c>
      <c r="T509" s="2" t="s">
        <v>729</v>
      </c>
      <c r="U509" t="e">
        <f>(AE509/#REF!)*100</f>
        <v>#REF!</v>
      </c>
      <c r="V509" s="2" t="s">
        <v>1240</v>
      </c>
      <c r="W509" s="7">
        <v>1331.77</v>
      </c>
      <c r="X509" s="7">
        <v>2606.11</v>
      </c>
      <c r="Y509" s="7">
        <f t="shared" si="90"/>
        <v>2606.11</v>
      </c>
      <c r="Z509" s="7" t="str">
        <f t="shared" si="91"/>
        <v>High</v>
      </c>
      <c r="AA509" s="13">
        <v>0.02</v>
      </c>
      <c r="AB509" s="13">
        <f t="shared" si="92"/>
        <v>0.02</v>
      </c>
      <c r="AC509" s="13" t="str">
        <f t="shared" si="93"/>
        <v>OK</v>
      </c>
      <c r="AD509" s="7">
        <v>6</v>
      </c>
      <c r="AE509" s="7">
        <f>Y509*AD509*(1-AB509)</f>
        <v>15323.926799999999</v>
      </c>
      <c r="AF509" s="7">
        <f>W509*AD509</f>
        <v>7990.62</v>
      </c>
      <c r="AG509" s="7">
        <f t="shared" si="94"/>
        <v>7333.3067999999994</v>
      </c>
      <c r="AH509" s="13">
        <f t="shared" si="95"/>
        <v>0.47855271665745619</v>
      </c>
    </row>
    <row r="510" spans="1:34" x14ac:dyDescent="0.35">
      <c r="A510" s="2" t="s">
        <v>522</v>
      </c>
      <c r="B510" s="5">
        <v>45029</v>
      </c>
      <c r="C510" s="5">
        <f>IF(H510&lt;B510,H510,B510)</f>
        <v>45029</v>
      </c>
      <c r="D510" s="5" t="str">
        <f t="shared" si="84"/>
        <v>Apr-2023</v>
      </c>
      <c r="E510" s="5" t="str">
        <f t="shared" si="85"/>
        <v>Apr</v>
      </c>
      <c r="F510" s="5" t="str">
        <f t="shared" si="86"/>
        <v>2023</v>
      </c>
      <c r="G510" s="5" t="str">
        <f t="shared" si="87"/>
        <v>Q2-2023</v>
      </c>
      <c r="H510" s="5">
        <v>45036</v>
      </c>
      <c r="I510" s="5">
        <f>IF(H510&lt;B510, B510+7, H510)</f>
        <v>45036</v>
      </c>
      <c r="J510" s="5" t="str">
        <f>IF(H510&lt;B510, "Invalid","Okay")</f>
        <v>Okay</v>
      </c>
      <c r="K510" s="16">
        <f>I510-C510</f>
        <v>7</v>
      </c>
      <c r="L510" s="16" t="str">
        <f t="shared" si="88"/>
        <v>Target Met</v>
      </c>
      <c r="M510" s="2" t="s">
        <v>649</v>
      </c>
      <c r="N510" s="2" t="s">
        <v>657</v>
      </c>
      <c r="O510" s="2" t="s">
        <v>679</v>
      </c>
      <c r="P510" s="29" t="str">
        <f t="shared" si="89"/>
        <v>Europe→France→Lyon</v>
      </c>
      <c r="Q510" s="2" t="s">
        <v>705</v>
      </c>
      <c r="R510" s="2" t="s">
        <v>708</v>
      </c>
      <c r="S510" s="2" t="s">
        <v>720</v>
      </c>
      <c r="T510" s="2" t="s">
        <v>731</v>
      </c>
      <c r="U510" t="e">
        <f>(AE510/#REF!)*100</f>
        <v>#REF!</v>
      </c>
      <c r="V510" s="2" t="s">
        <v>1241</v>
      </c>
      <c r="W510" s="7">
        <v>227.02</v>
      </c>
      <c r="X510" s="7">
        <v>434.72</v>
      </c>
      <c r="Y510" s="7">
        <f t="shared" si="90"/>
        <v>434.72</v>
      </c>
      <c r="Z510" s="7" t="str">
        <f t="shared" si="91"/>
        <v>Low</v>
      </c>
      <c r="AA510" s="13">
        <v>9.8000000000000004E-2</v>
      </c>
      <c r="AB510" s="13">
        <f t="shared" si="92"/>
        <v>9.8000000000000004E-2</v>
      </c>
      <c r="AC510" s="13" t="str">
        <f t="shared" si="93"/>
        <v>OK</v>
      </c>
      <c r="AD510" s="7">
        <v>10</v>
      </c>
      <c r="AE510" s="7">
        <f>Y510*AD510*(1-AB510)</f>
        <v>3921.1744000000008</v>
      </c>
      <c r="AF510" s="7">
        <f>W510*AD510</f>
        <v>2270.2000000000003</v>
      </c>
      <c r="AG510" s="7">
        <f t="shared" si="94"/>
        <v>1650.9744000000005</v>
      </c>
      <c r="AH510" s="13">
        <f t="shared" si="95"/>
        <v>0.42104079838938052</v>
      </c>
    </row>
    <row r="511" spans="1:34" x14ac:dyDescent="0.35">
      <c r="A511" s="2" t="s">
        <v>523</v>
      </c>
      <c r="B511" s="5">
        <v>45608</v>
      </c>
      <c r="C511" s="5">
        <f>IF(H511&lt;B511,H511,B511)</f>
        <v>45608</v>
      </c>
      <c r="D511" s="5" t="str">
        <f t="shared" si="84"/>
        <v>Nov-2024</v>
      </c>
      <c r="E511" s="5" t="str">
        <f t="shared" si="85"/>
        <v>Nov</v>
      </c>
      <c r="F511" s="5" t="str">
        <f t="shared" si="86"/>
        <v>2024</v>
      </c>
      <c r="G511" s="5" t="str">
        <f t="shared" si="87"/>
        <v>Q4-2024</v>
      </c>
      <c r="H511" s="5">
        <v>45617</v>
      </c>
      <c r="I511" s="5">
        <f>IF(H511&lt;B511, B511+7, H511)</f>
        <v>45617</v>
      </c>
      <c r="J511" s="5" t="str">
        <f>IF(H511&lt;B511, "Invalid","Okay")</f>
        <v>Okay</v>
      </c>
      <c r="K511" s="16">
        <f>I511-C511</f>
        <v>9</v>
      </c>
      <c r="L511" s="16" t="str">
        <f t="shared" si="88"/>
        <v>Target Not Met</v>
      </c>
      <c r="M511" s="2" t="s">
        <v>647</v>
      </c>
      <c r="N511" s="2" t="s">
        <v>654</v>
      </c>
      <c r="O511" s="2" t="s">
        <v>691</v>
      </c>
      <c r="P511" s="29" t="str">
        <f t="shared" si="89"/>
        <v>Asia→India→Mumbai</v>
      </c>
      <c r="Q511" s="2" t="s">
        <v>701</v>
      </c>
      <c r="R511" s="2" t="s">
        <v>711</v>
      </c>
      <c r="S511" s="2" t="s">
        <v>722</v>
      </c>
      <c r="T511" s="2" t="s">
        <v>731</v>
      </c>
      <c r="U511" t="e">
        <f>(AE511/#REF!)*100</f>
        <v>#REF!</v>
      </c>
      <c r="V511" s="2" t="s">
        <v>1242</v>
      </c>
      <c r="W511" s="7">
        <v>903.41</v>
      </c>
      <c r="X511" s="7">
        <v>1860.41</v>
      </c>
      <c r="Y511" s="7">
        <f t="shared" si="90"/>
        <v>1860.41</v>
      </c>
      <c r="Z511" s="7" t="str">
        <f t="shared" si="91"/>
        <v>Medium</v>
      </c>
      <c r="AA511" s="13">
        <v>0.108</v>
      </c>
      <c r="AB511" s="13">
        <f t="shared" si="92"/>
        <v>0.108</v>
      </c>
      <c r="AC511" s="13" t="str">
        <f t="shared" si="93"/>
        <v>OK</v>
      </c>
      <c r="AD511" s="7">
        <v>5</v>
      </c>
      <c r="AE511" s="7">
        <f>Y511*AD511*(1-AB511)</f>
        <v>8297.4286000000011</v>
      </c>
      <c r="AF511" s="7">
        <f>W511*AD511</f>
        <v>4517.05</v>
      </c>
      <c r="AG511" s="7">
        <f t="shared" si="94"/>
        <v>3780.3786000000009</v>
      </c>
      <c r="AH511" s="13">
        <f t="shared" si="95"/>
        <v>0.455608451996803</v>
      </c>
    </row>
    <row r="512" spans="1:34" x14ac:dyDescent="0.35">
      <c r="A512" s="2" t="s">
        <v>524</v>
      </c>
      <c r="B512" s="5">
        <v>45056</v>
      </c>
      <c r="C512" s="5">
        <f>IF(H512&lt;B512,H512,B512)</f>
        <v>45056</v>
      </c>
      <c r="D512" s="5" t="str">
        <f t="shared" si="84"/>
        <v>May-2023</v>
      </c>
      <c r="E512" s="5" t="str">
        <f t="shared" si="85"/>
        <v>May</v>
      </c>
      <c r="F512" s="5" t="str">
        <f t="shared" si="86"/>
        <v>2023</v>
      </c>
      <c r="G512" s="5" t="str">
        <f t="shared" si="87"/>
        <v>Q2-2023</v>
      </c>
      <c r="H512" s="5">
        <v>45060</v>
      </c>
      <c r="I512" s="5">
        <f>IF(H512&lt;B512, B512+7, H512)</f>
        <v>45060</v>
      </c>
      <c r="J512" s="5" t="str">
        <f>IF(H512&lt;B512, "Invalid","Okay")</f>
        <v>Okay</v>
      </c>
      <c r="K512" s="16">
        <f>I512-C512</f>
        <v>4</v>
      </c>
      <c r="L512" s="16" t="str">
        <f t="shared" si="88"/>
        <v>Target Met</v>
      </c>
      <c r="M512" s="2" t="s">
        <v>647</v>
      </c>
      <c r="N512" s="2" t="s">
        <v>654</v>
      </c>
      <c r="O512" s="2" t="s">
        <v>680</v>
      </c>
      <c r="P512" s="29" t="str">
        <f t="shared" si="89"/>
        <v>Asia→India→Delhi</v>
      </c>
      <c r="Q512" s="2" t="s">
        <v>703</v>
      </c>
      <c r="R512" s="2" t="s">
        <v>710</v>
      </c>
      <c r="S512" s="2" t="s">
        <v>712</v>
      </c>
      <c r="T512" s="2" t="s">
        <v>732</v>
      </c>
      <c r="U512" t="e">
        <f>(AE512/#REF!)*100</f>
        <v>#REF!</v>
      </c>
      <c r="V512" s="2" t="s">
        <v>1243</v>
      </c>
      <c r="W512" s="7">
        <v>622.6</v>
      </c>
      <c r="X512" s="7">
        <v>833.69</v>
      </c>
      <c r="Y512" s="7">
        <f t="shared" si="90"/>
        <v>833.69</v>
      </c>
      <c r="Z512" s="7" t="str">
        <f t="shared" si="91"/>
        <v>Low</v>
      </c>
      <c r="AA512" s="13">
        <v>0.20899999999999999</v>
      </c>
      <c r="AB512" s="13">
        <f t="shared" si="92"/>
        <v>0.20899999999999999</v>
      </c>
      <c r="AC512" s="13" t="str">
        <f t="shared" si="93"/>
        <v>OK</v>
      </c>
      <c r="AD512" s="7">
        <v>14</v>
      </c>
      <c r="AE512" s="7">
        <f>Y512*AD512*(1-AB512)</f>
        <v>9232.2830599999998</v>
      </c>
      <c r="AF512" s="7">
        <f>W512*AD512</f>
        <v>8716.4</v>
      </c>
      <c r="AG512" s="7">
        <f t="shared" si="94"/>
        <v>515.88306000000011</v>
      </c>
      <c r="AH512" s="13">
        <f t="shared" si="95"/>
        <v>5.5878167582959715E-2</v>
      </c>
    </row>
    <row r="513" spans="1:34" x14ac:dyDescent="0.35">
      <c r="A513" s="2" t="s">
        <v>525</v>
      </c>
      <c r="B513" s="5">
        <v>45353</v>
      </c>
      <c r="C513" s="5">
        <f>IF(H513&lt;B513,H513,B513)</f>
        <v>45353</v>
      </c>
      <c r="D513" s="5" t="str">
        <f t="shared" si="84"/>
        <v>Mar-2024</v>
      </c>
      <c r="E513" s="5" t="str">
        <f t="shared" si="85"/>
        <v>Mar</v>
      </c>
      <c r="F513" s="5" t="str">
        <f t="shared" si="86"/>
        <v>2024</v>
      </c>
      <c r="G513" s="5" t="str">
        <f t="shared" si="87"/>
        <v>Q1-2024</v>
      </c>
      <c r="H513" s="5">
        <v>45374</v>
      </c>
      <c r="I513" s="5">
        <f>IF(H513&lt;B513, B513+7, H513)</f>
        <v>45374</v>
      </c>
      <c r="J513" s="5" t="str">
        <f>IF(H513&lt;B513, "Invalid","Okay")</f>
        <v>Okay</v>
      </c>
      <c r="K513" s="16">
        <f>I513-C513</f>
        <v>21</v>
      </c>
      <c r="L513" s="16" t="str">
        <f t="shared" si="88"/>
        <v>Target Not Met</v>
      </c>
      <c r="M513" s="2" t="s">
        <v>648</v>
      </c>
      <c r="N513" s="2" t="s">
        <v>660</v>
      </c>
      <c r="O513" s="2" t="s">
        <v>677</v>
      </c>
      <c r="P513" s="29" t="str">
        <f t="shared" si="89"/>
        <v>Americas→USA→Chicago</v>
      </c>
      <c r="Q513" s="2" t="s">
        <v>705</v>
      </c>
      <c r="R513" s="2" t="s">
        <v>708</v>
      </c>
      <c r="S513" s="2" t="s">
        <v>721</v>
      </c>
      <c r="T513" s="2" t="s">
        <v>727</v>
      </c>
      <c r="U513" t="e">
        <f>(AE513/#REF!)*100</f>
        <v>#REF!</v>
      </c>
      <c r="V513" s="2" t="s">
        <v>1244</v>
      </c>
      <c r="W513" s="7">
        <v>225.01</v>
      </c>
      <c r="X513" s="7">
        <v>333.48</v>
      </c>
      <c r="Y513" s="7">
        <f t="shared" si="90"/>
        <v>333.48</v>
      </c>
      <c r="Z513" s="7" t="str">
        <f t="shared" si="91"/>
        <v>Low</v>
      </c>
      <c r="AA513" s="13">
        <v>0.11899999999999999</v>
      </c>
      <c r="AB513" s="13">
        <f t="shared" si="92"/>
        <v>0.11899999999999999</v>
      </c>
      <c r="AC513" s="13" t="str">
        <f t="shared" si="93"/>
        <v>OK</v>
      </c>
      <c r="AD513" s="7">
        <v>12</v>
      </c>
      <c r="AE513" s="7">
        <f>Y513*AD513*(1-AB513)</f>
        <v>3525.5505600000001</v>
      </c>
      <c r="AF513" s="7">
        <f>W513*AD513</f>
        <v>2700.12</v>
      </c>
      <c r="AG513" s="7">
        <f t="shared" si="94"/>
        <v>825.43056000000024</v>
      </c>
      <c r="AH513" s="13">
        <f t="shared" si="95"/>
        <v>0.23412813004729685</v>
      </c>
    </row>
    <row r="514" spans="1:34" x14ac:dyDescent="0.35">
      <c r="A514" s="2" t="s">
        <v>526</v>
      </c>
      <c r="B514" s="5">
        <v>45575</v>
      </c>
      <c r="C514" s="5">
        <f>IF(H514&lt;B514,H514,B514)</f>
        <v>45575</v>
      </c>
      <c r="D514" s="5" t="str">
        <f t="shared" si="84"/>
        <v>Oct-2024</v>
      </c>
      <c r="E514" s="5" t="str">
        <f t="shared" si="85"/>
        <v>Oct</v>
      </c>
      <c r="F514" s="5" t="str">
        <f t="shared" si="86"/>
        <v>2024</v>
      </c>
      <c r="G514" s="5" t="str">
        <f t="shared" si="87"/>
        <v>Q4-2024</v>
      </c>
      <c r="H514" s="5">
        <v>45576</v>
      </c>
      <c r="I514" s="5">
        <f>IF(H514&lt;B514, B514+7, H514)</f>
        <v>45576</v>
      </c>
      <c r="J514" s="5" t="str">
        <f>IF(H514&lt;B514, "Invalid","Okay")</f>
        <v>Okay</v>
      </c>
      <c r="K514" s="16">
        <f>I514-C514</f>
        <v>1</v>
      </c>
      <c r="L514" s="16" t="str">
        <f t="shared" si="88"/>
        <v>Target Met</v>
      </c>
      <c r="M514" s="2" t="s">
        <v>649</v>
      </c>
      <c r="N514" s="2" t="s">
        <v>658</v>
      </c>
      <c r="O514" s="2" t="s">
        <v>693</v>
      </c>
      <c r="P514" s="29" t="str">
        <f t="shared" si="89"/>
        <v>Europe→United Kingdom→Manchester</v>
      </c>
      <c r="Q514" s="2" t="s">
        <v>703</v>
      </c>
      <c r="R514" s="2" t="s">
        <v>710</v>
      </c>
      <c r="S514" s="2" t="s">
        <v>716</v>
      </c>
      <c r="T514" s="2" t="s">
        <v>727</v>
      </c>
      <c r="U514" t="e">
        <f>(AE514/#REF!)*100</f>
        <v>#REF!</v>
      </c>
      <c r="V514" s="2" t="s">
        <v>1245</v>
      </c>
      <c r="W514" s="7">
        <v>1389.46</v>
      </c>
      <c r="X514" s="7">
        <v>1784.7</v>
      </c>
      <c r="Y514" s="7">
        <f t="shared" si="90"/>
        <v>1784.7</v>
      </c>
      <c r="Z514" s="7" t="str">
        <f t="shared" si="91"/>
        <v>Medium</v>
      </c>
      <c r="AA514" s="13">
        <v>0.14599999999999999</v>
      </c>
      <c r="AB514" s="13">
        <f t="shared" si="92"/>
        <v>0.14599999999999999</v>
      </c>
      <c r="AC514" s="13" t="str">
        <f t="shared" si="93"/>
        <v>OK</v>
      </c>
      <c r="AD514" s="7">
        <v>33</v>
      </c>
      <c r="AE514" s="7">
        <f>Y514*AD514*(1-AB514)</f>
        <v>50296.415399999998</v>
      </c>
      <c r="AF514" s="7">
        <f>W514*AD514</f>
        <v>45852.18</v>
      </c>
      <c r="AG514" s="7">
        <f t="shared" si="94"/>
        <v>4444.2353999999978</v>
      </c>
      <c r="AH514" s="13">
        <f t="shared" si="95"/>
        <v>8.8360877503011831E-2</v>
      </c>
    </row>
    <row r="515" spans="1:34" x14ac:dyDescent="0.35">
      <c r="A515" s="2" t="s">
        <v>527</v>
      </c>
      <c r="B515" s="5">
        <v>45078</v>
      </c>
      <c r="C515" s="5">
        <f>IF(H515&lt;B515,H515,B515)</f>
        <v>45078</v>
      </c>
      <c r="D515" s="5" t="str">
        <f t="shared" ref="D515:D578" si="96">TEXT(B515,"MMM-YYYY")</f>
        <v>Jun-2023</v>
      </c>
      <c r="E515" s="5" t="str">
        <f t="shared" ref="E515:E578" si="97">TEXT(C515,"MMM")</f>
        <v>Jun</v>
      </c>
      <c r="F515" s="5" t="str">
        <f t="shared" ref="F515:F578" si="98">TEXT(C515,"YYYY")</f>
        <v>2023</v>
      </c>
      <c r="G515" s="5" t="str">
        <f t="shared" ref="G515:G578" si="99">IF(MONTH(D515)&lt;=3,"Q1",IF(MONTH(D515)&lt;=6,"Q2",IF(MONTH(D515)&lt;=9,"Q3","Q4")))&amp;"-"&amp;YEAR(C515)</f>
        <v>Q2-2023</v>
      </c>
      <c r="H515" s="5">
        <v>45085</v>
      </c>
      <c r="I515" s="5">
        <f>IF(H515&lt;B515, B515+7, H515)</f>
        <v>45085</v>
      </c>
      <c r="J515" s="5" t="str">
        <f>IF(H515&lt;B515, "Invalid","Okay")</f>
        <v>Okay</v>
      </c>
      <c r="K515" s="16">
        <f>I515-C515</f>
        <v>7</v>
      </c>
      <c r="L515" s="16" t="str">
        <f t="shared" ref="L515:L578" si="100">IF(K515&lt;=7,"Target Met","Target Not Met")</f>
        <v>Target Met</v>
      </c>
      <c r="M515" s="2" t="s">
        <v>649</v>
      </c>
      <c r="N515" s="2" t="s">
        <v>656</v>
      </c>
      <c r="O515" s="2" t="s">
        <v>698</v>
      </c>
      <c r="P515" s="29" t="str">
        <f t="shared" ref="P515:P578" si="101">_xlfn.CONCAT(M515,"→",N515,"→",O515)</f>
        <v>Europe→Germany→Frankfurt</v>
      </c>
      <c r="Q515" s="2" t="s">
        <v>704</v>
      </c>
      <c r="R515" s="2" t="s">
        <v>708</v>
      </c>
      <c r="S515" s="2" t="s">
        <v>720</v>
      </c>
      <c r="T515" s="2" t="s">
        <v>730</v>
      </c>
      <c r="U515" t="e">
        <f>(AE515/#REF!)*100</f>
        <v>#REF!</v>
      </c>
      <c r="V515" s="2" t="s">
        <v>1246</v>
      </c>
      <c r="W515" s="7">
        <v>804.17</v>
      </c>
      <c r="X515" s="7">
        <v>1072.29</v>
      </c>
      <c r="Y515" s="7">
        <f t="shared" ref="Y515:Y578" si="102">ABS(X515)</f>
        <v>1072.29</v>
      </c>
      <c r="Z515" s="7" t="str">
        <f t="shared" ref="Z515:Z578" si="103">IF(Y515&lt;1193.97,"Low",IF(Y515&lt;1912.05,"Medium","High"))</f>
        <v>Low</v>
      </c>
      <c r="AA515" s="13">
        <v>3.2000000000000001E-2</v>
      </c>
      <c r="AB515" s="13">
        <f t="shared" ref="AB515:AB578" si="104">IF(AA515&gt;30%,"12.14%", AA515)</f>
        <v>3.2000000000000001E-2</v>
      </c>
      <c r="AC515" s="13" t="str">
        <f t="shared" ref="AC515:AC578" si="105">IF(AA515&gt;30%, "High", "OK")</f>
        <v>OK</v>
      </c>
      <c r="AD515" s="7">
        <v>5</v>
      </c>
      <c r="AE515" s="7">
        <f>Y515*AD515*(1-AB515)</f>
        <v>5189.8836000000001</v>
      </c>
      <c r="AF515" s="7">
        <f>W515*AD515</f>
        <v>4020.85</v>
      </c>
      <c r="AG515" s="7">
        <f t="shared" ref="AG515:AG578" si="106">AE515-AF515</f>
        <v>1169.0336000000002</v>
      </c>
      <c r="AH515" s="13">
        <f t="shared" ref="AH515:AH578" si="107">IF(AE515=0,0,AG515/AE515)</f>
        <v>0.2252523736755869</v>
      </c>
    </row>
    <row r="516" spans="1:34" x14ac:dyDescent="0.35">
      <c r="A516" s="2" t="s">
        <v>528</v>
      </c>
      <c r="B516" s="5">
        <v>45661</v>
      </c>
      <c r="C516" s="5">
        <f>IF(H516&lt;B516,H516,B516)</f>
        <v>45661</v>
      </c>
      <c r="D516" s="5" t="str">
        <f t="shared" si="96"/>
        <v>Jan-2025</v>
      </c>
      <c r="E516" s="5" t="str">
        <f t="shared" si="97"/>
        <v>Jan</v>
      </c>
      <c r="F516" s="5" t="str">
        <f t="shared" si="98"/>
        <v>2025</v>
      </c>
      <c r="G516" s="5" t="str">
        <f t="shared" si="99"/>
        <v>Q1-2025</v>
      </c>
      <c r="H516" s="5">
        <v>45662</v>
      </c>
      <c r="I516" s="5">
        <f>IF(H516&lt;B516, B516+7, H516)</f>
        <v>45662</v>
      </c>
      <c r="J516" s="5" t="str">
        <f>IF(H516&lt;B516, "Invalid","Okay")</f>
        <v>Okay</v>
      </c>
      <c r="K516" s="16">
        <f>I516-C516</f>
        <v>1</v>
      </c>
      <c r="L516" s="16" t="str">
        <f t="shared" si="100"/>
        <v>Target Met</v>
      </c>
      <c r="M516" s="2" t="s">
        <v>647</v>
      </c>
      <c r="N516" s="2" t="s">
        <v>654</v>
      </c>
      <c r="O516" s="2" t="s">
        <v>680</v>
      </c>
      <c r="P516" s="29" t="str">
        <f t="shared" si="101"/>
        <v>Asia→India→Delhi</v>
      </c>
      <c r="Q516" s="2" t="s">
        <v>702</v>
      </c>
      <c r="R516" s="2" t="s">
        <v>707</v>
      </c>
      <c r="S516" s="2" t="s">
        <v>714</v>
      </c>
      <c r="T516" s="2" t="s">
        <v>727</v>
      </c>
      <c r="U516" t="e">
        <f>(AE516/#REF!)*100</f>
        <v>#REF!</v>
      </c>
      <c r="V516" s="2" t="s">
        <v>1247</v>
      </c>
      <c r="W516" s="7">
        <v>1428.33</v>
      </c>
      <c r="X516" s="7">
        <v>3028.05</v>
      </c>
      <c r="Y516" s="7">
        <f t="shared" si="102"/>
        <v>3028.05</v>
      </c>
      <c r="Z516" s="7" t="str">
        <f t="shared" si="103"/>
        <v>High</v>
      </c>
      <c r="AA516" s="13">
        <v>0</v>
      </c>
      <c r="AB516" s="13">
        <f t="shared" si="104"/>
        <v>0</v>
      </c>
      <c r="AC516" s="13" t="str">
        <f t="shared" si="105"/>
        <v>OK</v>
      </c>
      <c r="AD516" s="7">
        <v>11</v>
      </c>
      <c r="AE516" s="7">
        <f>Y516*AD516*(1-AB516)</f>
        <v>33308.550000000003</v>
      </c>
      <c r="AF516" s="7">
        <f>W516*AD516</f>
        <v>15711.63</v>
      </c>
      <c r="AG516" s="7">
        <f t="shared" si="106"/>
        <v>17596.920000000006</v>
      </c>
      <c r="AH516" s="13">
        <f t="shared" si="107"/>
        <v>0.52830039134096207</v>
      </c>
    </row>
    <row r="517" spans="1:34" x14ac:dyDescent="0.35">
      <c r="A517" s="2" t="s">
        <v>529</v>
      </c>
      <c r="B517" s="5">
        <v>45874</v>
      </c>
      <c r="C517" s="5">
        <f>IF(H517&lt;B517,H517,B517)</f>
        <v>45874</v>
      </c>
      <c r="D517" s="5" t="str">
        <f t="shared" si="96"/>
        <v>Aug-2025</v>
      </c>
      <c r="E517" s="5" t="str">
        <f t="shared" si="97"/>
        <v>Aug</v>
      </c>
      <c r="F517" s="5" t="str">
        <f t="shared" si="98"/>
        <v>2025</v>
      </c>
      <c r="G517" s="5" t="str">
        <f t="shared" si="99"/>
        <v>Q3-2025</v>
      </c>
      <c r="H517" s="5">
        <v>45897</v>
      </c>
      <c r="I517" s="5">
        <f>IF(H517&lt;B517, B517+7, H517)</f>
        <v>45897</v>
      </c>
      <c r="J517" s="5" t="str">
        <f>IF(H517&lt;B517, "Invalid","Okay")</f>
        <v>Okay</v>
      </c>
      <c r="K517" s="16">
        <f>I517-C517</f>
        <v>23</v>
      </c>
      <c r="L517" s="16" t="str">
        <f t="shared" si="100"/>
        <v>Target Not Met</v>
      </c>
      <c r="M517" s="2" t="s">
        <v>647</v>
      </c>
      <c r="N517" s="2" t="s">
        <v>654</v>
      </c>
      <c r="O517" s="2" t="s">
        <v>691</v>
      </c>
      <c r="P517" s="29" t="str">
        <f t="shared" si="101"/>
        <v>Asia→India→Mumbai</v>
      </c>
      <c r="Q517" s="2" t="s">
        <v>703</v>
      </c>
      <c r="R517" s="2" t="s">
        <v>710</v>
      </c>
      <c r="S517" s="2" t="s">
        <v>725</v>
      </c>
      <c r="T517" s="2" t="s">
        <v>731</v>
      </c>
      <c r="U517" t="e">
        <f>(AE517/#REF!)*100</f>
        <v>#REF!</v>
      </c>
      <c r="V517" s="2" t="s">
        <v>1248</v>
      </c>
      <c r="W517" s="7">
        <v>638.54</v>
      </c>
      <c r="X517" s="7">
        <v>987.24</v>
      </c>
      <c r="Y517" s="7">
        <f t="shared" si="102"/>
        <v>987.24</v>
      </c>
      <c r="Z517" s="7" t="str">
        <f t="shared" si="103"/>
        <v>Low</v>
      </c>
      <c r="AA517" s="13">
        <v>0</v>
      </c>
      <c r="AB517" s="13">
        <f t="shared" si="104"/>
        <v>0</v>
      </c>
      <c r="AC517" s="13" t="str">
        <f t="shared" si="105"/>
        <v>OK</v>
      </c>
      <c r="AD517" s="7">
        <v>11</v>
      </c>
      <c r="AE517" s="7">
        <f>Y517*AD517*(1-AB517)</f>
        <v>10859.64</v>
      </c>
      <c r="AF517" s="7">
        <f>W517*AD517</f>
        <v>7023.94</v>
      </c>
      <c r="AG517" s="7">
        <f t="shared" si="106"/>
        <v>3835.7</v>
      </c>
      <c r="AH517" s="13">
        <f t="shared" si="107"/>
        <v>0.35320692030306716</v>
      </c>
    </row>
    <row r="518" spans="1:34" x14ac:dyDescent="0.35">
      <c r="A518" s="2" t="s">
        <v>530</v>
      </c>
      <c r="B518" s="5">
        <v>45199</v>
      </c>
      <c r="C518" s="5">
        <f>IF(H518&lt;B518,H518,B518)</f>
        <v>45199</v>
      </c>
      <c r="D518" s="5" t="str">
        <f t="shared" si="96"/>
        <v>Sep-2023</v>
      </c>
      <c r="E518" s="5" t="str">
        <f t="shared" si="97"/>
        <v>Sep</v>
      </c>
      <c r="F518" s="5" t="str">
        <f t="shared" si="98"/>
        <v>2023</v>
      </c>
      <c r="G518" s="5" t="str">
        <f t="shared" si="99"/>
        <v>Q3-2023</v>
      </c>
      <c r="H518" s="5">
        <v>45229</v>
      </c>
      <c r="I518" s="5">
        <f>IF(H518&lt;B518, B518+7, H518)</f>
        <v>45229</v>
      </c>
      <c r="J518" s="5" t="str">
        <f>IF(H518&lt;B518, "Invalid","Okay")</f>
        <v>Okay</v>
      </c>
      <c r="K518" s="16">
        <f>I518-C518</f>
        <v>30</v>
      </c>
      <c r="L518" s="16" t="str">
        <f t="shared" si="100"/>
        <v>Target Not Met</v>
      </c>
      <c r="M518" s="2" t="s">
        <v>647</v>
      </c>
      <c r="N518" s="2" t="s">
        <v>652</v>
      </c>
      <c r="O518" s="2" t="s">
        <v>689</v>
      </c>
      <c r="P518" s="29" t="str">
        <f t="shared" si="101"/>
        <v>Asia→Japan→Tokyo</v>
      </c>
      <c r="Q518" s="2" t="s">
        <v>706</v>
      </c>
      <c r="R518" s="2" t="s">
        <v>708</v>
      </c>
      <c r="S518" s="2" t="s">
        <v>726</v>
      </c>
      <c r="T518" s="2" t="s">
        <v>728</v>
      </c>
      <c r="U518" t="e">
        <f>(AE518/#REF!)*100</f>
        <v>#REF!</v>
      </c>
      <c r="V518" s="2" t="s">
        <v>1249</v>
      </c>
      <c r="W518" s="7">
        <v>649.13</v>
      </c>
      <c r="X518" s="7">
        <v>975.43</v>
      </c>
      <c r="Y518" s="7">
        <f t="shared" si="102"/>
        <v>975.43</v>
      </c>
      <c r="Z518" s="7" t="str">
        <f t="shared" si="103"/>
        <v>Low</v>
      </c>
      <c r="AA518" s="13">
        <v>0.157</v>
      </c>
      <c r="AB518" s="13">
        <f t="shared" si="104"/>
        <v>0.157</v>
      </c>
      <c r="AC518" s="13" t="str">
        <f t="shared" si="105"/>
        <v>OK</v>
      </c>
      <c r="AD518" s="7">
        <v>27</v>
      </c>
      <c r="AE518" s="7">
        <f>Y518*AD518*(1-AB518)</f>
        <v>22201.762229999997</v>
      </c>
      <c r="AF518" s="7">
        <f>W518*AD518</f>
        <v>17526.509999999998</v>
      </c>
      <c r="AG518" s="7">
        <f t="shared" si="106"/>
        <v>4675.2522299999982</v>
      </c>
      <c r="AH518" s="13">
        <f t="shared" si="107"/>
        <v>0.21058023149543473</v>
      </c>
    </row>
    <row r="519" spans="1:34" x14ac:dyDescent="0.35">
      <c r="A519" s="2" t="s">
        <v>531</v>
      </c>
      <c r="B519" s="5">
        <v>45794</v>
      </c>
      <c r="C519" s="5">
        <f>IF(H519&lt;B519,H519,B519)</f>
        <v>45794</v>
      </c>
      <c r="D519" s="5" t="str">
        <f t="shared" si="96"/>
        <v>May-2025</v>
      </c>
      <c r="E519" s="5" t="str">
        <f t="shared" si="97"/>
        <v>May</v>
      </c>
      <c r="F519" s="5" t="str">
        <f t="shared" si="98"/>
        <v>2025</v>
      </c>
      <c r="G519" s="5" t="str">
        <f t="shared" si="99"/>
        <v>Q2-2025</v>
      </c>
      <c r="H519" s="5">
        <v>45807</v>
      </c>
      <c r="I519" s="5">
        <f>IF(H519&lt;B519, B519+7, H519)</f>
        <v>45807</v>
      </c>
      <c r="J519" s="5" t="str">
        <f>IF(H519&lt;B519, "Invalid","Okay")</f>
        <v>Okay</v>
      </c>
      <c r="K519" s="16">
        <f>I519-C519</f>
        <v>13</v>
      </c>
      <c r="L519" s="16" t="str">
        <f t="shared" si="100"/>
        <v>Target Not Met</v>
      </c>
      <c r="M519" s="2" t="s">
        <v>646</v>
      </c>
      <c r="N519" s="2" t="s">
        <v>651</v>
      </c>
      <c r="O519" s="2" t="s">
        <v>665</v>
      </c>
      <c r="P519" s="29" t="str">
        <f t="shared" si="101"/>
        <v>Africa→Nigeria→Lagos</v>
      </c>
      <c r="Q519" s="2" t="s">
        <v>704</v>
      </c>
      <c r="R519" s="2" t="s">
        <v>710</v>
      </c>
      <c r="S519" s="2" t="s">
        <v>721</v>
      </c>
      <c r="T519" s="2" t="s">
        <v>733</v>
      </c>
      <c r="U519" t="e">
        <f>(AE519/#REF!)*100</f>
        <v>#REF!</v>
      </c>
      <c r="V519" s="2" t="s">
        <v>1250</v>
      </c>
      <c r="W519" s="7">
        <v>66.400000000000006</v>
      </c>
      <c r="X519" s="7">
        <v>141.43</v>
      </c>
      <c r="Y519" s="7">
        <f t="shared" si="102"/>
        <v>141.43</v>
      </c>
      <c r="Z519" s="7" t="str">
        <f t="shared" si="103"/>
        <v>Low</v>
      </c>
      <c r="AA519" s="13">
        <v>0.107</v>
      </c>
      <c r="AB519" s="13">
        <f t="shared" si="104"/>
        <v>0.107</v>
      </c>
      <c r="AC519" s="13" t="str">
        <f t="shared" si="105"/>
        <v>OK</v>
      </c>
      <c r="AD519" s="7">
        <v>8</v>
      </c>
      <c r="AE519" s="7">
        <f>Y519*AD519*(1-AB519)</f>
        <v>1010.3759200000001</v>
      </c>
      <c r="AF519" s="7">
        <f>W519*AD519</f>
        <v>531.20000000000005</v>
      </c>
      <c r="AG519" s="7">
        <f t="shared" si="106"/>
        <v>479.17592000000002</v>
      </c>
      <c r="AH519" s="13">
        <f t="shared" si="107"/>
        <v>0.47425508715607551</v>
      </c>
    </row>
    <row r="520" spans="1:34" x14ac:dyDescent="0.35">
      <c r="A520" s="2" t="s">
        <v>532</v>
      </c>
      <c r="B520" s="5">
        <v>45413</v>
      </c>
      <c r="C520" s="5">
        <f>IF(H520&lt;B520,H520,B520)</f>
        <v>45413</v>
      </c>
      <c r="D520" s="5" t="str">
        <f t="shared" si="96"/>
        <v>May-2024</v>
      </c>
      <c r="E520" s="5" t="str">
        <f t="shared" si="97"/>
        <v>May</v>
      </c>
      <c r="F520" s="5" t="str">
        <f t="shared" si="98"/>
        <v>2024</v>
      </c>
      <c r="G520" s="5" t="str">
        <f t="shared" si="99"/>
        <v>Q2-2024</v>
      </c>
      <c r="H520" s="5">
        <v>45438</v>
      </c>
      <c r="I520" s="5">
        <f>IF(H520&lt;B520, B520+7, H520)</f>
        <v>45438</v>
      </c>
      <c r="J520" s="5" t="str">
        <f>IF(H520&lt;B520, "Invalid","Okay")</f>
        <v>Okay</v>
      </c>
      <c r="K520" s="16">
        <f>I520-C520</f>
        <v>25</v>
      </c>
      <c r="L520" s="16" t="str">
        <f t="shared" si="100"/>
        <v>Target Not Met</v>
      </c>
      <c r="M520" s="2" t="s">
        <v>649</v>
      </c>
      <c r="N520" s="2" t="s">
        <v>656</v>
      </c>
      <c r="O520" s="2" t="s">
        <v>671</v>
      </c>
      <c r="P520" s="29" t="str">
        <f t="shared" si="101"/>
        <v>Europe→Germany→Berlin</v>
      </c>
      <c r="Q520" s="2" t="s">
        <v>703</v>
      </c>
      <c r="R520" s="2" t="s">
        <v>707</v>
      </c>
      <c r="S520" s="2" t="s">
        <v>717</v>
      </c>
      <c r="T520" s="2" t="s">
        <v>729</v>
      </c>
      <c r="U520" t="e">
        <f>(AE520/#REF!)*100</f>
        <v>#REF!</v>
      </c>
      <c r="V520" s="2" t="s">
        <v>1251</v>
      </c>
      <c r="W520" s="7">
        <v>930.71</v>
      </c>
      <c r="X520" s="7">
        <v>1625.42</v>
      </c>
      <c r="Y520" s="7">
        <f t="shared" si="102"/>
        <v>1625.42</v>
      </c>
      <c r="Z520" s="7" t="str">
        <f t="shared" si="103"/>
        <v>Medium</v>
      </c>
      <c r="AA520" s="13">
        <v>0.13800000000000001</v>
      </c>
      <c r="AB520" s="13">
        <f t="shared" si="104"/>
        <v>0.13800000000000001</v>
      </c>
      <c r="AC520" s="13" t="str">
        <f t="shared" si="105"/>
        <v>OK</v>
      </c>
      <c r="AD520" s="7">
        <v>7</v>
      </c>
      <c r="AE520" s="7">
        <f>Y520*AD520*(1-AB520)</f>
        <v>9807.7842799999999</v>
      </c>
      <c r="AF520" s="7">
        <f>W520*AD520</f>
        <v>6514.97</v>
      </c>
      <c r="AG520" s="7">
        <f t="shared" si="106"/>
        <v>3292.8142799999996</v>
      </c>
      <c r="AH520" s="13">
        <f t="shared" si="107"/>
        <v>0.33573477821231196</v>
      </c>
    </row>
    <row r="521" spans="1:34" x14ac:dyDescent="0.35">
      <c r="A521" s="2" t="s">
        <v>533</v>
      </c>
      <c r="B521" s="5">
        <v>45047</v>
      </c>
      <c r="C521" s="5">
        <f>IF(H521&lt;B521,H521,B521)</f>
        <v>45047</v>
      </c>
      <c r="D521" s="5" t="str">
        <f t="shared" si="96"/>
        <v>May-2023</v>
      </c>
      <c r="E521" s="5" t="str">
        <f t="shared" si="97"/>
        <v>May</v>
      </c>
      <c r="F521" s="5" t="str">
        <f t="shared" si="98"/>
        <v>2023</v>
      </c>
      <c r="G521" s="5" t="str">
        <f t="shared" si="99"/>
        <v>Q2-2023</v>
      </c>
      <c r="H521" s="5">
        <v>45064</v>
      </c>
      <c r="I521" s="5">
        <f>IF(H521&lt;B521, B521+7, H521)</f>
        <v>45064</v>
      </c>
      <c r="J521" s="5" t="str">
        <f>IF(H521&lt;B521, "Invalid","Okay")</f>
        <v>Okay</v>
      </c>
      <c r="K521" s="16">
        <f>I521-C521</f>
        <v>17</v>
      </c>
      <c r="L521" s="16" t="str">
        <f t="shared" si="100"/>
        <v>Target Not Met</v>
      </c>
      <c r="M521" s="2" t="s">
        <v>646</v>
      </c>
      <c r="N521" s="2" t="s">
        <v>651</v>
      </c>
      <c r="O521" s="2" t="s">
        <v>663</v>
      </c>
      <c r="P521" s="29" t="str">
        <f t="shared" si="101"/>
        <v>Africa→Nigeria→Port Harcourt</v>
      </c>
      <c r="Q521" s="2" t="s">
        <v>701</v>
      </c>
      <c r="R521" s="2" t="s">
        <v>711</v>
      </c>
      <c r="S521" s="2" t="s">
        <v>721</v>
      </c>
      <c r="T521" s="2" t="s">
        <v>727</v>
      </c>
      <c r="U521" t="e">
        <f>(AE521/#REF!)*100</f>
        <v>#REF!</v>
      </c>
      <c r="V521" s="2" t="s">
        <v>1252</v>
      </c>
      <c r="W521" s="7">
        <v>327.97</v>
      </c>
      <c r="X521" s="7">
        <v>299.94</v>
      </c>
      <c r="Y521" s="7">
        <f t="shared" si="102"/>
        <v>299.94</v>
      </c>
      <c r="Z521" s="7" t="str">
        <f t="shared" si="103"/>
        <v>Low</v>
      </c>
      <c r="AA521" s="13">
        <v>4.9000000000000002E-2</v>
      </c>
      <c r="AB521" s="13">
        <f t="shared" si="104"/>
        <v>4.9000000000000002E-2</v>
      </c>
      <c r="AC521" s="13" t="str">
        <f t="shared" si="105"/>
        <v>OK</v>
      </c>
      <c r="AD521" s="7">
        <v>3</v>
      </c>
      <c r="AE521" s="7">
        <f>Y521*AD521*(1-AB521)</f>
        <v>855.72881999999993</v>
      </c>
      <c r="AF521" s="7">
        <f>W521*AD521</f>
        <v>983.91000000000008</v>
      </c>
      <c r="AG521" s="7">
        <f t="shared" si="106"/>
        <v>-128.18118000000015</v>
      </c>
      <c r="AH521" s="13">
        <f t="shared" si="107"/>
        <v>-0.14979182306843442</v>
      </c>
    </row>
    <row r="522" spans="1:34" x14ac:dyDescent="0.35">
      <c r="A522" s="2" t="s">
        <v>534</v>
      </c>
      <c r="B522" s="5">
        <v>45482</v>
      </c>
      <c r="C522" s="5">
        <f>IF(H522&lt;B522,H522,B522)</f>
        <v>45482</v>
      </c>
      <c r="D522" s="5" t="str">
        <f t="shared" si="96"/>
        <v>Jul-2024</v>
      </c>
      <c r="E522" s="5" t="str">
        <f t="shared" si="97"/>
        <v>Jul</v>
      </c>
      <c r="F522" s="5" t="str">
        <f t="shared" si="98"/>
        <v>2024</v>
      </c>
      <c r="G522" s="5" t="str">
        <f t="shared" si="99"/>
        <v>Q3-2024</v>
      </c>
      <c r="H522" s="5">
        <v>45512</v>
      </c>
      <c r="I522" s="5">
        <f>IF(H522&lt;B522, B522+7, H522)</f>
        <v>45512</v>
      </c>
      <c r="J522" s="5" t="str">
        <f>IF(H522&lt;B522, "Invalid","Okay")</f>
        <v>Okay</v>
      </c>
      <c r="K522" s="16">
        <f>I522-C522</f>
        <v>30</v>
      </c>
      <c r="L522" s="16" t="str">
        <f t="shared" si="100"/>
        <v>Target Not Met</v>
      </c>
      <c r="M522" s="2" t="s">
        <v>649</v>
      </c>
      <c r="N522" s="2" t="s">
        <v>657</v>
      </c>
      <c r="O522" s="2" t="s">
        <v>673</v>
      </c>
      <c r="P522" s="29" t="str">
        <f t="shared" si="101"/>
        <v>Europe→France→Marseille</v>
      </c>
      <c r="Q522" s="2" t="s">
        <v>701</v>
      </c>
      <c r="R522" s="2" t="s">
        <v>711</v>
      </c>
      <c r="S522" s="2" t="s">
        <v>713</v>
      </c>
      <c r="T522" s="2" t="s">
        <v>727</v>
      </c>
      <c r="U522" t="e">
        <f>(AE522/#REF!)*100</f>
        <v>#REF!</v>
      </c>
      <c r="V522" s="2" t="s">
        <v>1253</v>
      </c>
      <c r="W522" s="7">
        <v>1062.3800000000001</v>
      </c>
      <c r="X522" s="7">
        <v>1503.96</v>
      </c>
      <c r="Y522" s="7">
        <f t="shared" si="102"/>
        <v>1503.96</v>
      </c>
      <c r="Z522" s="7" t="str">
        <f t="shared" si="103"/>
        <v>Medium</v>
      </c>
      <c r="AA522" s="13">
        <v>0.18</v>
      </c>
      <c r="AB522" s="13">
        <f t="shared" si="104"/>
        <v>0.18</v>
      </c>
      <c r="AC522" s="13" t="str">
        <f t="shared" si="105"/>
        <v>OK</v>
      </c>
      <c r="AD522" s="7">
        <v>6</v>
      </c>
      <c r="AE522" s="7">
        <f>Y522*AD522*(1-AB522)</f>
        <v>7399.4832000000006</v>
      </c>
      <c r="AF522" s="7">
        <f>W522*AD522</f>
        <v>6374.2800000000007</v>
      </c>
      <c r="AG522" s="7">
        <f t="shared" si="106"/>
        <v>1025.2031999999999</v>
      </c>
      <c r="AH522" s="13">
        <f t="shared" si="107"/>
        <v>0.13855064905073369</v>
      </c>
    </row>
    <row r="523" spans="1:34" x14ac:dyDescent="0.35">
      <c r="A523" s="2" t="s">
        <v>535</v>
      </c>
      <c r="B523" s="5">
        <v>45056</v>
      </c>
      <c r="C523" s="5">
        <f>IF(H523&lt;B523,H523,B523)</f>
        <v>45056</v>
      </c>
      <c r="D523" s="5" t="str">
        <f t="shared" si="96"/>
        <v>May-2023</v>
      </c>
      <c r="E523" s="5" t="str">
        <f t="shared" si="97"/>
        <v>May</v>
      </c>
      <c r="F523" s="5" t="str">
        <f t="shared" si="98"/>
        <v>2023</v>
      </c>
      <c r="G523" s="5" t="str">
        <f t="shared" si="99"/>
        <v>Q2-2023</v>
      </c>
      <c r="H523" s="5">
        <v>45073</v>
      </c>
      <c r="I523" s="5">
        <f>IF(H523&lt;B523, B523+7, H523)</f>
        <v>45073</v>
      </c>
      <c r="J523" s="5" t="str">
        <f>IF(H523&lt;B523, "Invalid","Okay")</f>
        <v>Okay</v>
      </c>
      <c r="K523" s="16">
        <f>I523-C523</f>
        <v>17</v>
      </c>
      <c r="L523" s="16" t="str">
        <f t="shared" si="100"/>
        <v>Target Not Met</v>
      </c>
      <c r="M523" s="2" t="s">
        <v>647</v>
      </c>
      <c r="N523" s="2" t="s">
        <v>654</v>
      </c>
      <c r="O523" s="2" t="s">
        <v>691</v>
      </c>
      <c r="P523" s="29" t="str">
        <f t="shared" si="101"/>
        <v>Asia→India→Mumbai</v>
      </c>
      <c r="Q523" s="2" t="s">
        <v>704</v>
      </c>
      <c r="R523" s="2" t="s">
        <v>707</v>
      </c>
      <c r="S523" s="2" t="s">
        <v>724</v>
      </c>
      <c r="T523" s="2" t="s">
        <v>731</v>
      </c>
      <c r="U523" t="e">
        <f>(AE523/#REF!)*100</f>
        <v>#REF!</v>
      </c>
      <c r="V523" s="2" t="s">
        <v>1254</v>
      </c>
      <c r="W523" s="7">
        <v>1286.1600000000001</v>
      </c>
      <c r="X523" s="7">
        <v>3101.11</v>
      </c>
      <c r="Y523" s="7">
        <f t="shared" si="102"/>
        <v>3101.11</v>
      </c>
      <c r="Z523" s="7" t="str">
        <f t="shared" si="103"/>
        <v>High</v>
      </c>
      <c r="AA523" s="13">
        <v>0.1</v>
      </c>
      <c r="AB523" s="13">
        <f t="shared" si="104"/>
        <v>0.1</v>
      </c>
      <c r="AC523" s="13" t="str">
        <f t="shared" si="105"/>
        <v>OK</v>
      </c>
      <c r="AD523" s="7">
        <v>23</v>
      </c>
      <c r="AE523" s="7">
        <f>Y523*AD523*(1-AB523)</f>
        <v>64192.976999999999</v>
      </c>
      <c r="AF523" s="7">
        <f>W523*AD523</f>
        <v>29581.68</v>
      </c>
      <c r="AG523" s="7">
        <f t="shared" si="106"/>
        <v>34611.296999999999</v>
      </c>
      <c r="AH523" s="13">
        <f t="shared" si="107"/>
        <v>0.53917575749758417</v>
      </c>
    </row>
    <row r="524" spans="1:34" x14ac:dyDescent="0.35">
      <c r="A524" s="2" t="s">
        <v>536</v>
      </c>
      <c r="B524" s="5">
        <v>45482</v>
      </c>
      <c r="C524" s="5">
        <f>IF(H524&lt;B524,H524,B524)</f>
        <v>45482</v>
      </c>
      <c r="D524" s="5" t="str">
        <f t="shared" si="96"/>
        <v>Jul-2024</v>
      </c>
      <c r="E524" s="5" t="str">
        <f t="shared" si="97"/>
        <v>Jul</v>
      </c>
      <c r="F524" s="5" t="str">
        <f t="shared" si="98"/>
        <v>2024</v>
      </c>
      <c r="G524" s="5" t="str">
        <f t="shared" si="99"/>
        <v>Q3-2024</v>
      </c>
      <c r="H524" s="5">
        <v>45485</v>
      </c>
      <c r="I524" s="5">
        <f>IF(H524&lt;B524, B524+7, H524)</f>
        <v>45485</v>
      </c>
      <c r="J524" s="5" t="str">
        <f>IF(H524&lt;B524, "Invalid","Okay")</f>
        <v>Okay</v>
      </c>
      <c r="K524" s="16">
        <f>I524-C524</f>
        <v>3</v>
      </c>
      <c r="L524" s="16" t="str">
        <f t="shared" si="100"/>
        <v>Target Met</v>
      </c>
      <c r="M524" s="2" t="s">
        <v>647</v>
      </c>
      <c r="N524" s="2" t="s">
        <v>659</v>
      </c>
      <c r="O524" s="2" t="s">
        <v>685</v>
      </c>
      <c r="P524" s="29" t="str">
        <f t="shared" si="101"/>
        <v>Asia→China→Shanghai</v>
      </c>
      <c r="Q524" s="2" t="s">
        <v>705</v>
      </c>
      <c r="R524" s="2" t="s">
        <v>707</v>
      </c>
      <c r="S524" s="2" t="s">
        <v>726</v>
      </c>
      <c r="T524" s="2" t="s">
        <v>733</v>
      </c>
      <c r="U524" t="e">
        <f>(AE524/#REF!)*100</f>
        <v>#REF!</v>
      </c>
      <c r="V524" s="2" t="s">
        <v>1255</v>
      </c>
      <c r="W524" s="7">
        <v>748.39</v>
      </c>
      <c r="X524" s="7">
        <v>979.42</v>
      </c>
      <c r="Y524" s="7">
        <f t="shared" si="102"/>
        <v>979.42</v>
      </c>
      <c r="Z524" s="7" t="str">
        <f t="shared" si="103"/>
        <v>Low</v>
      </c>
      <c r="AA524" s="13">
        <v>0</v>
      </c>
      <c r="AB524" s="13">
        <f t="shared" si="104"/>
        <v>0</v>
      </c>
      <c r="AC524" s="13" t="str">
        <f t="shared" si="105"/>
        <v>OK</v>
      </c>
      <c r="AD524" s="7">
        <v>23</v>
      </c>
      <c r="AE524" s="7">
        <f>Y524*AD524*(1-AB524)</f>
        <v>22526.66</v>
      </c>
      <c r="AF524" s="7">
        <f>W524*AD524</f>
        <v>17212.97</v>
      </c>
      <c r="AG524" s="7">
        <f t="shared" si="106"/>
        <v>5313.6899999999987</v>
      </c>
      <c r="AH524" s="13">
        <f t="shared" si="107"/>
        <v>0.23588450307324738</v>
      </c>
    </row>
    <row r="525" spans="1:34" x14ac:dyDescent="0.35">
      <c r="A525" s="2" t="s">
        <v>537</v>
      </c>
      <c r="B525" s="5">
        <v>45406</v>
      </c>
      <c r="C525" s="5">
        <f>IF(H525&lt;B525,H525,B525)</f>
        <v>45406</v>
      </c>
      <c r="D525" s="5" t="str">
        <f t="shared" si="96"/>
        <v>Apr-2024</v>
      </c>
      <c r="E525" s="5" t="str">
        <f t="shared" si="97"/>
        <v>Apr</v>
      </c>
      <c r="F525" s="5" t="str">
        <f t="shared" si="98"/>
        <v>2024</v>
      </c>
      <c r="G525" s="5" t="str">
        <f t="shared" si="99"/>
        <v>Q2-2024</v>
      </c>
      <c r="H525" s="5">
        <v>45422</v>
      </c>
      <c r="I525" s="5">
        <f>IF(H525&lt;B525, B525+7, H525)</f>
        <v>45422</v>
      </c>
      <c r="J525" s="5" t="str">
        <f>IF(H525&lt;B525, "Invalid","Okay")</f>
        <v>Okay</v>
      </c>
      <c r="K525" s="16">
        <f>I525-C525</f>
        <v>16</v>
      </c>
      <c r="L525" s="16" t="str">
        <f t="shared" si="100"/>
        <v>Target Not Met</v>
      </c>
      <c r="M525" s="2" t="s">
        <v>646</v>
      </c>
      <c r="N525" s="2" t="s">
        <v>650</v>
      </c>
      <c r="O525" s="2" t="s">
        <v>662</v>
      </c>
      <c r="P525" s="29" t="str">
        <f t="shared" si="101"/>
        <v>Africa→Kenya→Kisumu</v>
      </c>
      <c r="Q525" s="2" t="s">
        <v>703</v>
      </c>
      <c r="R525" s="2" t="s">
        <v>708</v>
      </c>
      <c r="S525" s="2" t="s">
        <v>725</v>
      </c>
      <c r="T525" s="2" t="s">
        <v>732</v>
      </c>
      <c r="U525" t="e">
        <f>(AE525/#REF!)*100</f>
        <v>#REF!</v>
      </c>
      <c r="V525" s="2" t="s">
        <v>1256</v>
      </c>
      <c r="W525" s="7">
        <v>513.30999999999995</v>
      </c>
      <c r="X525" s="7">
        <v>1186.26</v>
      </c>
      <c r="Y525" s="7">
        <f t="shared" si="102"/>
        <v>1186.26</v>
      </c>
      <c r="Z525" s="7" t="str">
        <f t="shared" si="103"/>
        <v>Low</v>
      </c>
      <c r="AA525" s="13">
        <v>9.4E-2</v>
      </c>
      <c r="AB525" s="13">
        <f t="shared" si="104"/>
        <v>9.4E-2</v>
      </c>
      <c r="AC525" s="13" t="str">
        <f t="shared" si="105"/>
        <v>OK</v>
      </c>
      <c r="AD525" s="7">
        <v>15</v>
      </c>
      <c r="AE525" s="7">
        <f>Y525*AD525*(1-AB525)</f>
        <v>16121.273400000002</v>
      </c>
      <c r="AF525" s="7">
        <f>W525*AD525</f>
        <v>7699.65</v>
      </c>
      <c r="AG525" s="7">
        <f t="shared" si="106"/>
        <v>8421.6234000000022</v>
      </c>
      <c r="AH525" s="13">
        <f t="shared" si="107"/>
        <v>0.52239194702820446</v>
      </c>
    </row>
    <row r="526" spans="1:34" x14ac:dyDescent="0.35">
      <c r="A526" s="2" t="s">
        <v>538</v>
      </c>
      <c r="B526" s="5">
        <v>45304</v>
      </c>
      <c r="C526" s="5">
        <f>IF(H526&lt;B526,H526,B526)</f>
        <v>45304</v>
      </c>
      <c r="D526" s="5" t="str">
        <f t="shared" si="96"/>
        <v>Jan-2024</v>
      </c>
      <c r="E526" s="5" t="str">
        <f t="shared" si="97"/>
        <v>Jan</v>
      </c>
      <c r="F526" s="5" t="str">
        <f t="shared" si="98"/>
        <v>2024</v>
      </c>
      <c r="G526" s="5" t="str">
        <f t="shared" si="99"/>
        <v>Q1-2024</v>
      </c>
      <c r="H526" s="5">
        <v>45306</v>
      </c>
      <c r="I526" s="5">
        <f>IF(H526&lt;B526, B526+7, H526)</f>
        <v>45306</v>
      </c>
      <c r="J526" s="5" t="str">
        <f>IF(H526&lt;B526, "Invalid","Okay")</f>
        <v>Okay</v>
      </c>
      <c r="K526" s="16">
        <f>I526-C526</f>
        <v>2</v>
      </c>
      <c r="L526" s="16" t="str">
        <f t="shared" si="100"/>
        <v>Target Met</v>
      </c>
      <c r="M526" s="2" t="s">
        <v>648</v>
      </c>
      <c r="N526" s="2" t="s">
        <v>660</v>
      </c>
      <c r="O526" s="2" t="s">
        <v>686</v>
      </c>
      <c r="P526" s="29" t="str">
        <f t="shared" si="101"/>
        <v>Americas→USA→San Francisco</v>
      </c>
      <c r="Q526" s="2" t="s">
        <v>703</v>
      </c>
      <c r="R526" s="2" t="s">
        <v>711</v>
      </c>
      <c r="S526" s="2" t="s">
        <v>718</v>
      </c>
      <c r="T526" s="2" t="s">
        <v>727</v>
      </c>
      <c r="U526" t="e">
        <f>(AE526/#REF!)*100</f>
        <v>#REF!</v>
      </c>
      <c r="V526" s="2" t="s">
        <v>1257</v>
      </c>
      <c r="W526" s="7">
        <v>1061.3699999999999</v>
      </c>
      <c r="X526" s="7">
        <v>1938.33</v>
      </c>
      <c r="Y526" s="7">
        <f t="shared" si="102"/>
        <v>1938.33</v>
      </c>
      <c r="Z526" s="7" t="str">
        <f t="shared" si="103"/>
        <v>High</v>
      </c>
      <c r="AA526" s="13">
        <v>0.17</v>
      </c>
      <c r="AB526" s="13">
        <f t="shared" si="104"/>
        <v>0.17</v>
      </c>
      <c r="AC526" s="13" t="str">
        <f t="shared" si="105"/>
        <v>OK</v>
      </c>
      <c r="AD526" s="7">
        <v>4</v>
      </c>
      <c r="AE526" s="7">
        <f>Y526*AD526*(1-AB526)</f>
        <v>6435.2555999999995</v>
      </c>
      <c r="AF526" s="7">
        <f>W526*AD526</f>
        <v>4245.4799999999996</v>
      </c>
      <c r="AG526" s="7">
        <f t="shared" si="106"/>
        <v>2189.7755999999999</v>
      </c>
      <c r="AH526" s="13">
        <f t="shared" si="107"/>
        <v>0.34027795259600879</v>
      </c>
    </row>
    <row r="527" spans="1:34" x14ac:dyDescent="0.35">
      <c r="A527" s="2" t="s">
        <v>539</v>
      </c>
      <c r="B527" s="5">
        <v>45398</v>
      </c>
      <c r="C527" s="5">
        <f>IF(H527&lt;B527,H527,B527)</f>
        <v>45398</v>
      </c>
      <c r="D527" s="5" t="str">
        <f t="shared" si="96"/>
        <v>Apr-2024</v>
      </c>
      <c r="E527" s="5" t="str">
        <f t="shared" si="97"/>
        <v>Apr</v>
      </c>
      <c r="F527" s="5" t="str">
        <f t="shared" si="98"/>
        <v>2024</v>
      </c>
      <c r="G527" s="5" t="str">
        <f t="shared" si="99"/>
        <v>Q2-2024</v>
      </c>
      <c r="H527" s="5">
        <v>45409</v>
      </c>
      <c r="I527" s="5">
        <f>IF(H527&lt;B527, B527+7, H527)</f>
        <v>45409</v>
      </c>
      <c r="J527" s="5" t="str">
        <f>IF(H527&lt;B527, "Invalid","Okay")</f>
        <v>Okay</v>
      </c>
      <c r="K527" s="16">
        <f>I527-C527</f>
        <v>11</v>
      </c>
      <c r="L527" s="16" t="str">
        <f t="shared" si="100"/>
        <v>Target Not Met</v>
      </c>
      <c r="M527" s="2" t="s">
        <v>646</v>
      </c>
      <c r="N527" s="2" t="s">
        <v>650</v>
      </c>
      <c r="O527" s="2" t="s">
        <v>678</v>
      </c>
      <c r="P527" s="29" t="str">
        <f t="shared" si="101"/>
        <v>Africa→Kenya→Nakuru</v>
      </c>
      <c r="Q527" s="2" t="s">
        <v>706</v>
      </c>
      <c r="R527" s="2" t="s">
        <v>708</v>
      </c>
      <c r="S527" s="2" t="s">
        <v>726</v>
      </c>
      <c r="T527" s="2" t="s">
        <v>728</v>
      </c>
      <c r="U527" t="e">
        <f>(AE527/#REF!)*100</f>
        <v>#REF!</v>
      </c>
      <c r="V527" s="2" t="s">
        <v>1258</v>
      </c>
      <c r="W527" s="7">
        <v>401.3</v>
      </c>
      <c r="X527" s="7">
        <v>826.47</v>
      </c>
      <c r="Y527" s="7">
        <f t="shared" si="102"/>
        <v>826.47</v>
      </c>
      <c r="Z527" s="7" t="str">
        <f t="shared" si="103"/>
        <v>Low</v>
      </c>
      <c r="AA527" s="13">
        <v>0.22500000000000001</v>
      </c>
      <c r="AB527" s="13">
        <f t="shared" si="104"/>
        <v>0.22500000000000001</v>
      </c>
      <c r="AC527" s="13" t="str">
        <f t="shared" si="105"/>
        <v>OK</v>
      </c>
      <c r="AD527" s="7">
        <v>13</v>
      </c>
      <c r="AE527" s="7">
        <f>Y527*AD527*(1-AB527)</f>
        <v>8326.6852500000005</v>
      </c>
      <c r="AF527" s="7">
        <f>W527*AD527</f>
        <v>5216.9000000000005</v>
      </c>
      <c r="AG527" s="7">
        <f t="shared" si="106"/>
        <v>3109.7852499999999</v>
      </c>
      <c r="AH527" s="13">
        <f t="shared" si="107"/>
        <v>0.37347217489696755</v>
      </c>
    </row>
    <row r="528" spans="1:34" x14ac:dyDescent="0.35">
      <c r="A528" s="2" t="s">
        <v>540</v>
      </c>
      <c r="B528" s="5">
        <v>45695</v>
      </c>
      <c r="C528" s="5">
        <f>IF(H528&lt;B528,H528,B528)</f>
        <v>45695</v>
      </c>
      <c r="D528" s="5" t="str">
        <f t="shared" si="96"/>
        <v>Feb-2025</v>
      </c>
      <c r="E528" s="5" t="str">
        <f t="shared" si="97"/>
        <v>Feb</v>
      </c>
      <c r="F528" s="5" t="str">
        <f t="shared" si="98"/>
        <v>2025</v>
      </c>
      <c r="G528" s="5" t="str">
        <f t="shared" si="99"/>
        <v>Q1-2025</v>
      </c>
      <c r="H528" s="5">
        <v>45704</v>
      </c>
      <c r="I528" s="5">
        <f>IF(H528&lt;B528, B528+7, H528)</f>
        <v>45704</v>
      </c>
      <c r="J528" s="5" t="str">
        <f>IF(H528&lt;B528, "Invalid","Okay")</f>
        <v>Okay</v>
      </c>
      <c r="K528" s="16">
        <f>I528-C528</f>
        <v>9</v>
      </c>
      <c r="L528" s="16" t="str">
        <f t="shared" si="100"/>
        <v>Target Not Met</v>
      </c>
      <c r="M528" s="2" t="s">
        <v>646</v>
      </c>
      <c r="N528" s="2" t="s">
        <v>651</v>
      </c>
      <c r="O528" s="2" t="s">
        <v>665</v>
      </c>
      <c r="P528" s="29" t="str">
        <f t="shared" si="101"/>
        <v>Africa→Nigeria→Lagos</v>
      </c>
      <c r="Q528" s="2" t="s">
        <v>705</v>
      </c>
      <c r="R528" s="2" t="s">
        <v>710</v>
      </c>
      <c r="S528" s="2" t="s">
        <v>712</v>
      </c>
      <c r="T528" s="2" t="s">
        <v>728</v>
      </c>
      <c r="U528" t="e">
        <f>(AE528/#REF!)*100</f>
        <v>#REF!</v>
      </c>
      <c r="V528" s="2" t="s">
        <v>1259</v>
      </c>
      <c r="W528" s="7">
        <v>90.68</v>
      </c>
      <c r="X528" s="7">
        <v>118.17</v>
      </c>
      <c r="Y528" s="7">
        <f t="shared" si="102"/>
        <v>118.17</v>
      </c>
      <c r="Z528" s="7" t="str">
        <f t="shared" si="103"/>
        <v>Low</v>
      </c>
      <c r="AA528" s="13">
        <v>0.13500000000000001</v>
      </c>
      <c r="AB528" s="13">
        <f t="shared" si="104"/>
        <v>0.13500000000000001</v>
      </c>
      <c r="AC528" s="13" t="str">
        <f t="shared" si="105"/>
        <v>OK</v>
      </c>
      <c r="AD528" s="7">
        <v>21</v>
      </c>
      <c r="AE528" s="7">
        <f>Y528*AD528*(1-AB528)</f>
        <v>2146.5580500000001</v>
      </c>
      <c r="AF528" s="7">
        <f>W528*AD528</f>
        <v>1904.2800000000002</v>
      </c>
      <c r="AG528" s="7">
        <f t="shared" si="106"/>
        <v>242.27804999999989</v>
      </c>
      <c r="AH528" s="13">
        <f t="shared" si="107"/>
        <v>0.11286815653552899</v>
      </c>
    </row>
    <row r="529" spans="1:34" x14ac:dyDescent="0.35">
      <c r="A529" s="2" t="s">
        <v>541</v>
      </c>
      <c r="B529" s="5">
        <v>44938</v>
      </c>
      <c r="C529" s="5">
        <f>IF(H529&lt;B529,H529,B529)</f>
        <v>44938</v>
      </c>
      <c r="D529" s="5" t="str">
        <f t="shared" si="96"/>
        <v>Jan-2023</v>
      </c>
      <c r="E529" s="5" t="str">
        <f t="shared" si="97"/>
        <v>Jan</v>
      </c>
      <c r="F529" s="5" t="str">
        <f t="shared" si="98"/>
        <v>2023</v>
      </c>
      <c r="G529" s="5" t="str">
        <f t="shared" si="99"/>
        <v>Q1-2023</v>
      </c>
      <c r="H529" s="5">
        <v>44952</v>
      </c>
      <c r="I529" s="5">
        <f>IF(H529&lt;B529, B529+7, H529)</f>
        <v>44952</v>
      </c>
      <c r="J529" s="5" t="str">
        <f>IF(H529&lt;B529, "Invalid","Okay")</f>
        <v>Okay</v>
      </c>
      <c r="K529" s="16">
        <f>I529-C529</f>
        <v>14</v>
      </c>
      <c r="L529" s="16" t="str">
        <f t="shared" si="100"/>
        <v>Target Not Met</v>
      </c>
      <c r="M529" s="2" t="s">
        <v>647</v>
      </c>
      <c r="N529" s="2" t="s">
        <v>659</v>
      </c>
      <c r="O529" s="2" t="s">
        <v>676</v>
      </c>
      <c r="P529" s="29" t="str">
        <f t="shared" si="101"/>
        <v>Asia→China→Shenzhen</v>
      </c>
      <c r="Q529" s="2" t="s">
        <v>703</v>
      </c>
      <c r="R529" s="2" t="s">
        <v>707</v>
      </c>
      <c r="S529" s="2" t="s">
        <v>724</v>
      </c>
      <c r="T529" s="2" t="s">
        <v>728</v>
      </c>
      <c r="U529" t="e">
        <f>(AE529/#REF!)*100</f>
        <v>#REF!</v>
      </c>
      <c r="V529" s="2" t="s">
        <v>1260</v>
      </c>
      <c r="W529" s="7">
        <v>1083.0899999999999</v>
      </c>
      <c r="X529" s="7">
        <v>1425.87</v>
      </c>
      <c r="Y529" s="7">
        <f t="shared" si="102"/>
        <v>1425.87</v>
      </c>
      <c r="Z529" s="7" t="str">
        <f t="shared" si="103"/>
        <v>Medium</v>
      </c>
      <c r="AA529" s="13">
        <v>0</v>
      </c>
      <c r="AB529" s="13">
        <f t="shared" si="104"/>
        <v>0</v>
      </c>
      <c r="AC529" s="13" t="str">
        <f t="shared" si="105"/>
        <v>OK</v>
      </c>
      <c r="AD529" s="7">
        <v>8</v>
      </c>
      <c r="AE529" s="7">
        <f>Y529*AD529*(1-AB529)</f>
        <v>11406.96</v>
      </c>
      <c r="AF529" s="7">
        <f>W529*AD529</f>
        <v>8664.7199999999993</v>
      </c>
      <c r="AG529" s="7">
        <f t="shared" si="106"/>
        <v>2742.24</v>
      </c>
      <c r="AH529" s="13">
        <f t="shared" si="107"/>
        <v>0.24040059752992909</v>
      </c>
    </row>
    <row r="530" spans="1:34" x14ac:dyDescent="0.35">
      <c r="A530" s="2" t="s">
        <v>542</v>
      </c>
      <c r="B530" s="5">
        <v>45448</v>
      </c>
      <c r="C530" s="5">
        <f>IF(H530&lt;B530,H530,B530)</f>
        <v>45448</v>
      </c>
      <c r="D530" s="5" t="str">
        <f t="shared" si="96"/>
        <v>Jun-2024</v>
      </c>
      <c r="E530" s="5" t="str">
        <f t="shared" si="97"/>
        <v>Jun</v>
      </c>
      <c r="F530" s="5" t="str">
        <f t="shared" si="98"/>
        <v>2024</v>
      </c>
      <c r="G530" s="5" t="str">
        <f t="shared" si="99"/>
        <v>Q2-2024</v>
      </c>
      <c r="H530" s="5">
        <v>45466</v>
      </c>
      <c r="I530" s="5">
        <f>IF(H530&lt;B530, B530+7, H530)</f>
        <v>45466</v>
      </c>
      <c r="J530" s="5" t="str">
        <f>IF(H530&lt;B530, "Invalid","Okay")</f>
        <v>Okay</v>
      </c>
      <c r="K530" s="16">
        <f>I530-C530</f>
        <v>18</v>
      </c>
      <c r="L530" s="16" t="str">
        <f t="shared" si="100"/>
        <v>Target Not Met</v>
      </c>
      <c r="M530" s="2" t="s">
        <v>646</v>
      </c>
      <c r="N530" s="2" t="s">
        <v>650</v>
      </c>
      <c r="O530" s="2" t="s">
        <v>664</v>
      </c>
      <c r="P530" s="29" t="str">
        <f t="shared" si="101"/>
        <v>Africa→Kenya→Nairobi</v>
      </c>
      <c r="Q530" s="2" t="s">
        <v>704</v>
      </c>
      <c r="R530" s="2" t="s">
        <v>710</v>
      </c>
      <c r="S530" s="2" t="s">
        <v>726</v>
      </c>
      <c r="T530" s="2" t="s">
        <v>731</v>
      </c>
      <c r="U530" t="e">
        <f>(AE530/#REF!)*100</f>
        <v>#REF!</v>
      </c>
      <c r="V530" s="2" t="s">
        <v>1261</v>
      </c>
      <c r="W530" s="7">
        <v>1208.74</v>
      </c>
      <c r="X530" s="7">
        <v>1594.78</v>
      </c>
      <c r="Y530" s="7">
        <f t="shared" si="102"/>
        <v>1594.78</v>
      </c>
      <c r="Z530" s="7" t="str">
        <f t="shared" si="103"/>
        <v>Medium</v>
      </c>
      <c r="AA530" s="13">
        <v>5.8999999999999997E-2</v>
      </c>
      <c r="AB530" s="13">
        <f t="shared" si="104"/>
        <v>5.8999999999999997E-2</v>
      </c>
      <c r="AC530" s="13" t="str">
        <f t="shared" si="105"/>
        <v>OK</v>
      </c>
      <c r="AD530" s="7">
        <v>39</v>
      </c>
      <c r="AE530" s="7">
        <f>Y530*AD530*(1-AB530)</f>
        <v>58526.83122</v>
      </c>
      <c r="AF530" s="7">
        <f>W530*AD530</f>
        <v>47140.86</v>
      </c>
      <c r="AG530" s="7">
        <f t="shared" si="106"/>
        <v>11385.971219999999</v>
      </c>
      <c r="AH530" s="13">
        <f t="shared" si="107"/>
        <v>0.1945427589817838</v>
      </c>
    </row>
    <row r="531" spans="1:34" x14ac:dyDescent="0.35">
      <c r="A531" s="2" t="s">
        <v>543</v>
      </c>
      <c r="B531" s="5">
        <v>45162</v>
      </c>
      <c r="C531" s="5">
        <f>IF(H531&lt;B531,H531,B531)</f>
        <v>45162</v>
      </c>
      <c r="D531" s="5" t="str">
        <f t="shared" si="96"/>
        <v>Aug-2023</v>
      </c>
      <c r="E531" s="5" t="str">
        <f t="shared" si="97"/>
        <v>Aug</v>
      </c>
      <c r="F531" s="5" t="str">
        <f t="shared" si="98"/>
        <v>2023</v>
      </c>
      <c r="G531" s="5" t="str">
        <f t="shared" si="99"/>
        <v>Q3-2023</v>
      </c>
      <c r="H531" s="5">
        <v>45189</v>
      </c>
      <c r="I531" s="5">
        <f>IF(H531&lt;B531, B531+7, H531)</f>
        <v>45189</v>
      </c>
      <c r="J531" s="5" t="str">
        <f>IF(H531&lt;B531, "Invalid","Okay")</f>
        <v>Okay</v>
      </c>
      <c r="K531" s="16">
        <f>I531-C531</f>
        <v>27</v>
      </c>
      <c r="L531" s="16" t="str">
        <f t="shared" si="100"/>
        <v>Target Not Met</v>
      </c>
      <c r="M531" s="2" t="s">
        <v>646</v>
      </c>
      <c r="N531" s="2" t="s">
        <v>661</v>
      </c>
      <c r="O531" s="2" t="s">
        <v>687</v>
      </c>
      <c r="P531" s="29" t="str">
        <f t="shared" si="101"/>
        <v>Africa→South Africa→Durban</v>
      </c>
      <c r="Q531" s="2" t="s">
        <v>705</v>
      </c>
      <c r="R531" s="2" t="s">
        <v>709</v>
      </c>
      <c r="S531" s="2" t="s">
        <v>724</v>
      </c>
      <c r="T531" s="2" t="s">
        <v>728</v>
      </c>
      <c r="U531" t="e">
        <f>(AE531/#REF!)*100</f>
        <v>#REF!</v>
      </c>
      <c r="V531" s="2" t="s">
        <v>1262</v>
      </c>
      <c r="W531" s="7">
        <v>1399.64</v>
      </c>
      <c r="X531" s="7">
        <v>3342.11</v>
      </c>
      <c r="Y531" s="7">
        <f t="shared" si="102"/>
        <v>3342.11</v>
      </c>
      <c r="Z531" s="7" t="str">
        <f t="shared" si="103"/>
        <v>High</v>
      </c>
      <c r="AA531" s="13">
        <v>0</v>
      </c>
      <c r="AB531" s="13">
        <f t="shared" si="104"/>
        <v>0</v>
      </c>
      <c r="AC531" s="13" t="str">
        <f t="shared" si="105"/>
        <v>OK</v>
      </c>
      <c r="AD531" s="7">
        <v>10</v>
      </c>
      <c r="AE531" s="7">
        <f>Y531*AD531*(1-AB531)</f>
        <v>33421.1</v>
      </c>
      <c r="AF531" s="7">
        <f>W531*AD531</f>
        <v>13996.400000000001</v>
      </c>
      <c r="AG531" s="7">
        <f t="shared" si="106"/>
        <v>19424.699999999997</v>
      </c>
      <c r="AH531" s="13">
        <f t="shared" si="107"/>
        <v>0.58121067229983447</v>
      </c>
    </row>
    <row r="532" spans="1:34" x14ac:dyDescent="0.35">
      <c r="A532" s="2" t="s">
        <v>544</v>
      </c>
      <c r="B532" s="5">
        <v>45316</v>
      </c>
      <c r="C532" s="5">
        <f>IF(H532&lt;B532,H532,B532)</f>
        <v>45316</v>
      </c>
      <c r="D532" s="5" t="str">
        <f t="shared" si="96"/>
        <v>Jan-2024</v>
      </c>
      <c r="E532" s="5" t="str">
        <f t="shared" si="97"/>
        <v>Jan</v>
      </c>
      <c r="F532" s="5" t="str">
        <f t="shared" si="98"/>
        <v>2024</v>
      </c>
      <c r="G532" s="5" t="str">
        <f t="shared" si="99"/>
        <v>Q1-2024</v>
      </c>
      <c r="H532" s="5">
        <v>45330</v>
      </c>
      <c r="I532" s="5">
        <f>IF(H532&lt;B532, B532+7, H532)</f>
        <v>45330</v>
      </c>
      <c r="J532" s="5" t="str">
        <f>IF(H532&lt;B532, "Invalid","Okay")</f>
        <v>Okay</v>
      </c>
      <c r="K532" s="16">
        <f>I532-C532</f>
        <v>14</v>
      </c>
      <c r="L532" s="16" t="str">
        <f t="shared" si="100"/>
        <v>Target Not Met</v>
      </c>
      <c r="M532" s="2" t="s">
        <v>647</v>
      </c>
      <c r="N532" s="2" t="s">
        <v>652</v>
      </c>
      <c r="O532" s="2" t="s">
        <v>666</v>
      </c>
      <c r="P532" s="29" t="str">
        <f t="shared" si="101"/>
        <v>Asia→Japan→Osaka</v>
      </c>
      <c r="Q532" s="2" t="s">
        <v>704</v>
      </c>
      <c r="R532" s="2" t="s">
        <v>709</v>
      </c>
      <c r="S532" s="2" t="s">
        <v>714</v>
      </c>
      <c r="T532" s="2" t="s">
        <v>729</v>
      </c>
      <c r="U532" t="e">
        <f>(AE532/#REF!)*100</f>
        <v>#REF!</v>
      </c>
      <c r="V532" s="2" t="s">
        <v>1263</v>
      </c>
      <c r="W532" s="7">
        <v>937.16</v>
      </c>
      <c r="X532" s="7">
        <v>1069.77</v>
      </c>
      <c r="Y532" s="7">
        <f t="shared" si="102"/>
        <v>1069.77</v>
      </c>
      <c r="Z532" s="7" t="str">
        <f t="shared" si="103"/>
        <v>Low</v>
      </c>
      <c r="AA532" s="13">
        <v>3.7999999999999999E-2</v>
      </c>
      <c r="AB532" s="13">
        <f t="shared" si="104"/>
        <v>3.7999999999999999E-2</v>
      </c>
      <c r="AC532" s="13" t="str">
        <f t="shared" si="105"/>
        <v>OK</v>
      </c>
      <c r="AD532" s="7">
        <v>9</v>
      </c>
      <c r="AE532" s="7">
        <f>Y532*AD532*(1-AB532)</f>
        <v>9262.0686600000008</v>
      </c>
      <c r="AF532" s="7">
        <f>W532*AD532</f>
        <v>8434.44</v>
      </c>
      <c r="AG532" s="7">
        <f t="shared" si="106"/>
        <v>827.62866000000031</v>
      </c>
      <c r="AH532" s="13">
        <f t="shared" si="107"/>
        <v>8.9356783066645962E-2</v>
      </c>
    </row>
    <row r="533" spans="1:34" x14ac:dyDescent="0.35">
      <c r="A533" s="2" t="s">
        <v>545</v>
      </c>
      <c r="B533" s="5">
        <v>45727</v>
      </c>
      <c r="C533" s="5">
        <f>IF(H533&lt;B533,H533,B533)</f>
        <v>45727</v>
      </c>
      <c r="D533" s="5" t="str">
        <f t="shared" si="96"/>
        <v>Mar-2025</v>
      </c>
      <c r="E533" s="5" t="str">
        <f t="shared" si="97"/>
        <v>Mar</v>
      </c>
      <c r="F533" s="5" t="str">
        <f t="shared" si="98"/>
        <v>2025</v>
      </c>
      <c r="G533" s="5" t="str">
        <f t="shared" si="99"/>
        <v>Q1-2025</v>
      </c>
      <c r="H533" s="5">
        <v>45742</v>
      </c>
      <c r="I533" s="5">
        <f>IF(H533&lt;B533, B533+7, H533)</f>
        <v>45742</v>
      </c>
      <c r="J533" s="5" t="str">
        <f>IF(H533&lt;B533, "Invalid","Okay")</f>
        <v>Okay</v>
      </c>
      <c r="K533" s="16">
        <f>I533-C533</f>
        <v>15</v>
      </c>
      <c r="L533" s="16" t="str">
        <f t="shared" si="100"/>
        <v>Target Not Met</v>
      </c>
      <c r="M533" s="2" t="s">
        <v>649</v>
      </c>
      <c r="N533" s="2" t="s">
        <v>656</v>
      </c>
      <c r="O533" s="2" t="s">
        <v>671</v>
      </c>
      <c r="P533" s="29" t="str">
        <f t="shared" si="101"/>
        <v>Europe→Germany→Berlin</v>
      </c>
      <c r="Q533" s="2" t="s">
        <v>705</v>
      </c>
      <c r="R533" s="2" t="s">
        <v>708</v>
      </c>
      <c r="S533" s="2" t="s">
        <v>714</v>
      </c>
      <c r="T533" s="2" t="s">
        <v>730</v>
      </c>
      <c r="U533" t="e">
        <f>(AE533/#REF!)*100</f>
        <v>#REF!</v>
      </c>
      <c r="V533" s="2" t="s">
        <v>1264</v>
      </c>
      <c r="W533" s="7">
        <v>116.97</v>
      </c>
      <c r="X533" s="7">
        <v>140.82</v>
      </c>
      <c r="Y533" s="7">
        <f t="shared" si="102"/>
        <v>140.82</v>
      </c>
      <c r="Z533" s="7" t="str">
        <f t="shared" si="103"/>
        <v>Low</v>
      </c>
      <c r="AA533" s="13">
        <v>0.122</v>
      </c>
      <c r="AB533" s="13">
        <f t="shared" si="104"/>
        <v>0.122</v>
      </c>
      <c r="AC533" s="13" t="str">
        <f t="shared" si="105"/>
        <v>OK</v>
      </c>
      <c r="AD533" s="7">
        <v>5</v>
      </c>
      <c r="AE533" s="7">
        <f>Y533*AD533*(1-AB533)</f>
        <v>618.19979999999987</v>
      </c>
      <c r="AF533" s="7">
        <f>W533*AD533</f>
        <v>584.85</v>
      </c>
      <c r="AG533" s="7">
        <f t="shared" si="106"/>
        <v>33.349799999999846</v>
      </c>
      <c r="AH533" s="13">
        <f t="shared" si="107"/>
        <v>5.3946636669891926E-2</v>
      </c>
    </row>
    <row r="534" spans="1:34" x14ac:dyDescent="0.35">
      <c r="A534" s="2" t="s">
        <v>546</v>
      </c>
      <c r="B534" s="5">
        <v>45769</v>
      </c>
      <c r="C534" s="5">
        <f>IF(H534&lt;B534,H534,B534)</f>
        <v>45769</v>
      </c>
      <c r="D534" s="5" t="str">
        <f t="shared" si="96"/>
        <v>Apr-2025</v>
      </c>
      <c r="E534" s="5" t="str">
        <f t="shared" si="97"/>
        <v>Apr</v>
      </c>
      <c r="F534" s="5" t="str">
        <f t="shared" si="98"/>
        <v>2025</v>
      </c>
      <c r="G534" s="5" t="str">
        <f t="shared" si="99"/>
        <v>Q2-2025</v>
      </c>
      <c r="H534" s="5">
        <v>45789</v>
      </c>
      <c r="I534" s="5">
        <f>IF(H534&lt;B534, B534+7, H534)</f>
        <v>45789</v>
      </c>
      <c r="J534" s="5" t="str">
        <f>IF(H534&lt;B534, "Invalid","Okay")</f>
        <v>Okay</v>
      </c>
      <c r="K534" s="16">
        <f>I534-C534</f>
        <v>20</v>
      </c>
      <c r="L534" s="16" t="str">
        <f t="shared" si="100"/>
        <v>Target Not Met</v>
      </c>
      <c r="M534" s="2" t="s">
        <v>649</v>
      </c>
      <c r="N534" s="2" t="s">
        <v>657</v>
      </c>
      <c r="O534" s="2" t="s">
        <v>679</v>
      </c>
      <c r="P534" s="29" t="str">
        <f t="shared" si="101"/>
        <v>Europe→France→Lyon</v>
      </c>
      <c r="Q534" s="2" t="s">
        <v>706</v>
      </c>
      <c r="R534" s="2" t="s">
        <v>709</v>
      </c>
      <c r="S534" s="2" t="s">
        <v>723</v>
      </c>
      <c r="T534" s="2" t="s">
        <v>732</v>
      </c>
      <c r="U534" t="e">
        <f>(AE534/#REF!)*100</f>
        <v>#REF!</v>
      </c>
      <c r="V534" s="2" t="s">
        <v>1265</v>
      </c>
      <c r="W534" s="7">
        <v>59.51</v>
      </c>
      <c r="X534" s="7">
        <v>67.040000000000006</v>
      </c>
      <c r="Y534" s="7">
        <f t="shared" si="102"/>
        <v>67.040000000000006</v>
      </c>
      <c r="Z534" s="7" t="str">
        <f t="shared" si="103"/>
        <v>Low</v>
      </c>
      <c r="AA534" s="13">
        <v>0.114</v>
      </c>
      <c r="AB534" s="13">
        <f t="shared" si="104"/>
        <v>0.114</v>
      </c>
      <c r="AC534" s="13" t="str">
        <f t="shared" si="105"/>
        <v>OK</v>
      </c>
      <c r="AD534" s="7">
        <v>9</v>
      </c>
      <c r="AE534" s="7">
        <f>Y534*AD534*(1-AB534)</f>
        <v>534.57695999999999</v>
      </c>
      <c r="AF534" s="7">
        <f>W534*AD534</f>
        <v>535.59</v>
      </c>
      <c r="AG534" s="7">
        <f t="shared" si="106"/>
        <v>-1.0130400000000463</v>
      </c>
      <c r="AH534" s="13">
        <f t="shared" si="107"/>
        <v>-1.8950311663264469E-3</v>
      </c>
    </row>
    <row r="535" spans="1:34" x14ac:dyDescent="0.35">
      <c r="A535" s="2" t="s">
        <v>547</v>
      </c>
      <c r="B535" s="5">
        <v>45155</v>
      </c>
      <c r="C535" s="5">
        <f>IF(H535&lt;B535,H535,B535)</f>
        <v>45155</v>
      </c>
      <c r="D535" s="5" t="str">
        <f t="shared" si="96"/>
        <v>Aug-2023</v>
      </c>
      <c r="E535" s="5" t="str">
        <f t="shared" si="97"/>
        <v>Aug</v>
      </c>
      <c r="F535" s="5" t="str">
        <f t="shared" si="98"/>
        <v>2023</v>
      </c>
      <c r="G535" s="5" t="str">
        <f t="shared" si="99"/>
        <v>Q3-2023</v>
      </c>
      <c r="H535" s="5">
        <v>45172</v>
      </c>
      <c r="I535" s="5">
        <f>IF(H535&lt;B535, B535+7, H535)</f>
        <v>45172</v>
      </c>
      <c r="J535" s="5" t="str">
        <f>IF(H535&lt;B535, "Invalid","Okay")</f>
        <v>Okay</v>
      </c>
      <c r="K535" s="16">
        <f>I535-C535</f>
        <v>17</v>
      </c>
      <c r="L535" s="16" t="str">
        <f t="shared" si="100"/>
        <v>Target Not Met</v>
      </c>
      <c r="M535" s="2" t="s">
        <v>646</v>
      </c>
      <c r="N535" s="2" t="s">
        <v>661</v>
      </c>
      <c r="O535" s="2" t="s">
        <v>687</v>
      </c>
      <c r="P535" s="29" t="str">
        <f t="shared" si="101"/>
        <v>Africa→South Africa→Durban</v>
      </c>
      <c r="Q535" s="2" t="s">
        <v>706</v>
      </c>
      <c r="R535" s="2" t="s">
        <v>707</v>
      </c>
      <c r="S535" s="2" t="s">
        <v>720</v>
      </c>
      <c r="T535" s="2" t="s">
        <v>730</v>
      </c>
      <c r="U535" t="e">
        <f>(AE535/#REF!)*100</f>
        <v>#REF!</v>
      </c>
      <c r="V535" s="2" t="s">
        <v>1266</v>
      </c>
      <c r="W535" s="7">
        <v>676.37</v>
      </c>
      <c r="X535" s="7">
        <v>1276.67</v>
      </c>
      <c r="Y535" s="7">
        <f t="shared" si="102"/>
        <v>1276.67</v>
      </c>
      <c r="Z535" s="7" t="str">
        <f t="shared" si="103"/>
        <v>Medium</v>
      </c>
      <c r="AA535" s="13">
        <v>6.6000000000000003E-2</v>
      </c>
      <c r="AB535" s="13">
        <f t="shared" si="104"/>
        <v>6.6000000000000003E-2</v>
      </c>
      <c r="AC535" s="13" t="str">
        <f t="shared" si="105"/>
        <v>OK</v>
      </c>
      <c r="AD535" s="7">
        <v>10</v>
      </c>
      <c r="AE535" s="7">
        <f>Y535*AD535*(1-AB535)</f>
        <v>11924.0978</v>
      </c>
      <c r="AF535" s="7">
        <f>W535*AD535</f>
        <v>6763.7</v>
      </c>
      <c r="AG535" s="7">
        <f t="shared" si="106"/>
        <v>5160.3977999999997</v>
      </c>
      <c r="AH535" s="13">
        <f t="shared" si="107"/>
        <v>0.4327705027712872</v>
      </c>
    </row>
    <row r="536" spans="1:34" x14ac:dyDescent="0.35">
      <c r="A536" s="2" t="s">
        <v>548</v>
      </c>
      <c r="B536" s="5">
        <v>45832</v>
      </c>
      <c r="C536" s="5">
        <f>IF(H536&lt;B536,H536,B536)</f>
        <v>45832</v>
      </c>
      <c r="D536" s="5" t="str">
        <f t="shared" si="96"/>
        <v>Jun-2025</v>
      </c>
      <c r="E536" s="5" t="str">
        <f t="shared" si="97"/>
        <v>Jun</v>
      </c>
      <c r="F536" s="5" t="str">
        <f t="shared" si="98"/>
        <v>2025</v>
      </c>
      <c r="G536" s="5" t="str">
        <f t="shared" si="99"/>
        <v>Q2-2025</v>
      </c>
      <c r="H536" s="5">
        <v>45852</v>
      </c>
      <c r="I536" s="5">
        <f>IF(H536&lt;B536, B536+7, H536)</f>
        <v>45852</v>
      </c>
      <c r="J536" s="5" t="str">
        <f>IF(H536&lt;B536, "Invalid","Okay")</f>
        <v>Okay</v>
      </c>
      <c r="K536" s="16">
        <f>I536-C536</f>
        <v>20</v>
      </c>
      <c r="L536" s="16" t="str">
        <f t="shared" si="100"/>
        <v>Target Not Met</v>
      </c>
      <c r="M536" s="2" t="s">
        <v>646</v>
      </c>
      <c r="N536" s="2" t="s">
        <v>661</v>
      </c>
      <c r="O536" s="2" t="s">
        <v>682</v>
      </c>
      <c r="P536" s="29" t="str">
        <f t="shared" si="101"/>
        <v>Africa→South Africa→Johannesburg</v>
      </c>
      <c r="Q536" s="2" t="s">
        <v>706</v>
      </c>
      <c r="R536" s="2" t="s">
        <v>709</v>
      </c>
      <c r="S536" s="2" t="s">
        <v>713</v>
      </c>
      <c r="T536" s="2" t="s">
        <v>731</v>
      </c>
      <c r="U536" t="e">
        <f>(AE536/#REF!)*100</f>
        <v>#REF!</v>
      </c>
      <c r="V536" s="2" t="s">
        <v>1267</v>
      </c>
      <c r="W536" s="7">
        <v>1151.06</v>
      </c>
      <c r="X536" s="7">
        <v>2821.36</v>
      </c>
      <c r="Y536" s="7">
        <f t="shared" si="102"/>
        <v>2821.36</v>
      </c>
      <c r="Z536" s="7" t="str">
        <f t="shared" si="103"/>
        <v>High</v>
      </c>
      <c r="AA536" s="13">
        <v>0.248</v>
      </c>
      <c r="AB536" s="13">
        <f t="shared" si="104"/>
        <v>0.248</v>
      </c>
      <c r="AC536" s="13" t="str">
        <f t="shared" si="105"/>
        <v>OK</v>
      </c>
      <c r="AD536" s="7">
        <v>20</v>
      </c>
      <c r="AE536" s="7">
        <f>Y536*AD536*(1-AB536)</f>
        <v>42433.254400000005</v>
      </c>
      <c r="AF536" s="7">
        <f>W536*AD536</f>
        <v>23021.199999999997</v>
      </c>
      <c r="AG536" s="7">
        <f t="shared" si="106"/>
        <v>19412.054400000008</v>
      </c>
      <c r="AH536" s="13">
        <f t="shared" si="107"/>
        <v>0.45747267501594235</v>
      </c>
    </row>
    <row r="537" spans="1:34" x14ac:dyDescent="0.35">
      <c r="A537" s="2" t="s">
        <v>549</v>
      </c>
      <c r="B537" s="5">
        <v>45667</v>
      </c>
      <c r="C537" s="5">
        <f>IF(H537&lt;B537,H537,B537)</f>
        <v>45667</v>
      </c>
      <c r="D537" s="5" t="str">
        <f t="shared" si="96"/>
        <v>Jan-2025</v>
      </c>
      <c r="E537" s="5" t="str">
        <f t="shared" si="97"/>
        <v>Jan</v>
      </c>
      <c r="F537" s="5" t="str">
        <f t="shared" si="98"/>
        <v>2025</v>
      </c>
      <c r="G537" s="5" t="str">
        <f t="shared" si="99"/>
        <v>Q1-2025</v>
      </c>
      <c r="H537" s="5">
        <v>45694</v>
      </c>
      <c r="I537" s="5">
        <f>IF(H537&lt;B537, B537+7, H537)</f>
        <v>45694</v>
      </c>
      <c r="J537" s="5" t="str">
        <f>IF(H537&lt;B537, "Invalid","Okay")</f>
        <v>Okay</v>
      </c>
      <c r="K537" s="16">
        <f>I537-C537</f>
        <v>27</v>
      </c>
      <c r="L537" s="16" t="str">
        <f t="shared" si="100"/>
        <v>Target Not Met</v>
      </c>
      <c r="M537" s="2" t="s">
        <v>648</v>
      </c>
      <c r="N537" s="2" t="s">
        <v>655</v>
      </c>
      <c r="O537" s="2" t="s">
        <v>672</v>
      </c>
      <c r="P537" s="29" t="str">
        <f t="shared" si="101"/>
        <v>Americas→Brazil→Brasília</v>
      </c>
      <c r="Q537" s="2" t="s">
        <v>703</v>
      </c>
      <c r="R537" s="2" t="s">
        <v>707</v>
      </c>
      <c r="S537" s="2" t="s">
        <v>717</v>
      </c>
      <c r="T537" s="2" t="s">
        <v>731</v>
      </c>
      <c r="U537" t="e">
        <f>(AE537/#REF!)*100</f>
        <v>#REF!</v>
      </c>
      <c r="V537" s="2" t="s">
        <v>1268</v>
      </c>
      <c r="W537" s="7">
        <v>725.62</v>
      </c>
      <c r="X537" s="7">
        <v>1559.19</v>
      </c>
      <c r="Y537" s="7">
        <f t="shared" si="102"/>
        <v>1559.19</v>
      </c>
      <c r="Z537" s="7" t="str">
        <f t="shared" si="103"/>
        <v>Medium</v>
      </c>
      <c r="AA537" s="13">
        <v>0.19</v>
      </c>
      <c r="AB537" s="13">
        <f t="shared" si="104"/>
        <v>0.19</v>
      </c>
      <c r="AC537" s="13" t="str">
        <f t="shared" si="105"/>
        <v>OK</v>
      </c>
      <c r="AD537" s="7">
        <v>12</v>
      </c>
      <c r="AE537" s="7">
        <f>Y537*AD537*(1-AB537)</f>
        <v>15155.326800000001</v>
      </c>
      <c r="AF537" s="7">
        <f>W537*AD537</f>
        <v>8707.44</v>
      </c>
      <c r="AG537" s="7">
        <f t="shared" si="106"/>
        <v>6447.8868000000002</v>
      </c>
      <c r="AH537" s="13">
        <f t="shared" si="107"/>
        <v>0.42545349797405885</v>
      </c>
    </row>
    <row r="538" spans="1:34" x14ac:dyDescent="0.35">
      <c r="A538" s="2" t="s">
        <v>550</v>
      </c>
      <c r="B538" s="5">
        <v>45108</v>
      </c>
      <c r="C538" s="5">
        <f>IF(H538&lt;B538,H538,B538)</f>
        <v>45108</v>
      </c>
      <c r="D538" s="5" t="str">
        <f t="shared" si="96"/>
        <v>Jul-2023</v>
      </c>
      <c r="E538" s="5" t="str">
        <f t="shared" si="97"/>
        <v>Jul</v>
      </c>
      <c r="F538" s="5" t="str">
        <f t="shared" si="98"/>
        <v>2023</v>
      </c>
      <c r="G538" s="5" t="str">
        <f t="shared" si="99"/>
        <v>Q3-2023</v>
      </c>
      <c r="H538" s="5">
        <v>45118</v>
      </c>
      <c r="I538" s="5">
        <f>IF(H538&lt;B538, B538+7, H538)</f>
        <v>45118</v>
      </c>
      <c r="J538" s="5" t="str">
        <f>IF(H538&lt;B538, "Invalid","Okay")</f>
        <v>Okay</v>
      </c>
      <c r="K538" s="16">
        <f>I538-C538</f>
        <v>10</v>
      </c>
      <c r="L538" s="16" t="str">
        <f t="shared" si="100"/>
        <v>Target Not Met</v>
      </c>
      <c r="M538" s="2" t="s">
        <v>649</v>
      </c>
      <c r="N538" s="2" t="s">
        <v>657</v>
      </c>
      <c r="O538" s="2" t="s">
        <v>690</v>
      </c>
      <c r="P538" s="29" t="str">
        <f t="shared" si="101"/>
        <v>Europe→France→Paris</v>
      </c>
      <c r="Q538" s="2" t="s">
        <v>701</v>
      </c>
      <c r="R538" s="2" t="s">
        <v>711</v>
      </c>
      <c r="S538" s="2" t="s">
        <v>721</v>
      </c>
      <c r="T538" s="2" t="s">
        <v>729</v>
      </c>
      <c r="U538" t="e">
        <f>(AE538/#REF!)*100</f>
        <v>#REF!</v>
      </c>
      <c r="V538" s="2" t="s">
        <v>1269</v>
      </c>
      <c r="W538" s="7">
        <v>479.5</v>
      </c>
      <c r="X538" s="7">
        <v>656.66</v>
      </c>
      <c r="Y538" s="7">
        <f t="shared" si="102"/>
        <v>656.66</v>
      </c>
      <c r="Z538" s="7" t="str">
        <f t="shared" si="103"/>
        <v>Low</v>
      </c>
      <c r="AA538" s="13">
        <v>0.14899999999999999</v>
      </c>
      <c r="AB538" s="13">
        <f t="shared" si="104"/>
        <v>0.14899999999999999</v>
      </c>
      <c r="AC538" s="13" t="str">
        <f t="shared" si="105"/>
        <v>OK</v>
      </c>
      <c r="AD538" s="7">
        <v>14</v>
      </c>
      <c r="AE538" s="7">
        <f>Y538*AD538*(1-AB538)</f>
        <v>7823.4472399999995</v>
      </c>
      <c r="AF538" s="7">
        <f>W538*AD538</f>
        <v>6713</v>
      </c>
      <c r="AG538" s="7">
        <f t="shared" si="106"/>
        <v>1110.4472399999995</v>
      </c>
      <c r="AH538" s="13">
        <f t="shared" si="107"/>
        <v>0.14193835606412289</v>
      </c>
    </row>
    <row r="539" spans="1:34" x14ac:dyDescent="0.35">
      <c r="A539" s="2" t="s">
        <v>551</v>
      </c>
      <c r="B539" s="5">
        <v>45520</v>
      </c>
      <c r="C539" s="5">
        <f>IF(H539&lt;B539,H539,B539)</f>
        <v>45520</v>
      </c>
      <c r="D539" s="5" t="str">
        <f t="shared" si="96"/>
        <v>Aug-2024</v>
      </c>
      <c r="E539" s="5" t="str">
        <f t="shared" si="97"/>
        <v>Aug</v>
      </c>
      <c r="F539" s="5" t="str">
        <f t="shared" si="98"/>
        <v>2024</v>
      </c>
      <c r="G539" s="5" t="str">
        <f t="shared" si="99"/>
        <v>Q3-2024</v>
      </c>
      <c r="H539" s="5">
        <v>45530</v>
      </c>
      <c r="I539" s="5">
        <f>IF(H539&lt;B539, B539+7, H539)</f>
        <v>45530</v>
      </c>
      <c r="J539" s="5" t="str">
        <f>IF(H539&lt;B539, "Invalid","Okay")</f>
        <v>Okay</v>
      </c>
      <c r="K539" s="16">
        <f>I539-C539</f>
        <v>10</v>
      </c>
      <c r="L539" s="16" t="str">
        <f t="shared" si="100"/>
        <v>Target Not Met</v>
      </c>
      <c r="M539" s="2" t="s">
        <v>648</v>
      </c>
      <c r="N539" s="2" t="s">
        <v>660</v>
      </c>
      <c r="O539" s="2" t="s">
        <v>677</v>
      </c>
      <c r="P539" s="29" t="str">
        <f t="shared" si="101"/>
        <v>Americas→USA→Chicago</v>
      </c>
      <c r="Q539" s="2" t="s">
        <v>701</v>
      </c>
      <c r="R539" s="2" t="s">
        <v>710</v>
      </c>
      <c r="S539" s="2" t="s">
        <v>716</v>
      </c>
      <c r="T539" s="2" t="s">
        <v>731</v>
      </c>
      <c r="U539" t="e">
        <f>(AE539/#REF!)*100</f>
        <v>#REF!</v>
      </c>
      <c r="V539" s="2" t="s">
        <v>1121</v>
      </c>
      <c r="W539" s="7">
        <v>1291.7</v>
      </c>
      <c r="X539" s="7">
        <v>2657.84</v>
      </c>
      <c r="Y539" s="7">
        <f t="shared" si="102"/>
        <v>2657.84</v>
      </c>
      <c r="Z539" s="7" t="str">
        <f t="shared" si="103"/>
        <v>High</v>
      </c>
      <c r="AA539" s="13">
        <v>8.6999999999999994E-2</v>
      </c>
      <c r="AB539" s="13">
        <f t="shared" si="104"/>
        <v>8.6999999999999994E-2</v>
      </c>
      <c r="AC539" s="13" t="str">
        <f t="shared" si="105"/>
        <v>OK</v>
      </c>
      <c r="AD539" s="7">
        <v>21</v>
      </c>
      <c r="AE539" s="7">
        <f>Y539*AD539*(1-AB539)</f>
        <v>50958.766320000002</v>
      </c>
      <c r="AF539" s="7">
        <f>W539*AD539</f>
        <v>27125.7</v>
      </c>
      <c r="AG539" s="7">
        <f t="shared" si="106"/>
        <v>23833.066320000002</v>
      </c>
      <c r="AH539" s="13">
        <f t="shared" si="107"/>
        <v>0.46769315745083367</v>
      </c>
    </row>
    <row r="540" spans="1:34" x14ac:dyDescent="0.35">
      <c r="A540" s="2" t="s">
        <v>552</v>
      </c>
      <c r="B540" s="5">
        <v>45114</v>
      </c>
      <c r="C540" s="5">
        <f>IF(H540&lt;B540,H540,B540)</f>
        <v>45114</v>
      </c>
      <c r="D540" s="5" t="str">
        <f t="shared" si="96"/>
        <v>Jul-2023</v>
      </c>
      <c r="E540" s="5" t="str">
        <f t="shared" si="97"/>
        <v>Jul</v>
      </c>
      <c r="F540" s="5" t="str">
        <f t="shared" si="98"/>
        <v>2023</v>
      </c>
      <c r="G540" s="5" t="str">
        <f t="shared" si="99"/>
        <v>Q3-2023</v>
      </c>
      <c r="H540" s="5">
        <v>45120</v>
      </c>
      <c r="I540" s="5">
        <f>IF(H540&lt;B540, B540+7, H540)</f>
        <v>45120</v>
      </c>
      <c r="J540" s="5" t="str">
        <f>IF(H540&lt;B540, "Invalid","Okay")</f>
        <v>Okay</v>
      </c>
      <c r="K540" s="16">
        <f>I540-C540</f>
        <v>6</v>
      </c>
      <c r="L540" s="16" t="str">
        <f t="shared" si="100"/>
        <v>Target Met</v>
      </c>
      <c r="M540" s="2" t="s">
        <v>646</v>
      </c>
      <c r="N540" s="2" t="s">
        <v>661</v>
      </c>
      <c r="O540" s="2" t="s">
        <v>695</v>
      </c>
      <c r="P540" s="29" t="str">
        <f t="shared" si="101"/>
        <v>Africa→South Africa→Cape Town</v>
      </c>
      <c r="Q540" s="2" t="s">
        <v>705</v>
      </c>
      <c r="R540" s="2" t="s">
        <v>709</v>
      </c>
      <c r="S540" s="2" t="s">
        <v>717</v>
      </c>
      <c r="T540" s="2" t="s">
        <v>733</v>
      </c>
      <c r="U540" t="e">
        <f>(AE540/#REF!)*100</f>
        <v>#REF!</v>
      </c>
      <c r="V540" s="2" t="s">
        <v>1270</v>
      </c>
      <c r="W540" s="7">
        <v>612.59</v>
      </c>
      <c r="X540" s="7">
        <v>1424.74</v>
      </c>
      <c r="Y540" s="7">
        <f t="shared" si="102"/>
        <v>1424.74</v>
      </c>
      <c r="Z540" s="7" t="str">
        <f t="shared" si="103"/>
        <v>Medium</v>
      </c>
      <c r="AA540" s="13">
        <v>4.3999999999999997E-2</v>
      </c>
      <c r="AB540" s="13">
        <f t="shared" si="104"/>
        <v>4.3999999999999997E-2</v>
      </c>
      <c r="AC540" s="13" t="str">
        <f t="shared" si="105"/>
        <v>OK</v>
      </c>
      <c r="AD540" s="7">
        <v>15</v>
      </c>
      <c r="AE540" s="7">
        <f>Y540*AD540*(1-AB540)</f>
        <v>20430.771599999996</v>
      </c>
      <c r="AF540" s="7">
        <f>W540*AD540</f>
        <v>9188.85</v>
      </c>
      <c r="AG540" s="7">
        <f t="shared" si="106"/>
        <v>11241.921599999996</v>
      </c>
      <c r="AH540" s="13">
        <f t="shared" si="107"/>
        <v>0.55024459281802152</v>
      </c>
    </row>
    <row r="541" spans="1:34" x14ac:dyDescent="0.35">
      <c r="A541" s="2" t="s">
        <v>553</v>
      </c>
      <c r="B541" s="5">
        <v>45288</v>
      </c>
      <c r="C541" s="5">
        <f>IF(H541&lt;B541,H541,B541)</f>
        <v>45288</v>
      </c>
      <c r="D541" s="5" t="str">
        <f t="shared" si="96"/>
        <v>Dec-2023</v>
      </c>
      <c r="E541" s="5" t="str">
        <f t="shared" si="97"/>
        <v>Dec</v>
      </c>
      <c r="F541" s="5" t="str">
        <f t="shared" si="98"/>
        <v>2023</v>
      </c>
      <c r="G541" s="5" t="str">
        <f t="shared" si="99"/>
        <v>Q4-2023</v>
      </c>
      <c r="H541" s="5">
        <v>45292</v>
      </c>
      <c r="I541" s="5">
        <f>IF(H541&lt;B541, B541+7, H541)</f>
        <v>45292</v>
      </c>
      <c r="J541" s="5" t="str">
        <f>IF(H541&lt;B541, "Invalid","Okay")</f>
        <v>Okay</v>
      </c>
      <c r="K541" s="16">
        <f>I541-C541</f>
        <v>4</v>
      </c>
      <c r="L541" s="16" t="str">
        <f t="shared" si="100"/>
        <v>Target Met</v>
      </c>
      <c r="M541" s="2" t="s">
        <v>646</v>
      </c>
      <c r="N541" s="2" t="s">
        <v>661</v>
      </c>
      <c r="O541" s="2" t="s">
        <v>695</v>
      </c>
      <c r="P541" s="29" t="str">
        <f t="shared" si="101"/>
        <v>Africa→South Africa→Cape Town</v>
      </c>
      <c r="Q541" s="2" t="s">
        <v>702</v>
      </c>
      <c r="R541" s="2" t="s">
        <v>710</v>
      </c>
      <c r="S541" s="2" t="s">
        <v>720</v>
      </c>
      <c r="T541" s="2" t="s">
        <v>728</v>
      </c>
      <c r="U541" t="e">
        <f>(AE541/#REF!)*100</f>
        <v>#REF!</v>
      </c>
      <c r="V541" s="2" t="s">
        <v>1271</v>
      </c>
      <c r="W541" s="7">
        <v>1141.8</v>
      </c>
      <c r="X541" s="7">
        <v>2318.7399999999998</v>
      </c>
      <c r="Y541" s="7">
        <f t="shared" si="102"/>
        <v>2318.7399999999998</v>
      </c>
      <c r="Z541" s="7" t="str">
        <f t="shared" si="103"/>
        <v>High</v>
      </c>
      <c r="AA541" s="13">
        <v>0.107</v>
      </c>
      <c r="AB541" s="13">
        <f t="shared" si="104"/>
        <v>0.107</v>
      </c>
      <c r="AC541" s="13" t="str">
        <f t="shared" si="105"/>
        <v>OK</v>
      </c>
      <c r="AD541" s="7">
        <v>32</v>
      </c>
      <c r="AE541" s="7">
        <f>Y541*AD541*(1-AB541)</f>
        <v>66260.314239999992</v>
      </c>
      <c r="AF541" s="7">
        <f>W541*AD541</f>
        <v>36537.599999999999</v>
      </c>
      <c r="AG541" s="7">
        <f t="shared" si="106"/>
        <v>29722.714239999994</v>
      </c>
      <c r="AH541" s="13">
        <f t="shared" si="107"/>
        <v>0.44857490612468304</v>
      </c>
    </row>
    <row r="542" spans="1:34" x14ac:dyDescent="0.35">
      <c r="A542" s="2" t="s">
        <v>554</v>
      </c>
      <c r="B542" s="5">
        <v>44952</v>
      </c>
      <c r="C542" s="5">
        <f>IF(H542&lt;B542,H542,B542)</f>
        <v>44952</v>
      </c>
      <c r="D542" s="5" t="str">
        <f t="shared" si="96"/>
        <v>Jan-2023</v>
      </c>
      <c r="E542" s="5" t="str">
        <f t="shared" si="97"/>
        <v>Jan</v>
      </c>
      <c r="F542" s="5" t="str">
        <f t="shared" si="98"/>
        <v>2023</v>
      </c>
      <c r="G542" s="5" t="str">
        <f t="shared" si="99"/>
        <v>Q1-2023</v>
      </c>
      <c r="H542" s="5">
        <v>44972</v>
      </c>
      <c r="I542" s="5">
        <f>IF(H542&lt;B542, B542+7, H542)</f>
        <v>44972</v>
      </c>
      <c r="J542" s="5" t="str">
        <f>IF(H542&lt;B542, "Invalid","Okay")</f>
        <v>Okay</v>
      </c>
      <c r="K542" s="16">
        <f>I542-C542</f>
        <v>20</v>
      </c>
      <c r="L542" s="16" t="str">
        <f t="shared" si="100"/>
        <v>Target Not Met</v>
      </c>
      <c r="M542" s="2" t="s">
        <v>649</v>
      </c>
      <c r="N542" s="2" t="s">
        <v>656</v>
      </c>
      <c r="O542" s="2" t="s">
        <v>671</v>
      </c>
      <c r="P542" s="29" t="str">
        <f t="shared" si="101"/>
        <v>Europe→Germany→Berlin</v>
      </c>
      <c r="Q542" s="2" t="s">
        <v>705</v>
      </c>
      <c r="R542" s="2" t="s">
        <v>708</v>
      </c>
      <c r="S542" s="2" t="s">
        <v>719</v>
      </c>
      <c r="T542" s="2" t="s">
        <v>729</v>
      </c>
      <c r="U542" t="e">
        <f>(AE542/#REF!)*100</f>
        <v>#REF!</v>
      </c>
      <c r="V542" s="2" t="s">
        <v>1272</v>
      </c>
      <c r="W542" s="7">
        <v>492.62</v>
      </c>
      <c r="X542" s="7">
        <v>366.7</v>
      </c>
      <c r="Y542" s="7">
        <f t="shared" si="102"/>
        <v>366.7</v>
      </c>
      <c r="Z542" s="7" t="str">
        <f t="shared" si="103"/>
        <v>Low</v>
      </c>
      <c r="AA542" s="13">
        <v>8.8999999999999996E-2</v>
      </c>
      <c r="AB542" s="13">
        <f t="shared" si="104"/>
        <v>8.8999999999999996E-2</v>
      </c>
      <c r="AC542" s="13" t="str">
        <f t="shared" si="105"/>
        <v>OK</v>
      </c>
      <c r="AD542" s="7">
        <v>10</v>
      </c>
      <c r="AE542" s="7">
        <f>Y542*AD542*(1-AB542)</f>
        <v>3340.6370000000002</v>
      </c>
      <c r="AF542" s="7">
        <f>W542*AD542</f>
        <v>4926.2</v>
      </c>
      <c r="AG542" s="7">
        <f t="shared" si="106"/>
        <v>-1585.5629999999996</v>
      </c>
      <c r="AH542" s="13">
        <f t="shared" si="107"/>
        <v>-0.47462894052840809</v>
      </c>
    </row>
    <row r="543" spans="1:34" x14ac:dyDescent="0.35">
      <c r="A543" s="2" t="s">
        <v>555</v>
      </c>
      <c r="B543" s="5">
        <v>45115</v>
      </c>
      <c r="C543" s="5">
        <f>IF(H543&lt;B543,H543,B543)</f>
        <v>45115</v>
      </c>
      <c r="D543" s="5" t="str">
        <f t="shared" si="96"/>
        <v>Jul-2023</v>
      </c>
      <c r="E543" s="5" t="str">
        <f t="shared" si="97"/>
        <v>Jul</v>
      </c>
      <c r="F543" s="5" t="str">
        <f t="shared" si="98"/>
        <v>2023</v>
      </c>
      <c r="G543" s="5" t="str">
        <f t="shared" si="99"/>
        <v>Q3-2023</v>
      </c>
      <c r="H543" s="5">
        <v>45116</v>
      </c>
      <c r="I543" s="5">
        <f>IF(H543&lt;B543, B543+7, H543)</f>
        <v>45116</v>
      </c>
      <c r="J543" s="5" t="str">
        <f>IF(H543&lt;B543, "Invalid","Okay")</f>
        <v>Okay</v>
      </c>
      <c r="K543" s="16">
        <f>I543-C543</f>
        <v>1</v>
      </c>
      <c r="L543" s="16" t="str">
        <f t="shared" si="100"/>
        <v>Target Met</v>
      </c>
      <c r="M543" s="2" t="s">
        <v>646</v>
      </c>
      <c r="N543" s="2" t="s">
        <v>650</v>
      </c>
      <c r="O543" s="2" t="s">
        <v>664</v>
      </c>
      <c r="P543" s="29" t="str">
        <f t="shared" si="101"/>
        <v>Africa→Kenya→Nairobi</v>
      </c>
      <c r="Q543" s="2" t="s">
        <v>704</v>
      </c>
      <c r="R543" s="2" t="s">
        <v>708</v>
      </c>
      <c r="S543" s="2" t="s">
        <v>726</v>
      </c>
      <c r="T543" s="2" t="s">
        <v>731</v>
      </c>
      <c r="U543" t="e">
        <f>(AE543/#REF!)*100</f>
        <v>#REF!</v>
      </c>
      <c r="V543" s="2" t="s">
        <v>1273</v>
      </c>
      <c r="W543" s="7">
        <v>1258.72</v>
      </c>
      <c r="X543" s="7">
        <v>2797.41</v>
      </c>
      <c r="Y543" s="7">
        <f t="shared" si="102"/>
        <v>2797.41</v>
      </c>
      <c r="Z543" s="7" t="str">
        <f t="shared" si="103"/>
        <v>High</v>
      </c>
      <c r="AA543" s="13">
        <v>0</v>
      </c>
      <c r="AB543" s="13">
        <f t="shared" si="104"/>
        <v>0</v>
      </c>
      <c r="AC543" s="13" t="str">
        <f t="shared" si="105"/>
        <v>OK</v>
      </c>
      <c r="AD543" s="7">
        <v>7</v>
      </c>
      <c r="AE543" s="7">
        <f>Y543*AD543*(1-AB543)</f>
        <v>19581.87</v>
      </c>
      <c r="AF543" s="7">
        <f>W543*AD543</f>
        <v>8811.0400000000009</v>
      </c>
      <c r="AG543" s="7">
        <f t="shared" si="106"/>
        <v>10770.829999999998</v>
      </c>
      <c r="AH543" s="13">
        <f t="shared" si="107"/>
        <v>0.55004093071805704</v>
      </c>
    </row>
    <row r="544" spans="1:34" x14ac:dyDescent="0.35">
      <c r="A544" s="2" t="s">
        <v>556</v>
      </c>
      <c r="B544" s="5">
        <v>45450</v>
      </c>
      <c r="C544" s="5">
        <f>IF(H544&lt;B544,H544,B544)</f>
        <v>45450</v>
      </c>
      <c r="D544" s="5" t="str">
        <f t="shared" si="96"/>
        <v>Jun-2024</v>
      </c>
      <c r="E544" s="5" t="str">
        <f t="shared" si="97"/>
        <v>Jun</v>
      </c>
      <c r="F544" s="5" t="str">
        <f t="shared" si="98"/>
        <v>2024</v>
      </c>
      <c r="G544" s="5" t="str">
        <f t="shared" si="99"/>
        <v>Q2-2024</v>
      </c>
      <c r="H544" s="5">
        <v>45452</v>
      </c>
      <c r="I544" s="5">
        <f>IF(H544&lt;B544, B544+7, H544)</f>
        <v>45452</v>
      </c>
      <c r="J544" s="5" t="str">
        <f>IF(H544&lt;B544, "Invalid","Okay")</f>
        <v>Okay</v>
      </c>
      <c r="K544" s="16">
        <f>I544-C544</f>
        <v>2</v>
      </c>
      <c r="L544" s="16" t="str">
        <f t="shared" si="100"/>
        <v>Target Met</v>
      </c>
      <c r="M544" s="2" t="s">
        <v>647</v>
      </c>
      <c r="N544" s="2" t="s">
        <v>659</v>
      </c>
      <c r="O544" s="2" t="s">
        <v>685</v>
      </c>
      <c r="P544" s="29" t="str">
        <f t="shared" si="101"/>
        <v>Asia→China→Shanghai</v>
      </c>
      <c r="Q544" s="2" t="s">
        <v>701</v>
      </c>
      <c r="R544" s="2" t="s">
        <v>707</v>
      </c>
      <c r="S544" s="2" t="s">
        <v>719</v>
      </c>
      <c r="T544" s="2" t="s">
        <v>732</v>
      </c>
      <c r="U544" t="e">
        <f>(AE544/#REF!)*100</f>
        <v>#REF!</v>
      </c>
      <c r="V544" s="2" t="s">
        <v>1274</v>
      </c>
      <c r="W544" s="7">
        <v>1370.28</v>
      </c>
      <c r="X544" s="7">
        <v>2209.66</v>
      </c>
      <c r="Y544" s="7">
        <f t="shared" si="102"/>
        <v>2209.66</v>
      </c>
      <c r="Z544" s="7" t="str">
        <f t="shared" si="103"/>
        <v>High</v>
      </c>
      <c r="AA544" s="13">
        <v>0.13300000000000001</v>
      </c>
      <c r="AB544" s="13">
        <f t="shared" si="104"/>
        <v>0.13300000000000001</v>
      </c>
      <c r="AC544" s="13" t="str">
        <f t="shared" si="105"/>
        <v>OK</v>
      </c>
      <c r="AD544" s="7">
        <v>16</v>
      </c>
      <c r="AE544" s="7">
        <f>Y544*AD544*(1-AB544)</f>
        <v>30652.403519999996</v>
      </c>
      <c r="AF544" s="7">
        <f>W544*AD544</f>
        <v>21924.48</v>
      </c>
      <c r="AG544" s="7">
        <f t="shared" si="106"/>
        <v>8727.9235199999966</v>
      </c>
      <c r="AH544" s="13">
        <f t="shared" si="107"/>
        <v>0.28473863442079589</v>
      </c>
    </row>
    <row r="545" spans="1:34" x14ac:dyDescent="0.35">
      <c r="A545" s="2" t="s">
        <v>557</v>
      </c>
      <c r="B545" s="5">
        <v>44968</v>
      </c>
      <c r="C545" s="5">
        <f>IF(H545&lt;B545,H545,B545)</f>
        <v>44968</v>
      </c>
      <c r="D545" s="5" t="str">
        <f t="shared" si="96"/>
        <v>Feb-2023</v>
      </c>
      <c r="E545" s="5" t="str">
        <f t="shared" si="97"/>
        <v>Feb</v>
      </c>
      <c r="F545" s="5" t="str">
        <f t="shared" si="98"/>
        <v>2023</v>
      </c>
      <c r="G545" s="5" t="str">
        <f t="shared" si="99"/>
        <v>Q1-2023</v>
      </c>
      <c r="H545" s="5">
        <v>44969</v>
      </c>
      <c r="I545" s="5">
        <f>IF(H545&lt;B545, B545+7, H545)</f>
        <v>44969</v>
      </c>
      <c r="J545" s="5" t="str">
        <f>IF(H545&lt;B545, "Invalid","Okay")</f>
        <v>Okay</v>
      </c>
      <c r="K545" s="16">
        <f>I545-C545</f>
        <v>1</v>
      </c>
      <c r="L545" s="16" t="str">
        <f t="shared" si="100"/>
        <v>Target Met</v>
      </c>
      <c r="M545" s="2" t="s">
        <v>646</v>
      </c>
      <c r="N545" s="2" t="s">
        <v>651</v>
      </c>
      <c r="O545" s="2" t="s">
        <v>663</v>
      </c>
      <c r="P545" s="29" t="str">
        <f t="shared" si="101"/>
        <v>Africa→Nigeria→Port Harcourt</v>
      </c>
      <c r="Q545" s="2" t="s">
        <v>703</v>
      </c>
      <c r="R545" s="2" t="s">
        <v>711</v>
      </c>
      <c r="S545" s="2" t="s">
        <v>726</v>
      </c>
      <c r="T545" s="2" t="s">
        <v>733</v>
      </c>
      <c r="U545" t="e">
        <f>(AE545/#REF!)*100</f>
        <v>#REF!</v>
      </c>
      <c r="V545" s="2" t="s">
        <v>1275</v>
      </c>
      <c r="W545" s="7">
        <v>944.61</v>
      </c>
      <c r="X545" s="7">
        <v>839.04</v>
      </c>
      <c r="Y545" s="7">
        <f t="shared" si="102"/>
        <v>839.04</v>
      </c>
      <c r="Z545" s="7" t="str">
        <f t="shared" si="103"/>
        <v>Low</v>
      </c>
      <c r="AA545" s="13">
        <v>5.8999999999999997E-2</v>
      </c>
      <c r="AB545" s="13">
        <f t="shared" si="104"/>
        <v>5.8999999999999997E-2</v>
      </c>
      <c r="AC545" s="13" t="str">
        <f t="shared" si="105"/>
        <v>OK</v>
      </c>
      <c r="AD545" s="7">
        <v>6</v>
      </c>
      <c r="AE545" s="7">
        <f>Y545*AD545*(1-AB545)</f>
        <v>4737.2198399999997</v>
      </c>
      <c r="AF545" s="7">
        <f>W545*AD545</f>
        <v>5667.66</v>
      </c>
      <c r="AG545" s="7">
        <f t="shared" si="106"/>
        <v>-930.44016000000011</v>
      </c>
      <c r="AH545" s="13">
        <f t="shared" si="107"/>
        <v>-0.19641059343363726</v>
      </c>
    </row>
    <row r="546" spans="1:34" x14ac:dyDescent="0.35">
      <c r="A546" s="2" t="s">
        <v>558</v>
      </c>
      <c r="B546" s="5">
        <v>45108</v>
      </c>
      <c r="C546" s="5">
        <f>IF(H546&lt;B546,H546,B546)</f>
        <v>45108</v>
      </c>
      <c r="D546" s="5" t="str">
        <f t="shared" si="96"/>
        <v>Jul-2023</v>
      </c>
      <c r="E546" s="5" t="str">
        <f t="shared" si="97"/>
        <v>Jul</v>
      </c>
      <c r="F546" s="5" t="str">
        <f t="shared" si="98"/>
        <v>2023</v>
      </c>
      <c r="G546" s="5" t="str">
        <f t="shared" si="99"/>
        <v>Q3-2023</v>
      </c>
      <c r="H546" s="5">
        <v>45115</v>
      </c>
      <c r="I546" s="5">
        <f>IF(H546&lt;B546, B546+7, H546)</f>
        <v>45115</v>
      </c>
      <c r="J546" s="5" t="str">
        <f>IF(H546&lt;B546, "Invalid","Okay")</f>
        <v>Okay</v>
      </c>
      <c r="K546" s="16">
        <f>I546-C546</f>
        <v>7</v>
      </c>
      <c r="L546" s="16" t="str">
        <f t="shared" si="100"/>
        <v>Target Met</v>
      </c>
      <c r="M546" s="2" t="s">
        <v>649</v>
      </c>
      <c r="N546" s="2" t="s">
        <v>656</v>
      </c>
      <c r="O546" s="2" t="s">
        <v>698</v>
      </c>
      <c r="P546" s="29" t="str">
        <f t="shared" si="101"/>
        <v>Europe→Germany→Frankfurt</v>
      </c>
      <c r="Q546" s="2" t="s">
        <v>705</v>
      </c>
      <c r="R546" s="2" t="s">
        <v>710</v>
      </c>
      <c r="S546" s="2" t="s">
        <v>725</v>
      </c>
      <c r="T546" s="2" t="s">
        <v>731</v>
      </c>
      <c r="U546" t="e">
        <f>(AE546/#REF!)*100</f>
        <v>#REF!</v>
      </c>
      <c r="V546" s="2" t="s">
        <v>1276</v>
      </c>
      <c r="W546" s="7">
        <v>460.21</v>
      </c>
      <c r="X546" s="7">
        <v>1139.1500000000001</v>
      </c>
      <c r="Y546" s="7">
        <f t="shared" si="102"/>
        <v>1139.1500000000001</v>
      </c>
      <c r="Z546" s="7" t="str">
        <f t="shared" si="103"/>
        <v>Low</v>
      </c>
      <c r="AA546" s="13">
        <v>0.115</v>
      </c>
      <c r="AB546" s="13">
        <f t="shared" si="104"/>
        <v>0.115</v>
      </c>
      <c r="AC546" s="13" t="str">
        <f t="shared" si="105"/>
        <v>OK</v>
      </c>
      <c r="AD546" s="7">
        <v>14</v>
      </c>
      <c r="AE546" s="7">
        <f>Y546*AD546*(1-AB546)</f>
        <v>14114.068500000001</v>
      </c>
      <c r="AF546" s="7">
        <f>W546*AD546</f>
        <v>6442.94</v>
      </c>
      <c r="AG546" s="7">
        <f t="shared" si="106"/>
        <v>7671.1285000000016</v>
      </c>
      <c r="AH546" s="13">
        <f t="shared" si="107"/>
        <v>0.54350937151821255</v>
      </c>
    </row>
    <row r="547" spans="1:34" x14ac:dyDescent="0.35">
      <c r="A547" s="2" t="s">
        <v>559</v>
      </c>
      <c r="B547" s="5">
        <v>45889</v>
      </c>
      <c r="C547" s="5">
        <f>IF(H547&lt;B547,H547,B547)</f>
        <v>45889</v>
      </c>
      <c r="D547" s="5" t="str">
        <f t="shared" si="96"/>
        <v>Aug-2025</v>
      </c>
      <c r="E547" s="5" t="str">
        <f t="shared" si="97"/>
        <v>Aug</v>
      </c>
      <c r="F547" s="5" t="str">
        <f t="shared" si="98"/>
        <v>2025</v>
      </c>
      <c r="G547" s="5" t="str">
        <f t="shared" si="99"/>
        <v>Q3-2025</v>
      </c>
      <c r="H547" s="5">
        <v>45895</v>
      </c>
      <c r="I547" s="5">
        <f>IF(H547&lt;B547, B547+7, H547)</f>
        <v>45895</v>
      </c>
      <c r="J547" s="5" t="str">
        <f>IF(H547&lt;B547, "Invalid","Okay")</f>
        <v>Okay</v>
      </c>
      <c r="K547" s="16">
        <f>I547-C547</f>
        <v>6</v>
      </c>
      <c r="L547" s="16" t="str">
        <f t="shared" si="100"/>
        <v>Target Met</v>
      </c>
      <c r="M547" s="2" t="s">
        <v>648</v>
      </c>
      <c r="N547" s="2" t="s">
        <v>660</v>
      </c>
      <c r="O547" s="2" t="s">
        <v>700</v>
      </c>
      <c r="P547" s="29" t="str">
        <f t="shared" si="101"/>
        <v>Americas→USA→New York</v>
      </c>
      <c r="Q547" s="2" t="s">
        <v>701</v>
      </c>
      <c r="R547" s="2" t="s">
        <v>707</v>
      </c>
      <c r="S547" s="2" t="s">
        <v>724</v>
      </c>
      <c r="T547" s="2" t="s">
        <v>729</v>
      </c>
      <c r="U547" t="e">
        <f>(AE547/#REF!)*100</f>
        <v>#REF!</v>
      </c>
      <c r="V547" s="2" t="s">
        <v>1277</v>
      </c>
      <c r="W547" s="7">
        <v>1304.95</v>
      </c>
      <c r="X547" s="7">
        <v>1712.03</v>
      </c>
      <c r="Y547" s="7">
        <f t="shared" si="102"/>
        <v>1712.03</v>
      </c>
      <c r="Z547" s="7" t="str">
        <f t="shared" si="103"/>
        <v>Medium</v>
      </c>
      <c r="AA547" s="13">
        <v>0.21199999999999999</v>
      </c>
      <c r="AB547" s="13">
        <f t="shared" si="104"/>
        <v>0.21199999999999999</v>
      </c>
      <c r="AC547" s="13" t="str">
        <f t="shared" si="105"/>
        <v>OK</v>
      </c>
      <c r="AD547" s="7">
        <v>8</v>
      </c>
      <c r="AE547" s="7">
        <f>Y547*AD547*(1-AB547)</f>
        <v>10792.637119999999</v>
      </c>
      <c r="AF547" s="7">
        <f>W547*AD547</f>
        <v>10439.6</v>
      </c>
      <c r="AG547" s="7">
        <f t="shared" si="106"/>
        <v>353.03711999999905</v>
      </c>
      <c r="AH547" s="13">
        <f t="shared" si="107"/>
        <v>3.2710922833287949E-2</v>
      </c>
    </row>
    <row r="548" spans="1:34" x14ac:dyDescent="0.35">
      <c r="A548" s="2" t="s">
        <v>560</v>
      </c>
      <c r="B548" s="5">
        <v>45355</v>
      </c>
      <c r="C548" s="5">
        <f>IF(H548&lt;B548,H548,B548)</f>
        <v>45355</v>
      </c>
      <c r="D548" s="5" t="str">
        <f t="shared" si="96"/>
        <v>Mar-2024</v>
      </c>
      <c r="E548" s="5" t="str">
        <f t="shared" si="97"/>
        <v>Mar</v>
      </c>
      <c r="F548" s="5" t="str">
        <f t="shared" si="98"/>
        <v>2024</v>
      </c>
      <c r="G548" s="5" t="str">
        <f t="shared" si="99"/>
        <v>Q1-2024</v>
      </c>
      <c r="H548" s="5">
        <v>45367</v>
      </c>
      <c r="I548" s="5">
        <f>IF(H548&lt;B548, B548+7, H548)</f>
        <v>45367</v>
      </c>
      <c r="J548" s="5" t="str">
        <f>IF(H548&lt;B548, "Invalid","Okay")</f>
        <v>Okay</v>
      </c>
      <c r="K548" s="16">
        <f>I548-C548</f>
        <v>12</v>
      </c>
      <c r="L548" s="16" t="str">
        <f t="shared" si="100"/>
        <v>Target Not Met</v>
      </c>
      <c r="M548" s="2" t="s">
        <v>646</v>
      </c>
      <c r="N548" s="2" t="s">
        <v>661</v>
      </c>
      <c r="O548" s="2" t="s">
        <v>682</v>
      </c>
      <c r="P548" s="29" t="str">
        <f t="shared" si="101"/>
        <v>Africa→South Africa→Johannesburg</v>
      </c>
      <c r="Q548" s="2" t="s">
        <v>706</v>
      </c>
      <c r="R548" s="2" t="s">
        <v>710</v>
      </c>
      <c r="S548" s="2" t="s">
        <v>724</v>
      </c>
      <c r="T548" s="2" t="s">
        <v>732</v>
      </c>
      <c r="U548" t="e">
        <f>(AE548/#REF!)*100</f>
        <v>#REF!</v>
      </c>
      <c r="V548" s="2" t="s">
        <v>1278</v>
      </c>
      <c r="W548" s="7">
        <v>441.08</v>
      </c>
      <c r="X548" s="7">
        <v>1054.29</v>
      </c>
      <c r="Y548" s="7">
        <f t="shared" si="102"/>
        <v>1054.29</v>
      </c>
      <c r="Z548" s="7" t="str">
        <f t="shared" si="103"/>
        <v>Low</v>
      </c>
      <c r="AA548" s="13">
        <v>0.23699999999999999</v>
      </c>
      <c r="AB548" s="13">
        <f t="shared" si="104"/>
        <v>0.23699999999999999</v>
      </c>
      <c r="AC548" s="13" t="str">
        <f t="shared" si="105"/>
        <v>OK</v>
      </c>
      <c r="AD548" s="7">
        <v>6</v>
      </c>
      <c r="AE548" s="7">
        <f>Y548*AD548*(1-AB548)</f>
        <v>4826.5396199999996</v>
      </c>
      <c r="AF548" s="7">
        <f>W548*AD548</f>
        <v>2646.48</v>
      </c>
      <c r="AG548" s="7">
        <f t="shared" si="106"/>
        <v>2180.0596199999995</v>
      </c>
      <c r="AH548" s="13">
        <f t="shared" si="107"/>
        <v>0.45168169985932899</v>
      </c>
    </row>
    <row r="549" spans="1:34" x14ac:dyDescent="0.35">
      <c r="A549" s="2" t="s">
        <v>561</v>
      </c>
      <c r="B549" s="5">
        <v>45177</v>
      </c>
      <c r="C549" s="5">
        <f>IF(H549&lt;B549,H549,B549)</f>
        <v>45177</v>
      </c>
      <c r="D549" s="5" t="str">
        <f t="shared" si="96"/>
        <v>Sep-2023</v>
      </c>
      <c r="E549" s="5" t="str">
        <f t="shared" si="97"/>
        <v>Sep</v>
      </c>
      <c r="F549" s="5" t="str">
        <f t="shared" si="98"/>
        <v>2023</v>
      </c>
      <c r="G549" s="5" t="str">
        <f t="shared" si="99"/>
        <v>Q3-2023</v>
      </c>
      <c r="H549" s="5">
        <v>45201</v>
      </c>
      <c r="I549" s="5">
        <f>IF(H549&lt;B549, B549+7, H549)</f>
        <v>45201</v>
      </c>
      <c r="J549" s="5" t="str">
        <f>IF(H549&lt;B549, "Invalid","Okay")</f>
        <v>Okay</v>
      </c>
      <c r="K549" s="16">
        <f>I549-C549</f>
        <v>24</v>
      </c>
      <c r="L549" s="16" t="str">
        <f t="shared" si="100"/>
        <v>Target Not Met</v>
      </c>
      <c r="M549" s="2" t="s">
        <v>648</v>
      </c>
      <c r="N549" s="2" t="s">
        <v>653</v>
      </c>
      <c r="O549" s="2" t="s">
        <v>667</v>
      </c>
      <c r="P549" s="29" t="str">
        <f t="shared" si="101"/>
        <v>Americas→Canada→Toronto</v>
      </c>
      <c r="Q549" s="2" t="s">
        <v>702</v>
      </c>
      <c r="R549" s="2" t="s">
        <v>711</v>
      </c>
      <c r="S549" s="2" t="s">
        <v>720</v>
      </c>
      <c r="T549" s="2" t="s">
        <v>733</v>
      </c>
      <c r="U549" t="e">
        <f>(AE549/#REF!)*100</f>
        <v>#REF!</v>
      </c>
      <c r="V549" s="2" t="s">
        <v>1279</v>
      </c>
      <c r="W549" s="7">
        <v>1299.03</v>
      </c>
      <c r="X549" s="7">
        <v>2451.2199999999998</v>
      </c>
      <c r="Y549" s="7">
        <f t="shared" si="102"/>
        <v>2451.2199999999998</v>
      </c>
      <c r="Z549" s="7" t="str">
        <f t="shared" si="103"/>
        <v>High</v>
      </c>
      <c r="AA549" s="13">
        <v>0.20799999999999999</v>
      </c>
      <c r="AB549" s="13">
        <f t="shared" si="104"/>
        <v>0.20799999999999999</v>
      </c>
      <c r="AC549" s="13" t="str">
        <f t="shared" si="105"/>
        <v>OK</v>
      </c>
      <c r="AD549" s="7">
        <v>8</v>
      </c>
      <c r="AE549" s="7">
        <f>Y549*AD549*(1-AB549)</f>
        <v>15530.929919999999</v>
      </c>
      <c r="AF549" s="7">
        <f>W549*AD549</f>
        <v>10392.24</v>
      </c>
      <c r="AG549" s="7">
        <f t="shared" si="106"/>
        <v>5138.6899199999989</v>
      </c>
      <c r="AH549" s="13">
        <f t="shared" si="107"/>
        <v>0.3308681416032041</v>
      </c>
    </row>
    <row r="550" spans="1:34" x14ac:dyDescent="0.35">
      <c r="A550" s="2" t="s">
        <v>562</v>
      </c>
      <c r="B550" s="5">
        <v>44985</v>
      </c>
      <c r="C550" s="5">
        <f>IF(H550&lt;B550,H550,B550)</f>
        <v>44985</v>
      </c>
      <c r="D550" s="5" t="str">
        <f t="shared" si="96"/>
        <v>Feb-2023</v>
      </c>
      <c r="E550" s="5" t="str">
        <f t="shared" si="97"/>
        <v>Feb</v>
      </c>
      <c r="F550" s="5" t="str">
        <f t="shared" si="98"/>
        <v>2023</v>
      </c>
      <c r="G550" s="5" t="str">
        <f t="shared" si="99"/>
        <v>Q1-2023</v>
      </c>
      <c r="H550" s="5">
        <v>44991</v>
      </c>
      <c r="I550" s="5">
        <f>IF(H550&lt;B550, B550+7, H550)</f>
        <v>44991</v>
      </c>
      <c r="J550" s="5" t="str">
        <f>IF(H550&lt;B550, "Invalid","Okay")</f>
        <v>Okay</v>
      </c>
      <c r="K550" s="16">
        <f>I550-C550</f>
        <v>6</v>
      </c>
      <c r="L550" s="16" t="str">
        <f t="shared" si="100"/>
        <v>Target Met</v>
      </c>
      <c r="M550" s="2" t="s">
        <v>649</v>
      </c>
      <c r="N550" s="2" t="s">
        <v>656</v>
      </c>
      <c r="O550" s="2" t="s">
        <v>698</v>
      </c>
      <c r="P550" s="29" t="str">
        <f t="shared" si="101"/>
        <v>Europe→Germany→Frankfurt</v>
      </c>
      <c r="Q550" s="2" t="s">
        <v>705</v>
      </c>
      <c r="R550" s="2" t="s">
        <v>709</v>
      </c>
      <c r="S550" s="2" t="s">
        <v>726</v>
      </c>
      <c r="T550" s="2" t="s">
        <v>728</v>
      </c>
      <c r="U550" t="e">
        <f>(AE550/#REF!)*100</f>
        <v>#REF!</v>
      </c>
      <c r="V550" s="2" t="s">
        <v>1280</v>
      </c>
      <c r="W550" s="7">
        <v>880.02</v>
      </c>
      <c r="X550" s="7">
        <v>1251.21</v>
      </c>
      <c r="Y550" s="7">
        <f t="shared" si="102"/>
        <v>1251.21</v>
      </c>
      <c r="Z550" s="7" t="str">
        <f t="shared" si="103"/>
        <v>Medium</v>
      </c>
      <c r="AA550" s="13">
        <v>0.123</v>
      </c>
      <c r="AB550" s="13">
        <f t="shared" si="104"/>
        <v>0.123</v>
      </c>
      <c r="AC550" s="13" t="str">
        <f t="shared" si="105"/>
        <v>OK</v>
      </c>
      <c r="AD550" s="7">
        <v>29</v>
      </c>
      <c r="AE550" s="7">
        <f>Y550*AD550*(1-AB550)</f>
        <v>31822.023930000003</v>
      </c>
      <c r="AF550" s="7">
        <f>W550*AD550</f>
        <v>25520.579999999998</v>
      </c>
      <c r="AG550" s="7">
        <f t="shared" si="106"/>
        <v>6301.4439300000049</v>
      </c>
      <c r="AH550" s="13">
        <f t="shared" si="107"/>
        <v>0.19802146915172672</v>
      </c>
    </row>
    <row r="551" spans="1:34" x14ac:dyDescent="0.35">
      <c r="A551" s="2" t="s">
        <v>563</v>
      </c>
      <c r="B551" s="5">
        <v>45486</v>
      </c>
      <c r="C551" s="5">
        <f>IF(H551&lt;B551,H551,B551)</f>
        <v>45486</v>
      </c>
      <c r="D551" s="5" t="str">
        <f t="shared" si="96"/>
        <v>Jul-2024</v>
      </c>
      <c r="E551" s="5" t="str">
        <f t="shared" si="97"/>
        <v>Jul</v>
      </c>
      <c r="F551" s="5" t="str">
        <f t="shared" si="98"/>
        <v>2024</v>
      </c>
      <c r="G551" s="5" t="str">
        <f t="shared" si="99"/>
        <v>Q3-2024</v>
      </c>
      <c r="H551" s="5">
        <v>45507</v>
      </c>
      <c r="I551" s="5">
        <f>IF(H551&lt;B551, B551+7, H551)</f>
        <v>45507</v>
      </c>
      <c r="J551" s="5" t="str">
        <f>IF(H551&lt;B551, "Invalid","Okay")</f>
        <v>Okay</v>
      </c>
      <c r="K551" s="16">
        <f>I551-C551</f>
        <v>21</v>
      </c>
      <c r="L551" s="16" t="str">
        <f t="shared" si="100"/>
        <v>Target Not Met</v>
      </c>
      <c r="M551" s="2" t="s">
        <v>648</v>
      </c>
      <c r="N551" s="2" t="s">
        <v>655</v>
      </c>
      <c r="O551" s="2" t="s">
        <v>692</v>
      </c>
      <c r="P551" s="29" t="str">
        <f t="shared" si="101"/>
        <v>Americas→Brazil→Rio de Janeiro</v>
      </c>
      <c r="Q551" s="2" t="s">
        <v>701</v>
      </c>
      <c r="R551" s="2" t="s">
        <v>709</v>
      </c>
      <c r="S551" s="2" t="s">
        <v>724</v>
      </c>
      <c r="T551" s="2" t="s">
        <v>732</v>
      </c>
      <c r="U551" t="e">
        <f>(AE551/#REF!)*100</f>
        <v>#REF!</v>
      </c>
      <c r="V551" s="2" t="s">
        <v>1281</v>
      </c>
      <c r="W551" s="7">
        <v>702.98</v>
      </c>
      <c r="X551" s="7">
        <v>1104.8</v>
      </c>
      <c r="Y551" s="7">
        <f t="shared" si="102"/>
        <v>1104.8</v>
      </c>
      <c r="Z551" s="7" t="str">
        <f t="shared" si="103"/>
        <v>Low</v>
      </c>
      <c r="AA551" s="13">
        <v>0.17499999999999999</v>
      </c>
      <c r="AB551" s="13">
        <f t="shared" si="104"/>
        <v>0.17499999999999999</v>
      </c>
      <c r="AC551" s="13" t="str">
        <f t="shared" si="105"/>
        <v>OK</v>
      </c>
      <c r="AD551" s="7">
        <v>12</v>
      </c>
      <c r="AE551" s="7">
        <f>Y551*AD551*(1-AB551)</f>
        <v>10937.519999999999</v>
      </c>
      <c r="AF551" s="7">
        <f>W551*AD551</f>
        <v>8435.76</v>
      </c>
      <c r="AG551" s="7">
        <f t="shared" si="106"/>
        <v>2501.7599999999984</v>
      </c>
      <c r="AH551" s="13">
        <f t="shared" si="107"/>
        <v>0.22873192460448061</v>
      </c>
    </row>
    <row r="552" spans="1:34" x14ac:dyDescent="0.35">
      <c r="A552" s="2" t="s">
        <v>564</v>
      </c>
      <c r="B552" s="5">
        <v>45633</v>
      </c>
      <c r="C552" s="5">
        <f>IF(H552&lt;B552,H552,B552)</f>
        <v>45633</v>
      </c>
      <c r="D552" s="5" t="str">
        <f t="shared" si="96"/>
        <v>Dec-2024</v>
      </c>
      <c r="E552" s="5" t="str">
        <f t="shared" si="97"/>
        <v>Dec</v>
      </c>
      <c r="F552" s="5" t="str">
        <f t="shared" si="98"/>
        <v>2024</v>
      </c>
      <c r="G552" s="5" t="str">
        <f t="shared" si="99"/>
        <v>Q4-2024</v>
      </c>
      <c r="H552" s="5">
        <v>45652</v>
      </c>
      <c r="I552" s="5">
        <f>IF(H552&lt;B552, B552+7, H552)</f>
        <v>45652</v>
      </c>
      <c r="J552" s="5" t="str">
        <f>IF(H552&lt;B552, "Invalid","Okay")</f>
        <v>Okay</v>
      </c>
      <c r="K552" s="16">
        <f>I552-C552</f>
        <v>19</v>
      </c>
      <c r="L552" s="16" t="str">
        <f t="shared" si="100"/>
        <v>Target Not Met</v>
      </c>
      <c r="M552" s="2" t="s">
        <v>649</v>
      </c>
      <c r="N552" s="2" t="s">
        <v>658</v>
      </c>
      <c r="O552" s="2" t="s">
        <v>683</v>
      </c>
      <c r="P552" s="29" t="str">
        <f t="shared" si="101"/>
        <v>Europe→United Kingdom→London</v>
      </c>
      <c r="Q552" s="2" t="s">
        <v>706</v>
      </c>
      <c r="R552" s="2" t="s">
        <v>708</v>
      </c>
      <c r="S552" s="2" t="s">
        <v>726</v>
      </c>
      <c r="T552" s="2" t="s">
        <v>729</v>
      </c>
      <c r="U552" t="e">
        <f>(AE552/#REF!)*100</f>
        <v>#REF!</v>
      </c>
      <c r="V552" s="2" t="s">
        <v>1282</v>
      </c>
      <c r="W552" s="7">
        <v>1035.24</v>
      </c>
      <c r="X552" s="7">
        <v>2383.41</v>
      </c>
      <c r="Y552" s="7">
        <f t="shared" si="102"/>
        <v>2383.41</v>
      </c>
      <c r="Z552" s="7" t="str">
        <f t="shared" si="103"/>
        <v>High</v>
      </c>
      <c r="AA552" s="13">
        <v>0.17</v>
      </c>
      <c r="AB552" s="13">
        <f t="shared" si="104"/>
        <v>0.17</v>
      </c>
      <c r="AC552" s="13" t="str">
        <f t="shared" si="105"/>
        <v>OK</v>
      </c>
      <c r="AD552" s="7">
        <v>15</v>
      </c>
      <c r="AE552" s="7">
        <f>Y552*AD552*(1-AB552)</f>
        <v>29673.454499999993</v>
      </c>
      <c r="AF552" s="7">
        <f>W552*AD552</f>
        <v>15528.6</v>
      </c>
      <c r="AG552" s="7">
        <f t="shared" si="106"/>
        <v>14144.854499999992</v>
      </c>
      <c r="AH552" s="13">
        <f t="shared" si="107"/>
        <v>0.47668378145860962</v>
      </c>
    </row>
    <row r="553" spans="1:34" x14ac:dyDescent="0.35">
      <c r="A553" s="2" t="s">
        <v>565</v>
      </c>
      <c r="B553" s="5">
        <v>45875</v>
      </c>
      <c r="C553" s="5">
        <f>IF(H553&lt;B553,H553,B553)</f>
        <v>45875</v>
      </c>
      <c r="D553" s="5" t="str">
        <f t="shared" si="96"/>
        <v>Aug-2025</v>
      </c>
      <c r="E553" s="5" t="str">
        <f t="shared" si="97"/>
        <v>Aug</v>
      </c>
      <c r="F553" s="5" t="str">
        <f t="shared" si="98"/>
        <v>2025</v>
      </c>
      <c r="G553" s="5" t="str">
        <f t="shared" si="99"/>
        <v>Q3-2025</v>
      </c>
      <c r="H553" s="5">
        <v>45892</v>
      </c>
      <c r="I553" s="5">
        <f>IF(H553&lt;B553, B553+7, H553)</f>
        <v>45892</v>
      </c>
      <c r="J553" s="5" t="str">
        <f>IF(H553&lt;B553, "Invalid","Okay")</f>
        <v>Okay</v>
      </c>
      <c r="K553" s="16">
        <f>I553-C553</f>
        <v>17</v>
      </c>
      <c r="L553" s="16" t="str">
        <f t="shared" si="100"/>
        <v>Target Not Met</v>
      </c>
      <c r="M553" s="2" t="s">
        <v>648</v>
      </c>
      <c r="N553" s="2" t="s">
        <v>655</v>
      </c>
      <c r="O553" s="2" t="s">
        <v>672</v>
      </c>
      <c r="P553" s="29" t="str">
        <f t="shared" si="101"/>
        <v>Americas→Brazil→Brasília</v>
      </c>
      <c r="Q553" s="2" t="s">
        <v>704</v>
      </c>
      <c r="R553" s="2" t="s">
        <v>710</v>
      </c>
      <c r="S553" s="2" t="s">
        <v>720</v>
      </c>
      <c r="T553" s="2" t="s">
        <v>732</v>
      </c>
      <c r="U553" t="e">
        <f>(AE553/#REF!)*100</f>
        <v>#REF!</v>
      </c>
      <c r="V553" s="2" t="s">
        <v>1283</v>
      </c>
      <c r="W553" s="7">
        <v>86.64</v>
      </c>
      <c r="X553" s="7">
        <v>213.06</v>
      </c>
      <c r="Y553" s="7">
        <f t="shared" si="102"/>
        <v>213.06</v>
      </c>
      <c r="Z553" s="7" t="str">
        <f t="shared" si="103"/>
        <v>Low</v>
      </c>
      <c r="AA553" s="13">
        <v>0.21199999999999999</v>
      </c>
      <c r="AB553" s="13">
        <f t="shared" si="104"/>
        <v>0.21199999999999999</v>
      </c>
      <c r="AC553" s="13" t="str">
        <f t="shared" si="105"/>
        <v>OK</v>
      </c>
      <c r="AD553" s="7">
        <v>11</v>
      </c>
      <c r="AE553" s="7">
        <f>Y553*AD553*(1-AB553)</f>
        <v>1846.8040799999999</v>
      </c>
      <c r="AF553" s="7">
        <f>W553*AD553</f>
        <v>953.04</v>
      </c>
      <c r="AG553" s="7">
        <f t="shared" si="106"/>
        <v>893.76407999999992</v>
      </c>
      <c r="AH553" s="13">
        <f t="shared" si="107"/>
        <v>0.48395175735154322</v>
      </c>
    </row>
    <row r="554" spans="1:34" x14ac:dyDescent="0.35">
      <c r="A554" s="2" t="s">
        <v>566</v>
      </c>
      <c r="B554" s="5">
        <v>44988</v>
      </c>
      <c r="C554" s="5">
        <f>IF(H554&lt;B554,H554,B554)</f>
        <v>44988</v>
      </c>
      <c r="D554" s="5" t="str">
        <f t="shared" si="96"/>
        <v>Mar-2023</v>
      </c>
      <c r="E554" s="5" t="str">
        <f t="shared" si="97"/>
        <v>Mar</v>
      </c>
      <c r="F554" s="5" t="str">
        <f t="shared" si="98"/>
        <v>2023</v>
      </c>
      <c r="G554" s="5" t="str">
        <f t="shared" si="99"/>
        <v>Q1-2023</v>
      </c>
      <c r="H554" s="5">
        <v>45005</v>
      </c>
      <c r="I554" s="5">
        <f>IF(H554&lt;B554, B554+7, H554)</f>
        <v>45005</v>
      </c>
      <c r="J554" s="5" t="str">
        <f>IF(H554&lt;B554, "Invalid","Okay")</f>
        <v>Okay</v>
      </c>
      <c r="K554" s="16">
        <f>I554-C554</f>
        <v>17</v>
      </c>
      <c r="L554" s="16" t="str">
        <f t="shared" si="100"/>
        <v>Target Not Met</v>
      </c>
      <c r="M554" s="2" t="s">
        <v>647</v>
      </c>
      <c r="N554" s="2" t="s">
        <v>652</v>
      </c>
      <c r="O554" s="2" t="s">
        <v>694</v>
      </c>
      <c r="P554" s="29" t="str">
        <f t="shared" si="101"/>
        <v>Asia→Japan→Nagoya</v>
      </c>
      <c r="Q554" s="2" t="s">
        <v>705</v>
      </c>
      <c r="R554" s="2" t="s">
        <v>708</v>
      </c>
      <c r="S554" s="2" t="s">
        <v>726</v>
      </c>
      <c r="T554" s="2" t="s">
        <v>729</v>
      </c>
      <c r="U554" t="e">
        <f>(AE554/#REF!)*100</f>
        <v>#REF!</v>
      </c>
      <c r="V554" s="2" t="s">
        <v>1284</v>
      </c>
      <c r="W554" s="7">
        <v>1171.17</v>
      </c>
      <c r="X554" s="7">
        <v>2030.64</v>
      </c>
      <c r="Y554" s="7">
        <f t="shared" si="102"/>
        <v>2030.64</v>
      </c>
      <c r="Z554" s="7" t="str">
        <f t="shared" si="103"/>
        <v>High</v>
      </c>
      <c r="AA554" s="13">
        <v>0.157</v>
      </c>
      <c r="AB554" s="13">
        <f t="shared" si="104"/>
        <v>0.157</v>
      </c>
      <c r="AC554" s="13" t="str">
        <f t="shared" si="105"/>
        <v>OK</v>
      </c>
      <c r="AD554" s="7">
        <v>11</v>
      </c>
      <c r="AE554" s="7">
        <f>Y554*AD554*(1-AB554)</f>
        <v>18830.12472</v>
      </c>
      <c r="AF554" s="7">
        <f>W554*AD554</f>
        <v>12882.87</v>
      </c>
      <c r="AG554" s="7">
        <f t="shared" si="106"/>
        <v>5947.254719999999</v>
      </c>
      <c r="AH554" s="13">
        <f t="shared" si="107"/>
        <v>0.31583724528830415</v>
      </c>
    </row>
    <row r="555" spans="1:34" x14ac:dyDescent="0.35">
      <c r="A555" s="2" t="s">
        <v>567</v>
      </c>
      <c r="B555" s="5">
        <v>45704</v>
      </c>
      <c r="C555" s="5">
        <f>IF(H555&lt;B555,H555,B555)</f>
        <v>45704</v>
      </c>
      <c r="D555" s="5" t="str">
        <f t="shared" si="96"/>
        <v>Feb-2025</v>
      </c>
      <c r="E555" s="5" t="str">
        <f t="shared" si="97"/>
        <v>Feb</v>
      </c>
      <c r="F555" s="5" t="str">
        <f t="shared" si="98"/>
        <v>2025</v>
      </c>
      <c r="G555" s="5" t="str">
        <f t="shared" si="99"/>
        <v>Q1-2025</v>
      </c>
      <c r="H555" s="5">
        <v>45733</v>
      </c>
      <c r="I555" s="5">
        <f>IF(H555&lt;B555, B555+7, H555)</f>
        <v>45733</v>
      </c>
      <c r="J555" s="5" t="str">
        <f>IF(H555&lt;B555, "Invalid","Okay")</f>
        <v>Okay</v>
      </c>
      <c r="K555" s="16">
        <f>I555-C555</f>
        <v>29</v>
      </c>
      <c r="L555" s="16" t="str">
        <f t="shared" si="100"/>
        <v>Target Not Met</v>
      </c>
      <c r="M555" s="2" t="s">
        <v>649</v>
      </c>
      <c r="N555" s="2" t="s">
        <v>656</v>
      </c>
      <c r="O555" s="2" t="s">
        <v>684</v>
      </c>
      <c r="P555" s="29" t="str">
        <f t="shared" si="101"/>
        <v>Europe→Germany→Munich</v>
      </c>
      <c r="Q555" s="2" t="s">
        <v>704</v>
      </c>
      <c r="R555" s="2" t="s">
        <v>707</v>
      </c>
      <c r="S555" s="2" t="s">
        <v>716</v>
      </c>
      <c r="T555" s="2" t="s">
        <v>733</v>
      </c>
      <c r="U555" t="e">
        <f>(AE555/#REF!)*100</f>
        <v>#REF!</v>
      </c>
      <c r="V555" s="2" t="s">
        <v>1285</v>
      </c>
      <c r="W555" s="7">
        <v>730.42</v>
      </c>
      <c r="X555" s="7">
        <v>956.7</v>
      </c>
      <c r="Y555" s="7">
        <f t="shared" si="102"/>
        <v>956.7</v>
      </c>
      <c r="Z555" s="7" t="str">
        <f t="shared" si="103"/>
        <v>Low</v>
      </c>
      <c r="AA555" s="13">
        <v>4.2000000000000003E-2</v>
      </c>
      <c r="AB555" s="13">
        <f t="shared" si="104"/>
        <v>4.2000000000000003E-2</v>
      </c>
      <c r="AC555" s="13" t="str">
        <f t="shared" si="105"/>
        <v>OK</v>
      </c>
      <c r="AD555" s="7">
        <v>22</v>
      </c>
      <c r="AE555" s="7">
        <f>Y555*AD555*(1-AB555)</f>
        <v>20163.409200000002</v>
      </c>
      <c r="AF555" s="7">
        <f>W555*AD555</f>
        <v>16069.24</v>
      </c>
      <c r="AG555" s="7">
        <f t="shared" si="106"/>
        <v>4094.1692000000021</v>
      </c>
      <c r="AH555" s="13">
        <f t="shared" si="107"/>
        <v>0.20304945256975698</v>
      </c>
    </row>
    <row r="556" spans="1:34" x14ac:dyDescent="0.35">
      <c r="A556" s="2" t="s">
        <v>568</v>
      </c>
      <c r="B556" s="5">
        <v>45703</v>
      </c>
      <c r="C556" s="5">
        <f>IF(H556&lt;B556,H556,B556)</f>
        <v>45703</v>
      </c>
      <c r="D556" s="5" t="str">
        <f t="shared" si="96"/>
        <v>Feb-2025</v>
      </c>
      <c r="E556" s="5" t="str">
        <f t="shared" si="97"/>
        <v>Feb</v>
      </c>
      <c r="F556" s="5" t="str">
        <f t="shared" si="98"/>
        <v>2025</v>
      </c>
      <c r="G556" s="5" t="str">
        <f t="shared" si="99"/>
        <v>Q1-2025</v>
      </c>
      <c r="H556" s="5">
        <v>45717</v>
      </c>
      <c r="I556" s="5">
        <f>IF(H556&lt;B556, B556+7, H556)</f>
        <v>45717</v>
      </c>
      <c r="J556" s="5" t="str">
        <f>IF(H556&lt;B556, "Invalid","Okay")</f>
        <v>Okay</v>
      </c>
      <c r="K556" s="16">
        <f>I556-C556</f>
        <v>14</v>
      </c>
      <c r="L556" s="16" t="str">
        <f t="shared" si="100"/>
        <v>Target Not Met</v>
      </c>
      <c r="M556" s="2" t="s">
        <v>646</v>
      </c>
      <c r="N556" s="2" t="s">
        <v>650</v>
      </c>
      <c r="O556" s="2" t="s">
        <v>675</v>
      </c>
      <c r="P556" s="29" t="str">
        <f t="shared" si="101"/>
        <v>Africa→Kenya→Mombasa</v>
      </c>
      <c r="Q556" s="2" t="s">
        <v>702</v>
      </c>
      <c r="R556" s="2" t="s">
        <v>711</v>
      </c>
      <c r="S556" s="2" t="s">
        <v>716</v>
      </c>
      <c r="T556" s="2" t="s">
        <v>733</v>
      </c>
      <c r="U556" t="e">
        <f>(AE556/#REF!)*100</f>
        <v>#REF!</v>
      </c>
      <c r="V556" s="2" t="s">
        <v>1286</v>
      </c>
      <c r="W556" s="7">
        <v>1162.8599999999999</v>
      </c>
      <c r="X556" s="7">
        <v>1447.68</v>
      </c>
      <c r="Y556" s="7">
        <f t="shared" si="102"/>
        <v>1447.68</v>
      </c>
      <c r="Z556" s="7" t="str">
        <f t="shared" si="103"/>
        <v>Medium</v>
      </c>
      <c r="AA556" s="13">
        <v>8.6999999999999994E-2</v>
      </c>
      <c r="AB556" s="13">
        <f t="shared" si="104"/>
        <v>8.6999999999999994E-2</v>
      </c>
      <c r="AC556" s="13" t="str">
        <f t="shared" si="105"/>
        <v>OK</v>
      </c>
      <c r="AD556" s="7">
        <v>12</v>
      </c>
      <c r="AE556" s="7">
        <f>Y556*AD556*(1-AB556)</f>
        <v>15860.782080000001</v>
      </c>
      <c r="AF556" s="7">
        <f>W556*AD556</f>
        <v>13954.32</v>
      </c>
      <c r="AG556" s="7">
        <f t="shared" si="106"/>
        <v>1906.4620800000012</v>
      </c>
      <c r="AH556" s="13">
        <f t="shared" si="107"/>
        <v>0.12019975247021369</v>
      </c>
    </row>
    <row r="557" spans="1:34" x14ac:dyDescent="0.35">
      <c r="A557" s="2" t="s">
        <v>569</v>
      </c>
      <c r="B557" s="5">
        <v>45535</v>
      </c>
      <c r="C557" s="5">
        <f>IF(H557&lt;B557,H557,B557)</f>
        <v>45535</v>
      </c>
      <c r="D557" s="5" t="str">
        <f t="shared" si="96"/>
        <v>Aug-2024</v>
      </c>
      <c r="E557" s="5" t="str">
        <f t="shared" si="97"/>
        <v>Aug</v>
      </c>
      <c r="F557" s="5" t="str">
        <f t="shared" si="98"/>
        <v>2024</v>
      </c>
      <c r="G557" s="5" t="str">
        <f t="shared" si="99"/>
        <v>Q3-2024</v>
      </c>
      <c r="H557" s="5">
        <v>45561</v>
      </c>
      <c r="I557" s="5">
        <f>IF(H557&lt;B557, B557+7, H557)</f>
        <v>45561</v>
      </c>
      <c r="J557" s="5" t="str">
        <f>IF(H557&lt;B557, "Invalid","Okay")</f>
        <v>Okay</v>
      </c>
      <c r="K557" s="16">
        <f>I557-C557</f>
        <v>26</v>
      </c>
      <c r="L557" s="16" t="str">
        <f t="shared" si="100"/>
        <v>Target Not Met</v>
      </c>
      <c r="M557" s="2" t="s">
        <v>647</v>
      </c>
      <c r="N557" s="2" t="s">
        <v>652</v>
      </c>
      <c r="O557" s="2" t="s">
        <v>689</v>
      </c>
      <c r="P557" s="29" t="str">
        <f t="shared" si="101"/>
        <v>Asia→Japan→Tokyo</v>
      </c>
      <c r="Q557" s="2" t="s">
        <v>702</v>
      </c>
      <c r="R557" s="2" t="s">
        <v>708</v>
      </c>
      <c r="S557" s="2" t="s">
        <v>714</v>
      </c>
      <c r="T557" s="2" t="s">
        <v>730</v>
      </c>
      <c r="U557" t="e">
        <f>(AE557/#REF!)*100</f>
        <v>#REF!</v>
      </c>
      <c r="V557" s="2" t="s">
        <v>1287</v>
      </c>
      <c r="W557" s="7">
        <v>1189.03</v>
      </c>
      <c r="X557" s="7">
        <v>2949.62</v>
      </c>
      <c r="Y557" s="7">
        <f t="shared" si="102"/>
        <v>2949.62</v>
      </c>
      <c r="Z557" s="7" t="str">
        <f t="shared" si="103"/>
        <v>High</v>
      </c>
      <c r="AA557" s="13">
        <v>0.125</v>
      </c>
      <c r="AB557" s="13">
        <f t="shared" si="104"/>
        <v>0.125</v>
      </c>
      <c r="AC557" s="13" t="str">
        <f t="shared" si="105"/>
        <v>OK</v>
      </c>
      <c r="AD557" s="7">
        <v>13</v>
      </c>
      <c r="AE557" s="7">
        <f>Y557*AD557*(1-AB557)</f>
        <v>33551.927499999998</v>
      </c>
      <c r="AF557" s="7">
        <f>W557*AD557</f>
        <v>15457.39</v>
      </c>
      <c r="AG557" s="7">
        <f t="shared" si="106"/>
        <v>18094.537499999999</v>
      </c>
      <c r="AH557" s="13">
        <f t="shared" si="107"/>
        <v>0.53929949330034765</v>
      </c>
    </row>
    <row r="558" spans="1:34" x14ac:dyDescent="0.35">
      <c r="A558" s="2" t="s">
        <v>570</v>
      </c>
      <c r="B558" s="5">
        <v>45053</v>
      </c>
      <c r="C558" s="5">
        <f>IF(H558&lt;B558,H558,B558)</f>
        <v>45053</v>
      </c>
      <c r="D558" s="5" t="str">
        <f t="shared" si="96"/>
        <v>May-2023</v>
      </c>
      <c r="E558" s="5" t="str">
        <f t="shared" si="97"/>
        <v>May</v>
      </c>
      <c r="F558" s="5" t="str">
        <f t="shared" si="98"/>
        <v>2023</v>
      </c>
      <c r="G558" s="5" t="str">
        <f t="shared" si="99"/>
        <v>Q2-2023</v>
      </c>
      <c r="H558" s="5">
        <v>45066</v>
      </c>
      <c r="I558" s="5">
        <f>IF(H558&lt;B558, B558+7, H558)</f>
        <v>45066</v>
      </c>
      <c r="J558" s="5" t="str">
        <f>IF(H558&lt;B558, "Invalid","Okay")</f>
        <v>Okay</v>
      </c>
      <c r="K558" s="16">
        <f>I558-C558</f>
        <v>13</v>
      </c>
      <c r="L558" s="16" t="str">
        <f t="shared" si="100"/>
        <v>Target Not Met</v>
      </c>
      <c r="M558" s="2" t="s">
        <v>647</v>
      </c>
      <c r="N558" s="2" t="s">
        <v>654</v>
      </c>
      <c r="O558" s="2" t="s">
        <v>691</v>
      </c>
      <c r="P558" s="29" t="str">
        <f t="shared" si="101"/>
        <v>Asia→India→Mumbai</v>
      </c>
      <c r="Q558" s="2" t="s">
        <v>706</v>
      </c>
      <c r="R558" s="2" t="s">
        <v>707</v>
      </c>
      <c r="S558" s="2" t="s">
        <v>726</v>
      </c>
      <c r="T558" s="2" t="s">
        <v>733</v>
      </c>
      <c r="U558" t="e">
        <f>(AE558/#REF!)*100</f>
        <v>#REF!</v>
      </c>
      <c r="V558" s="2" t="s">
        <v>1288</v>
      </c>
      <c r="W558" s="7">
        <v>1443.28</v>
      </c>
      <c r="X558" s="7">
        <v>2580.5700000000002</v>
      </c>
      <c r="Y558" s="7">
        <f t="shared" si="102"/>
        <v>2580.5700000000002</v>
      </c>
      <c r="Z558" s="7" t="str">
        <f t="shared" si="103"/>
        <v>High</v>
      </c>
      <c r="AA558" s="13">
        <v>0</v>
      </c>
      <c r="AB558" s="13">
        <f t="shared" si="104"/>
        <v>0</v>
      </c>
      <c r="AC558" s="13" t="str">
        <f t="shared" si="105"/>
        <v>OK</v>
      </c>
      <c r="AD558" s="7">
        <v>18</v>
      </c>
      <c r="AE558" s="7">
        <f>Y558*AD558*(1-AB558)</f>
        <v>46450.26</v>
      </c>
      <c r="AF558" s="7">
        <f>W558*AD558</f>
        <v>25979.040000000001</v>
      </c>
      <c r="AG558" s="7">
        <f t="shared" si="106"/>
        <v>20471.22</v>
      </c>
      <c r="AH558" s="13">
        <f t="shared" si="107"/>
        <v>0.4407127107577008</v>
      </c>
    </row>
    <row r="559" spans="1:34" x14ac:dyDescent="0.35">
      <c r="A559" s="2" t="s">
        <v>571</v>
      </c>
      <c r="B559" s="5">
        <v>45791</v>
      </c>
      <c r="C559" s="5">
        <f>IF(H559&lt;B559,H559,B559)</f>
        <v>45789</v>
      </c>
      <c r="D559" s="5" t="str">
        <f t="shared" si="96"/>
        <v>May-2025</v>
      </c>
      <c r="E559" s="5" t="str">
        <f t="shared" si="97"/>
        <v>May</v>
      </c>
      <c r="F559" s="5" t="str">
        <f t="shared" si="98"/>
        <v>2025</v>
      </c>
      <c r="G559" s="5" t="str">
        <f t="shared" si="99"/>
        <v>Q2-2025</v>
      </c>
      <c r="H559" s="5">
        <v>45789</v>
      </c>
      <c r="I559" s="5">
        <f>IF(H559&lt;B559, B559+7, H559)</f>
        <v>45798</v>
      </c>
      <c r="J559" s="5" t="str">
        <f>IF(H559&lt;B559, "Invalid","Okay")</f>
        <v>Invalid</v>
      </c>
      <c r="K559" s="16">
        <f>I559-C559</f>
        <v>9</v>
      </c>
      <c r="L559" s="16" t="str">
        <f t="shared" si="100"/>
        <v>Target Not Met</v>
      </c>
      <c r="M559" s="2" t="s">
        <v>648</v>
      </c>
      <c r="N559" s="2" t="s">
        <v>653</v>
      </c>
      <c r="O559" s="2" t="s">
        <v>688</v>
      </c>
      <c r="P559" s="29" t="str">
        <f t="shared" si="101"/>
        <v>Americas→Canada→Vancouver</v>
      </c>
      <c r="Q559" s="2" t="s">
        <v>703</v>
      </c>
      <c r="R559" s="2" t="s">
        <v>710</v>
      </c>
      <c r="S559" s="2" t="s">
        <v>721</v>
      </c>
      <c r="T559" s="2" t="s">
        <v>728</v>
      </c>
      <c r="U559" t="e">
        <f>(AE559/#REF!)*100</f>
        <v>#REF!</v>
      </c>
      <c r="V559" s="2" t="s">
        <v>1289</v>
      </c>
      <c r="W559" s="7">
        <v>883.5</v>
      </c>
      <c r="X559" s="7">
        <v>1978.91</v>
      </c>
      <c r="Y559" s="7">
        <f t="shared" si="102"/>
        <v>1978.91</v>
      </c>
      <c r="Z559" s="7" t="str">
        <f t="shared" si="103"/>
        <v>High</v>
      </c>
      <c r="AA559" s="13">
        <v>5.3999999999999999E-2</v>
      </c>
      <c r="AB559" s="13">
        <f t="shared" si="104"/>
        <v>5.3999999999999999E-2</v>
      </c>
      <c r="AC559" s="13" t="str">
        <f t="shared" si="105"/>
        <v>OK</v>
      </c>
      <c r="AD559" s="7">
        <v>27</v>
      </c>
      <c r="AE559" s="7">
        <f>Y559*AD559*(1-AB559)</f>
        <v>50545.319219999998</v>
      </c>
      <c r="AF559" s="7">
        <f>W559*AD559</f>
        <v>23854.5</v>
      </c>
      <c r="AG559" s="7">
        <f t="shared" si="106"/>
        <v>26690.819219999998</v>
      </c>
      <c r="AH559" s="13">
        <f t="shared" si="107"/>
        <v>0.52805718970390547</v>
      </c>
    </row>
    <row r="560" spans="1:34" x14ac:dyDescent="0.35">
      <c r="A560" s="2" t="s">
        <v>572</v>
      </c>
      <c r="B560" s="5">
        <v>45362</v>
      </c>
      <c r="C560" s="5">
        <f>IF(H560&lt;B560,H560,B560)</f>
        <v>45362</v>
      </c>
      <c r="D560" s="5" t="str">
        <f t="shared" si="96"/>
        <v>Mar-2024</v>
      </c>
      <c r="E560" s="5" t="str">
        <f t="shared" si="97"/>
        <v>Mar</v>
      </c>
      <c r="F560" s="5" t="str">
        <f t="shared" si="98"/>
        <v>2024</v>
      </c>
      <c r="G560" s="5" t="str">
        <f t="shared" si="99"/>
        <v>Q1-2024</v>
      </c>
      <c r="H560" s="5">
        <v>45380</v>
      </c>
      <c r="I560" s="5">
        <f>IF(H560&lt;B560, B560+7, H560)</f>
        <v>45380</v>
      </c>
      <c r="J560" s="5" t="str">
        <f>IF(H560&lt;B560, "Invalid","Okay")</f>
        <v>Okay</v>
      </c>
      <c r="K560" s="16">
        <f>I560-C560</f>
        <v>18</v>
      </c>
      <c r="L560" s="16" t="str">
        <f t="shared" si="100"/>
        <v>Target Not Met</v>
      </c>
      <c r="M560" s="2" t="s">
        <v>648</v>
      </c>
      <c r="N560" s="2" t="s">
        <v>660</v>
      </c>
      <c r="O560" s="2" t="s">
        <v>700</v>
      </c>
      <c r="P560" s="29" t="str">
        <f t="shared" si="101"/>
        <v>Americas→USA→New York</v>
      </c>
      <c r="Q560" s="2" t="s">
        <v>701</v>
      </c>
      <c r="R560" s="2" t="s">
        <v>707</v>
      </c>
      <c r="S560" s="2" t="s">
        <v>724</v>
      </c>
      <c r="T560" s="2" t="s">
        <v>732</v>
      </c>
      <c r="U560" t="e">
        <f>(AE560/#REF!)*100</f>
        <v>#REF!</v>
      </c>
      <c r="V560" s="2" t="s">
        <v>1290</v>
      </c>
      <c r="W560" s="7">
        <v>710.98</v>
      </c>
      <c r="X560" s="7">
        <v>1481.45</v>
      </c>
      <c r="Y560" s="7">
        <f t="shared" si="102"/>
        <v>1481.45</v>
      </c>
      <c r="Z560" s="7" t="str">
        <f t="shared" si="103"/>
        <v>Medium</v>
      </c>
      <c r="AA560" s="13">
        <v>0.21099999999999999</v>
      </c>
      <c r="AB560" s="13">
        <f t="shared" si="104"/>
        <v>0.21099999999999999</v>
      </c>
      <c r="AC560" s="13" t="str">
        <f t="shared" si="105"/>
        <v>OK</v>
      </c>
      <c r="AD560" s="7">
        <v>9</v>
      </c>
      <c r="AE560" s="7">
        <f>Y560*AD560*(1-AB560)</f>
        <v>10519.776450000001</v>
      </c>
      <c r="AF560" s="7">
        <f>W560*AD560</f>
        <v>6398.82</v>
      </c>
      <c r="AG560" s="7">
        <f t="shared" si="106"/>
        <v>4120.9564500000015</v>
      </c>
      <c r="AH560" s="13">
        <f t="shared" si="107"/>
        <v>0.39173422264120461</v>
      </c>
    </row>
    <row r="561" spans="1:34" x14ac:dyDescent="0.35">
      <c r="A561" s="2" t="s">
        <v>573</v>
      </c>
      <c r="B561" s="5">
        <v>45430</v>
      </c>
      <c r="C561" s="5">
        <f>IF(H561&lt;B561,H561,B561)</f>
        <v>45430</v>
      </c>
      <c r="D561" s="5" t="str">
        <f t="shared" si="96"/>
        <v>May-2024</v>
      </c>
      <c r="E561" s="5" t="str">
        <f t="shared" si="97"/>
        <v>May</v>
      </c>
      <c r="F561" s="5" t="str">
        <f t="shared" si="98"/>
        <v>2024</v>
      </c>
      <c r="G561" s="5" t="str">
        <f t="shared" si="99"/>
        <v>Q2-2024</v>
      </c>
      <c r="H561" s="5">
        <v>45434</v>
      </c>
      <c r="I561" s="5">
        <f>IF(H561&lt;B561, B561+7, H561)</f>
        <v>45434</v>
      </c>
      <c r="J561" s="5" t="str">
        <f>IF(H561&lt;B561, "Invalid","Okay")</f>
        <v>Okay</v>
      </c>
      <c r="K561" s="16">
        <f>I561-C561</f>
        <v>4</v>
      </c>
      <c r="L561" s="16" t="str">
        <f t="shared" si="100"/>
        <v>Target Met</v>
      </c>
      <c r="M561" s="2" t="s">
        <v>646</v>
      </c>
      <c r="N561" s="2" t="s">
        <v>650</v>
      </c>
      <c r="O561" s="2" t="s">
        <v>664</v>
      </c>
      <c r="P561" s="29" t="str">
        <f t="shared" si="101"/>
        <v>Africa→Kenya→Nairobi</v>
      </c>
      <c r="Q561" s="2" t="s">
        <v>701</v>
      </c>
      <c r="R561" s="2" t="s">
        <v>711</v>
      </c>
      <c r="S561" s="2" t="s">
        <v>722</v>
      </c>
      <c r="T561" s="2" t="s">
        <v>733</v>
      </c>
      <c r="U561" t="e">
        <f>(AE561/#REF!)*100</f>
        <v>#REF!</v>
      </c>
      <c r="V561" s="2" t="s">
        <v>1291</v>
      </c>
      <c r="W561" s="7">
        <v>857.42</v>
      </c>
      <c r="X561" s="7">
        <v>1658.92</v>
      </c>
      <c r="Y561" s="7">
        <f t="shared" si="102"/>
        <v>1658.92</v>
      </c>
      <c r="Z561" s="7" t="str">
        <f t="shared" si="103"/>
        <v>Medium</v>
      </c>
      <c r="AA561" s="13">
        <v>0.122</v>
      </c>
      <c r="AB561" s="13">
        <f t="shared" si="104"/>
        <v>0.122</v>
      </c>
      <c r="AC561" s="13" t="str">
        <f t="shared" si="105"/>
        <v>OK</v>
      </c>
      <c r="AD561" s="7">
        <v>9</v>
      </c>
      <c r="AE561" s="7">
        <f>Y561*AD561*(1-AB561)</f>
        <v>13108.78584</v>
      </c>
      <c r="AF561" s="7">
        <f>W561*AD561</f>
        <v>7716.78</v>
      </c>
      <c r="AG561" s="7">
        <f t="shared" si="106"/>
        <v>5392.0058400000007</v>
      </c>
      <c r="AH561" s="13">
        <f t="shared" si="107"/>
        <v>0.41132763215544305</v>
      </c>
    </row>
    <row r="562" spans="1:34" x14ac:dyDescent="0.35">
      <c r="A562" s="2" t="s">
        <v>574</v>
      </c>
      <c r="B562" s="5">
        <v>45299</v>
      </c>
      <c r="C562" s="5">
        <f>IF(H562&lt;B562,H562,B562)</f>
        <v>45299</v>
      </c>
      <c r="D562" s="5" t="str">
        <f t="shared" si="96"/>
        <v>Jan-2024</v>
      </c>
      <c r="E562" s="5" t="str">
        <f t="shared" si="97"/>
        <v>Jan</v>
      </c>
      <c r="F562" s="5" t="str">
        <f t="shared" si="98"/>
        <v>2024</v>
      </c>
      <c r="G562" s="5" t="str">
        <f t="shared" si="99"/>
        <v>Q1-2024</v>
      </c>
      <c r="H562" s="5">
        <v>45303</v>
      </c>
      <c r="I562" s="5">
        <f>IF(H562&lt;B562, B562+7, H562)</f>
        <v>45303</v>
      </c>
      <c r="J562" s="5" t="str">
        <f>IF(H562&lt;B562, "Invalid","Okay")</f>
        <v>Okay</v>
      </c>
      <c r="K562" s="16">
        <f>I562-C562</f>
        <v>4</v>
      </c>
      <c r="L562" s="16" t="str">
        <f t="shared" si="100"/>
        <v>Target Met</v>
      </c>
      <c r="M562" s="2" t="s">
        <v>647</v>
      </c>
      <c r="N562" s="2" t="s">
        <v>654</v>
      </c>
      <c r="O562" s="2" t="s">
        <v>668</v>
      </c>
      <c r="P562" s="29" t="str">
        <f t="shared" si="101"/>
        <v>Asia→India→Bengaluru</v>
      </c>
      <c r="Q562" s="2" t="s">
        <v>701</v>
      </c>
      <c r="R562" s="2" t="s">
        <v>711</v>
      </c>
      <c r="S562" s="2" t="s">
        <v>718</v>
      </c>
      <c r="T562" s="2" t="s">
        <v>728</v>
      </c>
      <c r="U562" t="e">
        <f>(AE562/#REF!)*100</f>
        <v>#REF!</v>
      </c>
      <c r="V562" s="2" t="s">
        <v>1292</v>
      </c>
      <c r="W562" s="7">
        <v>802.32</v>
      </c>
      <c r="X562" s="7">
        <v>602.34</v>
      </c>
      <c r="Y562" s="7">
        <f t="shared" si="102"/>
        <v>602.34</v>
      </c>
      <c r="Z562" s="7" t="str">
        <f t="shared" si="103"/>
        <v>Low</v>
      </c>
      <c r="AA562" s="13">
        <v>0.12</v>
      </c>
      <c r="AB562" s="13">
        <f t="shared" si="104"/>
        <v>0.12</v>
      </c>
      <c r="AC562" s="13" t="str">
        <f t="shared" si="105"/>
        <v>OK</v>
      </c>
      <c r="AD562" s="7">
        <v>25</v>
      </c>
      <c r="AE562" s="7">
        <f>Y562*AD562*(1-AB562)</f>
        <v>13251.48</v>
      </c>
      <c r="AF562" s="7">
        <f>W562*AD562</f>
        <v>20058</v>
      </c>
      <c r="AG562" s="7">
        <f t="shared" si="106"/>
        <v>-6806.52</v>
      </c>
      <c r="AH562" s="13">
        <f t="shared" si="107"/>
        <v>-0.51364224977134632</v>
      </c>
    </row>
    <row r="563" spans="1:34" x14ac:dyDescent="0.35">
      <c r="A563" s="2" t="s">
        <v>575</v>
      </c>
      <c r="B563" s="5">
        <v>45590</v>
      </c>
      <c r="C563" s="5">
        <f>IF(H563&lt;B563,H563,B563)</f>
        <v>45590</v>
      </c>
      <c r="D563" s="5" t="str">
        <f t="shared" si="96"/>
        <v>Oct-2024</v>
      </c>
      <c r="E563" s="5" t="str">
        <f t="shared" si="97"/>
        <v>Oct</v>
      </c>
      <c r="F563" s="5" t="str">
        <f t="shared" si="98"/>
        <v>2024</v>
      </c>
      <c r="G563" s="5" t="str">
        <f t="shared" si="99"/>
        <v>Q4-2024</v>
      </c>
      <c r="H563" s="5">
        <v>45601</v>
      </c>
      <c r="I563" s="5">
        <f>IF(H563&lt;B563, B563+7, H563)</f>
        <v>45601</v>
      </c>
      <c r="J563" s="5" t="str">
        <f>IF(H563&lt;B563, "Invalid","Okay")</f>
        <v>Okay</v>
      </c>
      <c r="K563" s="16">
        <f>I563-C563</f>
        <v>11</v>
      </c>
      <c r="L563" s="16" t="str">
        <f t="shared" si="100"/>
        <v>Target Not Met</v>
      </c>
      <c r="M563" s="2" t="s">
        <v>648</v>
      </c>
      <c r="N563" s="2" t="s">
        <v>660</v>
      </c>
      <c r="O563" s="2" t="s">
        <v>700</v>
      </c>
      <c r="P563" s="29" t="str">
        <f t="shared" si="101"/>
        <v>Americas→USA→New York</v>
      </c>
      <c r="Q563" s="2" t="s">
        <v>701</v>
      </c>
      <c r="R563" s="2" t="s">
        <v>710</v>
      </c>
      <c r="S563" s="2" t="s">
        <v>725</v>
      </c>
      <c r="T563" s="2" t="s">
        <v>727</v>
      </c>
      <c r="U563" t="e">
        <f>(AE563/#REF!)*100</f>
        <v>#REF!</v>
      </c>
      <c r="V563" s="2" t="s">
        <v>1293</v>
      </c>
      <c r="W563" s="7">
        <v>446.66</v>
      </c>
      <c r="X563" s="7">
        <v>527.64</v>
      </c>
      <c r="Y563" s="7">
        <f t="shared" si="102"/>
        <v>527.64</v>
      </c>
      <c r="Z563" s="7" t="str">
        <f t="shared" si="103"/>
        <v>Low</v>
      </c>
      <c r="AA563" s="13">
        <v>0.14499999999999999</v>
      </c>
      <c r="AB563" s="13">
        <f t="shared" si="104"/>
        <v>0.14499999999999999</v>
      </c>
      <c r="AC563" s="13" t="str">
        <f t="shared" si="105"/>
        <v>OK</v>
      </c>
      <c r="AD563" s="7">
        <v>15</v>
      </c>
      <c r="AE563" s="7">
        <f>Y563*AD563*(1-AB563)</f>
        <v>6766.9829999999993</v>
      </c>
      <c r="AF563" s="7">
        <f>W563*AD563</f>
        <v>6699.9000000000005</v>
      </c>
      <c r="AG563" s="7">
        <f t="shared" si="106"/>
        <v>67.082999999998719</v>
      </c>
      <c r="AH563" s="13">
        <f t="shared" si="107"/>
        <v>9.9132804087137105E-3</v>
      </c>
    </row>
    <row r="564" spans="1:34" x14ac:dyDescent="0.35">
      <c r="A564" s="2" t="s">
        <v>576</v>
      </c>
      <c r="B564" s="5">
        <v>45626</v>
      </c>
      <c r="C564" s="5">
        <f>IF(H564&lt;B564,H564,B564)</f>
        <v>45626</v>
      </c>
      <c r="D564" s="5" t="str">
        <f t="shared" si="96"/>
        <v>Nov-2024</v>
      </c>
      <c r="E564" s="5" t="str">
        <f t="shared" si="97"/>
        <v>Nov</v>
      </c>
      <c r="F564" s="5" t="str">
        <f t="shared" si="98"/>
        <v>2024</v>
      </c>
      <c r="G564" s="5" t="str">
        <f t="shared" si="99"/>
        <v>Q4-2024</v>
      </c>
      <c r="H564" s="5">
        <v>45645</v>
      </c>
      <c r="I564" s="5">
        <f>IF(H564&lt;B564, B564+7, H564)</f>
        <v>45645</v>
      </c>
      <c r="J564" s="5" t="str">
        <f>IF(H564&lt;B564, "Invalid","Okay")</f>
        <v>Okay</v>
      </c>
      <c r="K564" s="16">
        <f>I564-C564</f>
        <v>19</v>
      </c>
      <c r="L564" s="16" t="str">
        <f t="shared" si="100"/>
        <v>Target Not Met</v>
      </c>
      <c r="M564" s="2" t="s">
        <v>646</v>
      </c>
      <c r="N564" s="2" t="s">
        <v>650</v>
      </c>
      <c r="O564" s="2" t="s">
        <v>662</v>
      </c>
      <c r="P564" s="29" t="str">
        <f t="shared" si="101"/>
        <v>Africa→Kenya→Kisumu</v>
      </c>
      <c r="Q564" s="2" t="s">
        <v>701</v>
      </c>
      <c r="R564" s="2" t="s">
        <v>708</v>
      </c>
      <c r="S564" s="2" t="s">
        <v>716</v>
      </c>
      <c r="T564" s="2" t="s">
        <v>730</v>
      </c>
      <c r="U564" t="e">
        <f>(AE564/#REF!)*100</f>
        <v>#REF!</v>
      </c>
      <c r="V564" s="2" t="s">
        <v>1294</v>
      </c>
      <c r="W564" s="7">
        <v>1195.98</v>
      </c>
      <c r="X564" s="7">
        <v>1841.9</v>
      </c>
      <c r="Y564" s="7">
        <f t="shared" si="102"/>
        <v>1841.9</v>
      </c>
      <c r="Z564" s="7" t="str">
        <f t="shared" si="103"/>
        <v>Medium</v>
      </c>
      <c r="AA564" s="13">
        <v>5.5E-2</v>
      </c>
      <c r="AB564" s="13">
        <f t="shared" si="104"/>
        <v>5.5E-2</v>
      </c>
      <c r="AC564" s="13" t="str">
        <f t="shared" si="105"/>
        <v>OK</v>
      </c>
      <c r="AD564" s="7">
        <v>19</v>
      </c>
      <c r="AE564" s="7">
        <f>Y564*AD564*(1-AB564)</f>
        <v>33071.3145</v>
      </c>
      <c r="AF564" s="7">
        <f>W564*AD564</f>
        <v>22723.62</v>
      </c>
      <c r="AG564" s="7">
        <f t="shared" si="106"/>
        <v>10347.694500000001</v>
      </c>
      <c r="AH564" s="13">
        <f t="shared" si="107"/>
        <v>0.31289032977506842</v>
      </c>
    </row>
    <row r="565" spans="1:34" x14ac:dyDescent="0.35">
      <c r="A565" s="2" t="s">
        <v>577</v>
      </c>
      <c r="B565" s="5">
        <v>45029</v>
      </c>
      <c r="C565" s="5">
        <f>IF(H565&lt;B565,H565,B565)</f>
        <v>45029</v>
      </c>
      <c r="D565" s="5" t="str">
        <f t="shared" si="96"/>
        <v>Apr-2023</v>
      </c>
      <c r="E565" s="5" t="str">
        <f t="shared" si="97"/>
        <v>Apr</v>
      </c>
      <c r="F565" s="5" t="str">
        <f t="shared" si="98"/>
        <v>2023</v>
      </c>
      <c r="G565" s="5" t="str">
        <f t="shared" si="99"/>
        <v>Q2-2023</v>
      </c>
      <c r="H565" s="5">
        <v>45048</v>
      </c>
      <c r="I565" s="5">
        <f>IF(H565&lt;B565, B565+7, H565)</f>
        <v>45048</v>
      </c>
      <c r="J565" s="5" t="str">
        <f>IF(H565&lt;B565, "Invalid","Okay")</f>
        <v>Okay</v>
      </c>
      <c r="K565" s="16">
        <f>I565-C565</f>
        <v>19</v>
      </c>
      <c r="L565" s="16" t="str">
        <f t="shared" si="100"/>
        <v>Target Not Met</v>
      </c>
      <c r="M565" s="2" t="s">
        <v>648</v>
      </c>
      <c r="N565" s="2" t="s">
        <v>653</v>
      </c>
      <c r="O565" s="2" t="s">
        <v>681</v>
      </c>
      <c r="P565" s="29" t="str">
        <f t="shared" si="101"/>
        <v>Americas→Canada→Montreal</v>
      </c>
      <c r="Q565" s="2" t="s">
        <v>704</v>
      </c>
      <c r="R565" s="2" t="s">
        <v>710</v>
      </c>
      <c r="S565" s="2" t="s">
        <v>718</v>
      </c>
      <c r="T565" s="2" t="s">
        <v>732</v>
      </c>
      <c r="U565" t="e">
        <f>(AE565/#REF!)*100</f>
        <v>#REF!</v>
      </c>
      <c r="V565" s="2" t="s">
        <v>1295</v>
      </c>
      <c r="W565" s="7">
        <v>671.05</v>
      </c>
      <c r="X565" s="7">
        <v>1645.48</v>
      </c>
      <c r="Y565" s="7">
        <f t="shared" si="102"/>
        <v>1645.48</v>
      </c>
      <c r="Z565" s="7" t="str">
        <f t="shared" si="103"/>
        <v>Medium</v>
      </c>
      <c r="AA565" s="13">
        <v>0.13700000000000001</v>
      </c>
      <c r="AB565" s="13">
        <f t="shared" si="104"/>
        <v>0.13700000000000001</v>
      </c>
      <c r="AC565" s="13" t="str">
        <f t="shared" si="105"/>
        <v>OK</v>
      </c>
      <c r="AD565" s="7">
        <v>6</v>
      </c>
      <c r="AE565" s="7">
        <f>Y565*AD565*(1-AB565)</f>
        <v>8520.2954399999999</v>
      </c>
      <c r="AF565" s="7">
        <f>W565*AD565</f>
        <v>4026.2999999999997</v>
      </c>
      <c r="AG565" s="7">
        <f t="shared" si="106"/>
        <v>4493.9954400000006</v>
      </c>
      <c r="AH565" s="13">
        <f t="shared" si="107"/>
        <v>0.52744596377517172</v>
      </c>
    </row>
    <row r="566" spans="1:34" x14ac:dyDescent="0.35">
      <c r="A566" s="2" t="s">
        <v>578</v>
      </c>
      <c r="B566" s="5">
        <v>45692</v>
      </c>
      <c r="C566" s="5">
        <f>IF(H566&lt;B566,H566,B566)</f>
        <v>45692</v>
      </c>
      <c r="D566" s="5" t="str">
        <f t="shared" si="96"/>
        <v>Feb-2025</v>
      </c>
      <c r="E566" s="5" t="str">
        <f t="shared" si="97"/>
        <v>Feb</v>
      </c>
      <c r="F566" s="5" t="str">
        <f t="shared" si="98"/>
        <v>2025</v>
      </c>
      <c r="G566" s="5" t="str">
        <f t="shared" si="99"/>
        <v>Q1-2025</v>
      </c>
      <c r="H566" s="5">
        <v>45696</v>
      </c>
      <c r="I566" s="5">
        <f>IF(H566&lt;B566, B566+7, H566)</f>
        <v>45696</v>
      </c>
      <c r="J566" s="5" t="str">
        <f>IF(H566&lt;B566, "Invalid","Okay")</f>
        <v>Okay</v>
      </c>
      <c r="K566" s="16">
        <f>I566-C566</f>
        <v>4</v>
      </c>
      <c r="L566" s="16" t="str">
        <f t="shared" si="100"/>
        <v>Target Met</v>
      </c>
      <c r="M566" s="2" t="s">
        <v>649</v>
      </c>
      <c r="N566" s="2" t="s">
        <v>658</v>
      </c>
      <c r="O566" s="2" t="s">
        <v>693</v>
      </c>
      <c r="P566" s="29" t="str">
        <f t="shared" si="101"/>
        <v>Europe→United Kingdom→Manchester</v>
      </c>
      <c r="Q566" s="2" t="s">
        <v>706</v>
      </c>
      <c r="R566" s="2" t="s">
        <v>709</v>
      </c>
      <c r="S566" s="2" t="s">
        <v>716</v>
      </c>
      <c r="T566" s="2" t="s">
        <v>729</v>
      </c>
      <c r="U566" t="e">
        <f>(AE566/#REF!)*100</f>
        <v>#REF!</v>
      </c>
      <c r="V566" s="2" t="s">
        <v>1296</v>
      </c>
      <c r="W566" s="7">
        <v>586.21</v>
      </c>
      <c r="X566" s="7">
        <v>727.22</v>
      </c>
      <c r="Y566" s="7">
        <f t="shared" si="102"/>
        <v>727.22</v>
      </c>
      <c r="Z566" s="7" t="str">
        <f t="shared" si="103"/>
        <v>Low</v>
      </c>
      <c r="AA566" s="13">
        <v>6.8000000000000005E-2</v>
      </c>
      <c r="AB566" s="13">
        <f t="shared" si="104"/>
        <v>6.8000000000000005E-2</v>
      </c>
      <c r="AC566" s="13" t="str">
        <f t="shared" si="105"/>
        <v>OK</v>
      </c>
      <c r="AD566" s="7">
        <v>15</v>
      </c>
      <c r="AE566" s="7">
        <f>Y566*AD566*(1-AB566)</f>
        <v>10166.535600000001</v>
      </c>
      <c r="AF566" s="7">
        <f>W566*AD566</f>
        <v>8793.1500000000015</v>
      </c>
      <c r="AG566" s="7">
        <f t="shared" si="106"/>
        <v>1373.3855999999996</v>
      </c>
      <c r="AH566" s="13">
        <f t="shared" si="107"/>
        <v>0.13508884973559721</v>
      </c>
    </row>
    <row r="567" spans="1:34" x14ac:dyDescent="0.35">
      <c r="A567" s="2" t="s">
        <v>579</v>
      </c>
      <c r="B567" s="5">
        <v>45315</v>
      </c>
      <c r="C567" s="5">
        <f>IF(H567&lt;B567,H567,B567)</f>
        <v>45315</v>
      </c>
      <c r="D567" s="5" t="str">
        <f t="shared" si="96"/>
        <v>Jan-2024</v>
      </c>
      <c r="E567" s="5" t="str">
        <f t="shared" si="97"/>
        <v>Jan</v>
      </c>
      <c r="F567" s="5" t="str">
        <f t="shared" si="98"/>
        <v>2024</v>
      </c>
      <c r="G567" s="5" t="str">
        <f t="shared" si="99"/>
        <v>Q1-2024</v>
      </c>
      <c r="H567" s="5">
        <v>45326</v>
      </c>
      <c r="I567" s="5">
        <f>IF(H567&lt;B567, B567+7, H567)</f>
        <v>45326</v>
      </c>
      <c r="J567" s="5" t="str">
        <f>IF(H567&lt;B567, "Invalid","Okay")</f>
        <v>Okay</v>
      </c>
      <c r="K567" s="16">
        <f>I567-C567</f>
        <v>11</v>
      </c>
      <c r="L567" s="16" t="str">
        <f t="shared" si="100"/>
        <v>Target Not Met</v>
      </c>
      <c r="M567" s="2" t="s">
        <v>649</v>
      </c>
      <c r="N567" s="2" t="s">
        <v>658</v>
      </c>
      <c r="O567" s="2" t="s">
        <v>693</v>
      </c>
      <c r="P567" s="29" t="str">
        <f t="shared" si="101"/>
        <v>Europe→United Kingdom→Manchester</v>
      </c>
      <c r="Q567" s="2" t="s">
        <v>704</v>
      </c>
      <c r="R567" s="2" t="s">
        <v>707</v>
      </c>
      <c r="S567" s="2" t="s">
        <v>717</v>
      </c>
      <c r="T567" s="2" t="s">
        <v>731</v>
      </c>
      <c r="U567" t="e">
        <f>(AE567/#REF!)*100</f>
        <v>#REF!</v>
      </c>
      <c r="V567" s="2" t="s">
        <v>1297</v>
      </c>
      <c r="W567" s="7">
        <v>525.34</v>
      </c>
      <c r="X567" s="7">
        <v>1233.79</v>
      </c>
      <c r="Y567" s="7">
        <f t="shared" si="102"/>
        <v>1233.79</v>
      </c>
      <c r="Z567" s="7" t="str">
        <f t="shared" si="103"/>
        <v>Medium</v>
      </c>
      <c r="AA567" s="13">
        <v>0.14299999999999999</v>
      </c>
      <c r="AB567" s="13">
        <f t="shared" si="104"/>
        <v>0.14299999999999999</v>
      </c>
      <c r="AC567" s="13" t="str">
        <f t="shared" si="105"/>
        <v>OK</v>
      </c>
      <c r="AD567" s="7">
        <v>4</v>
      </c>
      <c r="AE567" s="7">
        <f>Y567*AD567*(1-AB567)</f>
        <v>4229.4321199999995</v>
      </c>
      <c r="AF567" s="7">
        <f>W567*AD567</f>
        <v>2101.36</v>
      </c>
      <c r="AG567" s="7">
        <f t="shared" si="106"/>
        <v>2128.0721199999994</v>
      </c>
      <c r="AH567" s="13">
        <f t="shared" si="107"/>
        <v>0.50315788494082736</v>
      </c>
    </row>
    <row r="568" spans="1:34" x14ac:dyDescent="0.35">
      <c r="A568" s="2" t="s">
        <v>580</v>
      </c>
      <c r="B568" s="5">
        <v>45330</v>
      </c>
      <c r="C568" s="5">
        <f>IF(H568&lt;B568,H568,B568)</f>
        <v>45330</v>
      </c>
      <c r="D568" s="5" t="str">
        <f t="shared" si="96"/>
        <v>Feb-2024</v>
      </c>
      <c r="E568" s="5" t="str">
        <f t="shared" si="97"/>
        <v>Feb</v>
      </c>
      <c r="F568" s="5" t="str">
        <f t="shared" si="98"/>
        <v>2024</v>
      </c>
      <c r="G568" s="5" t="str">
        <f t="shared" si="99"/>
        <v>Q1-2024</v>
      </c>
      <c r="H568" s="5">
        <v>45331</v>
      </c>
      <c r="I568" s="5">
        <f>IF(H568&lt;B568, B568+7, H568)</f>
        <v>45331</v>
      </c>
      <c r="J568" s="5" t="str">
        <f>IF(H568&lt;B568, "Invalid","Okay")</f>
        <v>Okay</v>
      </c>
      <c r="K568" s="16">
        <f>I568-C568</f>
        <v>1</v>
      </c>
      <c r="L568" s="16" t="str">
        <f t="shared" si="100"/>
        <v>Target Met</v>
      </c>
      <c r="M568" s="2" t="s">
        <v>646</v>
      </c>
      <c r="N568" s="2" t="s">
        <v>650</v>
      </c>
      <c r="O568" s="2" t="s">
        <v>675</v>
      </c>
      <c r="P568" s="29" t="str">
        <f t="shared" si="101"/>
        <v>Africa→Kenya→Mombasa</v>
      </c>
      <c r="Q568" s="2" t="s">
        <v>701</v>
      </c>
      <c r="R568" s="2" t="s">
        <v>711</v>
      </c>
      <c r="S568" s="2" t="s">
        <v>721</v>
      </c>
      <c r="T568" s="2" t="s">
        <v>727</v>
      </c>
      <c r="U568" t="e">
        <f>(AE568/#REF!)*100</f>
        <v>#REF!</v>
      </c>
      <c r="V568" s="2" t="s">
        <v>1298</v>
      </c>
      <c r="W568" s="7">
        <v>1233.52</v>
      </c>
      <c r="X568" s="7">
        <v>1543.76</v>
      </c>
      <c r="Y568" s="7">
        <f t="shared" si="102"/>
        <v>1543.76</v>
      </c>
      <c r="Z568" s="7" t="str">
        <f t="shared" si="103"/>
        <v>Medium</v>
      </c>
      <c r="AA568" s="13">
        <v>0.126</v>
      </c>
      <c r="AB568" s="13">
        <f t="shared" si="104"/>
        <v>0.126</v>
      </c>
      <c r="AC568" s="13" t="str">
        <f t="shared" si="105"/>
        <v>OK</v>
      </c>
      <c r="AD568" s="7">
        <v>13</v>
      </c>
      <c r="AE568" s="7">
        <f>Y568*AD568*(1-AB568)</f>
        <v>17540.201120000002</v>
      </c>
      <c r="AF568" s="7">
        <f>W568*AD568</f>
        <v>16035.76</v>
      </c>
      <c r="AG568" s="7">
        <f t="shared" si="106"/>
        <v>1504.4411200000013</v>
      </c>
      <c r="AH568" s="13">
        <f t="shared" si="107"/>
        <v>8.5771030201277493E-2</v>
      </c>
    </row>
    <row r="569" spans="1:34" x14ac:dyDescent="0.35">
      <c r="A569" s="2" t="s">
        <v>581</v>
      </c>
      <c r="B569" s="5">
        <v>45834</v>
      </c>
      <c r="C569" s="5">
        <f>IF(H569&lt;B569,H569,B569)</f>
        <v>45834</v>
      </c>
      <c r="D569" s="5" t="str">
        <f t="shared" si="96"/>
        <v>Jun-2025</v>
      </c>
      <c r="E569" s="5" t="str">
        <f t="shared" si="97"/>
        <v>Jun</v>
      </c>
      <c r="F569" s="5" t="str">
        <f t="shared" si="98"/>
        <v>2025</v>
      </c>
      <c r="G569" s="5" t="str">
        <f t="shared" si="99"/>
        <v>Q2-2025</v>
      </c>
      <c r="H569" s="5">
        <v>45849</v>
      </c>
      <c r="I569" s="5">
        <f>IF(H569&lt;B569, B569+7, H569)</f>
        <v>45849</v>
      </c>
      <c r="J569" s="5" t="str">
        <f>IF(H569&lt;B569, "Invalid","Okay")</f>
        <v>Okay</v>
      </c>
      <c r="K569" s="16">
        <f>I569-C569</f>
        <v>15</v>
      </c>
      <c r="L569" s="16" t="str">
        <f t="shared" si="100"/>
        <v>Target Not Met</v>
      </c>
      <c r="M569" s="2" t="s">
        <v>646</v>
      </c>
      <c r="N569" s="2" t="s">
        <v>651</v>
      </c>
      <c r="O569" s="2" t="s">
        <v>663</v>
      </c>
      <c r="P569" s="29" t="str">
        <f t="shared" si="101"/>
        <v>Africa→Nigeria→Port Harcourt</v>
      </c>
      <c r="Q569" s="2" t="s">
        <v>705</v>
      </c>
      <c r="R569" s="2" t="s">
        <v>708</v>
      </c>
      <c r="S569" s="2" t="s">
        <v>720</v>
      </c>
      <c r="T569" s="2" t="s">
        <v>731</v>
      </c>
      <c r="U569" t="e">
        <f>(AE569/#REF!)*100</f>
        <v>#REF!</v>
      </c>
      <c r="V569" s="2" t="s">
        <v>1299</v>
      </c>
      <c r="W569" s="7">
        <v>1170.1500000000001</v>
      </c>
      <c r="X569" s="7">
        <v>2115.19</v>
      </c>
      <c r="Y569" s="7">
        <f t="shared" si="102"/>
        <v>2115.19</v>
      </c>
      <c r="Z569" s="7" t="str">
        <f t="shared" si="103"/>
        <v>High</v>
      </c>
      <c r="AA569" s="13">
        <v>9.1999999999999998E-2</v>
      </c>
      <c r="AB569" s="13">
        <f t="shared" si="104"/>
        <v>9.1999999999999998E-2</v>
      </c>
      <c r="AC569" s="13" t="str">
        <f t="shared" si="105"/>
        <v>OK</v>
      </c>
      <c r="AD569" s="7">
        <v>23</v>
      </c>
      <c r="AE569" s="7">
        <f>Y569*AD569*(1-AB569)</f>
        <v>44173.627960000005</v>
      </c>
      <c r="AF569" s="7">
        <f>W569*AD569</f>
        <v>26913.45</v>
      </c>
      <c r="AG569" s="7">
        <f t="shared" si="106"/>
        <v>17260.177960000005</v>
      </c>
      <c r="AH569" s="13">
        <f t="shared" si="107"/>
        <v>0.39073489674946776</v>
      </c>
    </row>
    <row r="570" spans="1:34" x14ac:dyDescent="0.35">
      <c r="A570" s="2" t="s">
        <v>582</v>
      </c>
      <c r="B570" s="5">
        <v>45600</v>
      </c>
      <c r="C570" s="5">
        <f>IF(H570&lt;B570,H570,B570)</f>
        <v>45600</v>
      </c>
      <c r="D570" s="5" t="str">
        <f t="shared" si="96"/>
        <v>Nov-2024</v>
      </c>
      <c r="E570" s="5" t="str">
        <f t="shared" si="97"/>
        <v>Nov</v>
      </c>
      <c r="F570" s="5" t="str">
        <f t="shared" si="98"/>
        <v>2024</v>
      </c>
      <c r="G570" s="5" t="str">
        <f t="shared" si="99"/>
        <v>Q4-2024</v>
      </c>
      <c r="H570" s="5">
        <v>45603</v>
      </c>
      <c r="I570" s="5">
        <f>IF(H570&lt;B570, B570+7, H570)</f>
        <v>45603</v>
      </c>
      <c r="J570" s="5" t="str">
        <f>IF(H570&lt;B570, "Invalid","Okay")</f>
        <v>Okay</v>
      </c>
      <c r="K570" s="16">
        <f>I570-C570</f>
        <v>3</v>
      </c>
      <c r="L570" s="16" t="str">
        <f t="shared" si="100"/>
        <v>Target Met</v>
      </c>
      <c r="M570" s="2" t="s">
        <v>649</v>
      </c>
      <c r="N570" s="2" t="s">
        <v>657</v>
      </c>
      <c r="O570" s="2" t="s">
        <v>679</v>
      </c>
      <c r="P570" s="29" t="str">
        <f t="shared" si="101"/>
        <v>Europe→France→Lyon</v>
      </c>
      <c r="Q570" s="2" t="s">
        <v>701</v>
      </c>
      <c r="R570" s="2" t="s">
        <v>708</v>
      </c>
      <c r="S570" s="2" t="s">
        <v>719</v>
      </c>
      <c r="T570" s="2" t="s">
        <v>732</v>
      </c>
      <c r="U570" t="e">
        <f>(AE570/#REF!)*100</f>
        <v>#REF!</v>
      </c>
      <c r="V570" s="2" t="s">
        <v>1300</v>
      </c>
      <c r="W570" s="7">
        <v>740.68</v>
      </c>
      <c r="X570" s="7">
        <v>1837.19</v>
      </c>
      <c r="Y570" s="7">
        <f t="shared" si="102"/>
        <v>1837.19</v>
      </c>
      <c r="Z570" s="7" t="str">
        <f t="shared" si="103"/>
        <v>Medium</v>
      </c>
      <c r="AA570" s="13">
        <v>0.19700000000000001</v>
      </c>
      <c r="AB570" s="13">
        <f t="shared" si="104"/>
        <v>0.19700000000000001</v>
      </c>
      <c r="AC570" s="13" t="str">
        <f t="shared" si="105"/>
        <v>OK</v>
      </c>
      <c r="AD570" s="7">
        <v>17</v>
      </c>
      <c r="AE570" s="7">
        <f>Y570*AD570*(1-AB570)</f>
        <v>25079.480689999997</v>
      </c>
      <c r="AF570" s="7">
        <f>W570*AD570</f>
        <v>12591.56</v>
      </c>
      <c r="AG570" s="7">
        <f t="shared" si="106"/>
        <v>12487.920689999997</v>
      </c>
      <c r="AH570" s="13">
        <f t="shared" si="107"/>
        <v>0.4979337827748298</v>
      </c>
    </row>
    <row r="571" spans="1:34" x14ac:dyDescent="0.35">
      <c r="A571" s="2" t="s">
        <v>583</v>
      </c>
      <c r="B571" s="5">
        <v>45342</v>
      </c>
      <c r="C571" s="5">
        <f>IF(H571&lt;B571,H571,B571)</f>
        <v>45342</v>
      </c>
      <c r="D571" s="5" t="str">
        <f t="shared" si="96"/>
        <v>Feb-2024</v>
      </c>
      <c r="E571" s="5" t="str">
        <f t="shared" si="97"/>
        <v>Feb</v>
      </c>
      <c r="F571" s="5" t="str">
        <f t="shared" si="98"/>
        <v>2024</v>
      </c>
      <c r="G571" s="5" t="str">
        <f t="shared" si="99"/>
        <v>Q1-2024</v>
      </c>
      <c r="H571" s="5">
        <v>45342</v>
      </c>
      <c r="I571" s="5">
        <f>IF(H571&lt;B571, B571+7, H571)</f>
        <v>45342</v>
      </c>
      <c r="J571" s="5" t="str">
        <f>IF(H571&lt;B571, "Invalid","Okay")</f>
        <v>Okay</v>
      </c>
      <c r="K571" s="16">
        <f>I571-C571</f>
        <v>0</v>
      </c>
      <c r="L571" s="16" t="str">
        <f t="shared" si="100"/>
        <v>Target Met</v>
      </c>
      <c r="M571" s="2" t="s">
        <v>648</v>
      </c>
      <c r="N571" s="2" t="s">
        <v>660</v>
      </c>
      <c r="O571" s="2" t="s">
        <v>700</v>
      </c>
      <c r="P571" s="29" t="str">
        <f t="shared" si="101"/>
        <v>Americas→USA→New York</v>
      </c>
      <c r="Q571" s="2" t="s">
        <v>706</v>
      </c>
      <c r="R571" s="2" t="s">
        <v>708</v>
      </c>
      <c r="S571" s="2" t="s">
        <v>712</v>
      </c>
      <c r="T571" s="2" t="s">
        <v>729</v>
      </c>
      <c r="U571" t="e">
        <f>(AE571/#REF!)*100</f>
        <v>#REF!</v>
      </c>
      <c r="V571" s="2" t="s">
        <v>1301</v>
      </c>
      <c r="W571" s="7">
        <v>1407.05</v>
      </c>
      <c r="X571" s="7">
        <v>2858.93</v>
      </c>
      <c r="Y571" s="7">
        <f t="shared" si="102"/>
        <v>2858.93</v>
      </c>
      <c r="Z571" s="7" t="str">
        <f t="shared" si="103"/>
        <v>High</v>
      </c>
      <c r="AA571" s="13">
        <v>0</v>
      </c>
      <c r="AB571" s="13">
        <f t="shared" si="104"/>
        <v>0</v>
      </c>
      <c r="AC571" s="13" t="str">
        <f t="shared" si="105"/>
        <v>OK</v>
      </c>
      <c r="AD571" s="7">
        <v>12</v>
      </c>
      <c r="AE571" s="7">
        <f>Y571*AD571*(1-AB571)</f>
        <v>34307.159999999996</v>
      </c>
      <c r="AF571" s="7">
        <f>W571*AD571</f>
        <v>16884.599999999999</v>
      </c>
      <c r="AG571" s="7">
        <f t="shared" si="106"/>
        <v>17422.559999999998</v>
      </c>
      <c r="AH571" s="13">
        <f t="shared" si="107"/>
        <v>0.50784034586366222</v>
      </c>
    </row>
    <row r="572" spans="1:34" x14ac:dyDescent="0.35">
      <c r="A572" s="2" t="s">
        <v>584</v>
      </c>
      <c r="B572" s="5">
        <v>45760</v>
      </c>
      <c r="C572" s="5">
        <f>IF(H572&lt;B572,H572,B572)</f>
        <v>45760</v>
      </c>
      <c r="D572" s="5" t="str">
        <f t="shared" si="96"/>
        <v>Apr-2025</v>
      </c>
      <c r="E572" s="5" t="str">
        <f t="shared" si="97"/>
        <v>Apr</v>
      </c>
      <c r="F572" s="5" t="str">
        <f t="shared" si="98"/>
        <v>2025</v>
      </c>
      <c r="G572" s="5" t="str">
        <f t="shared" si="99"/>
        <v>Q2-2025</v>
      </c>
      <c r="H572" s="5">
        <v>45761</v>
      </c>
      <c r="I572" s="5">
        <f>IF(H572&lt;B572, B572+7, H572)</f>
        <v>45761</v>
      </c>
      <c r="J572" s="5" t="str">
        <f>IF(H572&lt;B572, "Invalid","Okay")</f>
        <v>Okay</v>
      </c>
      <c r="K572" s="16">
        <f>I572-C572</f>
        <v>1</v>
      </c>
      <c r="L572" s="16" t="str">
        <f t="shared" si="100"/>
        <v>Target Met</v>
      </c>
      <c r="M572" s="2" t="s">
        <v>647</v>
      </c>
      <c r="N572" s="2" t="s">
        <v>652</v>
      </c>
      <c r="O572" s="2" t="s">
        <v>666</v>
      </c>
      <c r="P572" s="29" t="str">
        <f t="shared" si="101"/>
        <v>Asia→Japan→Osaka</v>
      </c>
      <c r="Q572" s="2" t="s">
        <v>706</v>
      </c>
      <c r="R572" s="2" t="s">
        <v>708</v>
      </c>
      <c r="S572" s="2" t="s">
        <v>715</v>
      </c>
      <c r="T572" s="2" t="s">
        <v>727</v>
      </c>
      <c r="U572" t="e">
        <f>(AE572/#REF!)*100</f>
        <v>#REF!</v>
      </c>
      <c r="V572" s="2" t="s">
        <v>1302</v>
      </c>
      <c r="W572" s="7">
        <v>138.9</v>
      </c>
      <c r="X572" s="7">
        <v>289.92</v>
      </c>
      <c r="Y572" s="7">
        <f t="shared" si="102"/>
        <v>289.92</v>
      </c>
      <c r="Z572" s="7" t="str">
        <f t="shared" si="103"/>
        <v>Low</v>
      </c>
      <c r="AA572" s="13">
        <v>2.9000000000000001E-2</v>
      </c>
      <c r="AB572" s="13">
        <f t="shared" si="104"/>
        <v>2.9000000000000001E-2</v>
      </c>
      <c r="AC572" s="13" t="str">
        <f t="shared" si="105"/>
        <v>OK</v>
      </c>
      <c r="AD572" s="7">
        <v>12</v>
      </c>
      <c r="AE572" s="7">
        <f>Y572*AD572*(1-AB572)</f>
        <v>3378.1478400000001</v>
      </c>
      <c r="AF572" s="7">
        <f>W572*AD572</f>
        <v>1666.8000000000002</v>
      </c>
      <c r="AG572" s="7">
        <f t="shared" si="106"/>
        <v>1711.3478399999999</v>
      </c>
      <c r="AH572" s="13">
        <f t="shared" si="107"/>
        <v>0.50659353025828491</v>
      </c>
    </row>
    <row r="573" spans="1:34" x14ac:dyDescent="0.35">
      <c r="A573" s="2" t="s">
        <v>585</v>
      </c>
      <c r="B573" s="5">
        <v>45078</v>
      </c>
      <c r="C573" s="5">
        <f>IF(H573&lt;B573,H573,B573)</f>
        <v>45078</v>
      </c>
      <c r="D573" s="5" t="str">
        <f t="shared" si="96"/>
        <v>Jun-2023</v>
      </c>
      <c r="E573" s="5" t="str">
        <f t="shared" si="97"/>
        <v>Jun</v>
      </c>
      <c r="F573" s="5" t="str">
        <f t="shared" si="98"/>
        <v>2023</v>
      </c>
      <c r="G573" s="5" t="str">
        <f t="shared" si="99"/>
        <v>Q2-2023</v>
      </c>
      <c r="H573" s="5">
        <v>45078</v>
      </c>
      <c r="I573" s="5">
        <f>IF(H573&lt;B573, B573+7, H573)</f>
        <v>45078</v>
      </c>
      <c r="J573" s="5" t="str">
        <f>IF(H573&lt;B573, "Invalid","Okay")</f>
        <v>Okay</v>
      </c>
      <c r="K573" s="16">
        <f>I573-C573</f>
        <v>0</v>
      </c>
      <c r="L573" s="16" t="str">
        <f t="shared" si="100"/>
        <v>Target Met</v>
      </c>
      <c r="M573" s="2" t="s">
        <v>647</v>
      </c>
      <c r="N573" s="2" t="s">
        <v>654</v>
      </c>
      <c r="O573" s="2" t="s">
        <v>668</v>
      </c>
      <c r="P573" s="29" t="str">
        <f t="shared" si="101"/>
        <v>Asia→India→Bengaluru</v>
      </c>
      <c r="Q573" s="2" t="s">
        <v>701</v>
      </c>
      <c r="R573" s="2" t="s">
        <v>707</v>
      </c>
      <c r="S573" s="2" t="s">
        <v>718</v>
      </c>
      <c r="T573" s="2" t="s">
        <v>733</v>
      </c>
      <c r="U573" t="e">
        <f>(AE573/#REF!)*100</f>
        <v>#REF!</v>
      </c>
      <c r="V573" s="2" t="s">
        <v>1303</v>
      </c>
      <c r="W573" s="7">
        <v>669.37</v>
      </c>
      <c r="X573" s="7">
        <v>997.2</v>
      </c>
      <c r="Y573" s="7">
        <f t="shared" si="102"/>
        <v>997.2</v>
      </c>
      <c r="Z573" s="7" t="str">
        <f t="shared" si="103"/>
        <v>Low</v>
      </c>
      <c r="AA573" s="13">
        <v>8.2000000000000003E-2</v>
      </c>
      <c r="AB573" s="13">
        <f t="shared" si="104"/>
        <v>8.2000000000000003E-2</v>
      </c>
      <c r="AC573" s="13" t="str">
        <f t="shared" si="105"/>
        <v>OK</v>
      </c>
      <c r="AD573" s="7">
        <v>5</v>
      </c>
      <c r="AE573" s="7">
        <f>Y573*AD573*(1-AB573)</f>
        <v>4577.1480000000001</v>
      </c>
      <c r="AF573" s="7">
        <f>W573*AD573</f>
        <v>3346.85</v>
      </c>
      <c r="AG573" s="7">
        <f t="shared" si="106"/>
        <v>1230.2980000000002</v>
      </c>
      <c r="AH573" s="13">
        <f t="shared" si="107"/>
        <v>0.26879139586484863</v>
      </c>
    </row>
    <row r="574" spans="1:34" x14ac:dyDescent="0.35">
      <c r="A574" s="2" t="s">
        <v>586</v>
      </c>
      <c r="B574" s="5">
        <v>45740</v>
      </c>
      <c r="C574" s="5">
        <f>IF(H574&lt;B574,H574,B574)</f>
        <v>45740</v>
      </c>
      <c r="D574" s="5" t="str">
        <f t="shared" si="96"/>
        <v>Mar-2025</v>
      </c>
      <c r="E574" s="5" t="str">
        <f t="shared" si="97"/>
        <v>Mar</v>
      </c>
      <c r="F574" s="5" t="str">
        <f t="shared" si="98"/>
        <v>2025</v>
      </c>
      <c r="G574" s="5" t="str">
        <f t="shared" si="99"/>
        <v>Q1-2025</v>
      </c>
      <c r="H574" s="5">
        <v>45751</v>
      </c>
      <c r="I574" s="5">
        <f>IF(H574&lt;B574, B574+7, H574)</f>
        <v>45751</v>
      </c>
      <c r="J574" s="5" t="str">
        <f>IF(H574&lt;B574, "Invalid","Okay")</f>
        <v>Okay</v>
      </c>
      <c r="K574" s="16">
        <f>I574-C574</f>
        <v>11</v>
      </c>
      <c r="L574" s="16" t="str">
        <f t="shared" si="100"/>
        <v>Target Not Met</v>
      </c>
      <c r="M574" s="2" t="s">
        <v>647</v>
      </c>
      <c r="N574" s="2" t="s">
        <v>654</v>
      </c>
      <c r="O574" s="2" t="s">
        <v>691</v>
      </c>
      <c r="P574" s="29" t="str">
        <f t="shared" si="101"/>
        <v>Asia→India→Mumbai</v>
      </c>
      <c r="Q574" s="2" t="s">
        <v>702</v>
      </c>
      <c r="R574" s="2" t="s">
        <v>709</v>
      </c>
      <c r="S574" s="2" t="s">
        <v>713</v>
      </c>
      <c r="T574" s="2" t="s">
        <v>730</v>
      </c>
      <c r="U574" t="e">
        <f>(AE574/#REF!)*100</f>
        <v>#REF!</v>
      </c>
      <c r="V574" s="2" t="s">
        <v>1304</v>
      </c>
      <c r="W574" s="7">
        <v>23.83</v>
      </c>
      <c r="X574" s="7">
        <v>47.29</v>
      </c>
      <c r="Y574" s="7">
        <f t="shared" si="102"/>
        <v>47.29</v>
      </c>
      <c r="Z574" s="7" t="str">
        <f t="shared" si="103"/>
        <v>Low</v>
      </c>
      <c r="AA574" s="13">
        <v>6.4000000000000001E-2</v>
      </c>
      <c r="AB574" s="13">
        <f t="shared" si="104"/>
        <v>6.4000000000000001E-2</v>
      </c>
      <c r="AC574" s="13" t="str">
        <f t="shared" si="105"/>
        <v>OK</v>
      </c>
      <c r="AD574" s="7">
        <v>19</v>
      </c>
      <c r="AE574" s="7">
        <f>Y574*AD574*(1-AB574)</f>
        <v>841.00536</v>
      </c>
      <c r="AF574" s="7">
        <f>W574*AD574</f>
        <v>452.77</v>
      </c>
      <c r="AG574" s="7">
        <f t="shared" si="106"/>
        <v>388.23536000000001</v>
      </c>
      <c r="AH574" s="13">
        <f t="shared" si="107"/>
        <v>0.46163244429262618</v>
      </c>
    </row>
    <row r="575" spans="1:34" x14ac:dyDescent="0.35">
      <c r="A575" s="2" t="s">
        <v>587</v>
      </c>
      <c r="B575" s="5">
        <v>45293</v>
      </c>
      <c r="C575" s="5">
        <f>IF(H575&lt;B575,H575,B575)</f>
        <v>45293</v>
      </c>
      <c r="D575" s="5" t="str">
        <f t="shared" si="96"/>
        <v>Jan-2024</v>
      </c>
      <c r="E575" s="5" t="str">
        <f t="shared" si="97"/>
        <v>Jan</v>
      </c>
      <c r="F575" s="5" t="str">
        <f t="shared" si="98"/>
        <v>2024</v>
      </c>
      <c r="G575" s="5" t="str">
        <f t="shared" si="99"/>
        <v>Q1-2024</v>
      </c>
      <c r="H575" s="5">
        <v>45293</v>
      </c>
      <c r="I575" s="5">
        <f>IF(H575&lt;B575, B575+7, H575)</f>
        <v>45293</v>
      </c>
      <c r="J575" s="5" t="str">
        <f>IF(H575&lt;B575, "Invalid","Okay")</f>
        <v>Okay</v>
      </c>
      <c r="K575" s="16">
        <f>I575-C575</f>
        <v>0</v>
      </c>
      <c r="L575" s="16" t="str">
        <f t="shared" si="100"/>
        <v>Target Met</v>
      </c>
      <c r="M575" s="2" t="s">
        <v>648</v>
      </c>
      <c r="N575" s="2" t="s">
        <v>653</v>
      </c>
      <c r="O575" s="2" t="s">
        <v>688</v>
      </c>
      <c r="P575" s="29" t="str">
        <f t="shared" si="101"/>
        <v>Americas→Canada→Vancouver</v>
      </c>
      <c r="Q575" s="2" t="s">
        <v>702</v>
      </c>
      <c r="R575" s="2" t="s">
        <v>711</v>
      </c>
      <c r="S575" s="2" t="s">
        <v>720</v>
      </c>
      <c r="T575" s="2" t="s">
        <v>731</v>
      </c>
      <c r="U575" t="e">
        <f>(AE575/#REF!)*100</f>
        <v>#REF!</v>
      </c>
      <c r="V575" s="2" t="s">
        <v>1305</v>
      </c>
      <c r="W575" s="7">
        <v>444.41</v>
      </c>
      <c r="X575" s="7">
        <v>754.24</v>
      </c>
      <c r="Y575" s="7">
        <f t="shared" si="102"/>
        <v>754.24</v>
      </c>
      <c r="Z575" s="7" t="str">
        <f t="shared" si="103"/>
        <v>Low</v>
      </c>
      <c r="AA575" s="13">
        <v>0.20699999999999999</v>
      </c>
      <c r="AB575" s="13">
        <f t="shared" si="104"/>
        <v>0.20699999999999999</v>
      </c>
      <c r="AC575" s="13" t="str">
        <f t="shared" si="105"/>
        <v>OK</v>
      </c>
      <c r="AD575" s="7">
        <v>32</v>
      </c>
      <c r="AE575" s="7">
        <f>Y575*AD575*(1-AB575)</f>
        <v>19139.594240000002</v>
      </c>
      <c r="AF575" s="7">
        <f>W575*AD575</f>
        <v>14221.12</v>
      </c>
      <c r="AG575" s="7">
        <f t="shared" si="106"/>
        <v>4918.4742400000014</v>
      </c>
      <c r="AH575" s="13">
        <f t="shared" si="107"/>
        <v>0.25697902360546598</v>
      </c>
    </row>
    <row r="576" spans="1:34" x14ac:dyDescent="0.35">
      <c r="A576" s="2" t="s">
        <v>588</v>
      </c>
      <c r="B576" s="5">
        <v>45279</v>
      </c>
      <c r="C576" s="5">
        <f>IF(H576&lt;B576,H576,B576)</f>
        <v>45279</v>
      </c>
      <c r="D576" s="5" t="str">
        <f t="shared" si="96"/>
        <v>Dec-2023</v>
      </c>
      <c r="E576" s="5" t="str">
        <f t="shared" si="97"/>
        <v>Dec</v>
      </c>
      <c r="F576" s="5" t="str">
        <f t="shared" si="98"/>
        <v>2023</v>
      </c>
      <c r="G576" s="5" t="str">
        <f t="shared" si="99"/>
        <v>Q4-2023</v>
      </c>
      <c r="H576" s="5">
        <v>45292</v>
      </c>
      <c r="I576" s="5">
        <f>IF(H576&lt;B576, B576+7, H576)</f>
        <v>45292</v>
      </c>
      <c r="J576" s="5" t="str">
        <f>IF(H576&lt;B576, "Invalid","Okay")</f>
        <v>Okay</v>
      </c>
      <c r="K576" s="16">
        <f>I576-C576</f>
        <v>13</v>
      </c>
      <c r="L576" s="16" t="str">
        <f t="shared" si="100"/>
        <v>Target Not Met</v>
      </c>
      <c r="M576" s="2" t="s">
        <v>648</v>
      </c>
      <c r="N576" s="2" t="s">
        <v>653</v>
      </c>
      <c r="O576" s="2" t="s">
        <v>667</v>
      </c>
      <c r="P576" s="29" t="str">
        <f t="shared" si="101"/>
        <v>Americas→Canada→Toronto</v>
      </c>
      <c r="Q576" s="2" t="s">
        <v>706</v>
      </c>
      <c r="R576" s="2" t="s">
        <v>707</v>
      </c>
      <c r="S576" s="2" t="s">
        <v>723</v>
      </c>
      <c r="T576" s="2" t="s">
        <v>732</v>
      </c>
      <c r="U576" t="e">
        <f>(AE576/#REF!)*100</f>
        <v>#REF!</v>
      </c>
      <c r="V576" s="2" t="s">
        <v>1306</v>
      </c>
      <c r="W576" s="7">
        <v>856.1</v>
      </c>
      <c r="X576" s="7">
        <v>901.48</v>
      </c>
      <c r="Y576" s="7">
        <f t="shared" si="102"/>
        <v>901.48</v>
      </c>
      <c r="Z576" s="7" t="str">
        <f t="shared" si="103"/>
        <v>Low</v>
      </c>
      <c r="AA576" s="13">
        <v>5.6000000000000001E-2</v>
      </c>
      <c r="AB576" s="13">
        <f t="shared" si="104"/>
        <v>5.6000000000000001E-2</v>
      </c>
      <c r="AC576" s="13" t="str">
        <f t="shared" si="105"/>
        <v>OK</v>
      </c>
      <c r="AD576" s="7">
        <v>17</v>
      </c>
      <c r="AE576" s="7">
        <f>Y576*AD576*(1-AB576)</f>
        <v>14466.95104</v>
      </c>
      <c r="AF576" s="7">
        <f>W576*AD576</f>
        <v>14553.7</v>
      </c>
      <c r="AG576" s="7">
        <f t="shared" si="106"/>
        <v>-86.748960000000807</v>
      </c>
      <c r="AH576" s="13">
        <f t="shared" si="107"/>
        <v>-5.9963540182134192E-3</v>
      </c>
    </row>
    <row r="577" spans="1:34" x14ac:dyDescent="0.35">
      <c r="A577" s="2" t="s">
        <v>589</v>
      </c>
      <c r="B577" s="5">
        <v>45042</v>
      </c>
      <c r="C577" s="5">
        <f>IF(H577&lt;B577,H577,B577)</f>
        <v>45042</v>
      </c>
      <c r="D577" s="5" t="str">
        <f t="shared" si="96"/>
        <v>Apr-2023</v>
      </c>
      <c r="E577" s="5" t="str">
        <f t="shared" si="97"/>
        <v>Apr</v>
      </c>
      <c r="F577" s="5" t="str">
        <f t="shared" si="98"/>
        <v>2023</v>
      </c>
      <c r="G577" s="5" t="str">
        <f t="shared" si="99"/>
        <v>Q2-2023</v>
      </c>
      <c r="H577" s="5">
        <v>45042</v>
      </c>
      <c r="I577" s="5">
        <f>IF(H577&lt;B577, B577+7, H577)</f>
        <v>45042</v>
      </c>
      <c r="J577" s="5" t="str">
        <f>IF(H577&lt;B577, "Invalid","Okay")</f>
        <v>Okay</v>
      </c>
      <c r="K577" s="16">
        <f>I577-C577</f>
        <v>0</v>
      </c>
      <c r="L577" s="16" t="str">
        <f t="shared" si="100"/>
        <v>Target Met</v>
      </c>
      <c r="M577" s="2" t="s">
        <v>649</v>
      </c>
      <c r="N577" s="2" t="s">
        <v>657</v>
      </c>
      <c r="O577" s="2" t="s">
        <v>673</v>
      </c>
      <c r="P577" s="29" t="str">
        <f t="shared" si="101"/>
        <v>Europe→France→Marseille</v>
      </c>
      <c r="Q577" s="2" t="s">
        <v>704</v>
      </c>
      <c r="R577" s="2" t="s">
        <v>711</v>
      </c>
      <c r="S577" s="2" t="s">
        <v>724</v>
      </c>
      <c r="T577" s="2" t="s">
        <v>727</v>
      </c>
      <c r="U577" t="e">
        <f>(AE577/#REF!)*100</f>
        <v>#REF!</v>
      </c>
      <c r="V577" s="2" t="s">
        <v>1307</v>
      </c>
      <c r="W577" s="7">
        <v>81.489999999999995</v>
      </c>
      <c r="X577" s="7">
        <v>113.08</v>
      </c>
      <c r="Y577" s="7">
        <f t="shared" si="102"/>
        <v>113.08</v>
      </c>
      <c r="Z577" s="7" t="str">
        <f t="shared" si="103"/>
        <v>Low</v>
      </c>
      <c r="AA577" s="13">
        <v>0.121</v>
      </c>
      <c r="AB577" s="13">
        <f t="shared" si="104"/>
        <v>0.121</v>
      </c>
      <c r="AC577" s="13" t="str">
        <f t="shared" si="105"/>
        <v>OK</v>
      </c>
      <c r="AD577" s="7">
        <v>5</v>
      </c>
      <c r="AE577" s="7">
        <f>Y577*AD577*(1-AB577)</f>
        <v>496.98660000000001</v>
      </c>
      <c r="AF577" s="7">
        <f>W577*AD577</f>
        <v>407.45</v>
      </c>
      <c r="AG577" s="7">
        <f t="shared" si="106"/>
        <v>89.536600000000021</v>
      </c>
      <c r="AH577" s="13">
        <f t="shared" si="107"/>
        <v>0.18015898215364362</v>
      </c>
    </row>
    <row r="578" spans="1:34" x14ac:dyDescent="0.35">
      <c r="A578" s="2" t="s">
        <v>590</v>
      </c>
      <c r="B578" s="5">
        <v>45872</v>
      </c>
      <c r="C578" s="5">
        <f>IF(H578&lt;B578,H578,B578)</f>
        <v>45872</v>
      </c>
      <c r="D578" s="5" t="str">
        <f t="shared" si="96"/>
        <v>Aug-2025</v>
      </c>
      <c r="E578" s="5" t="str">
        <f t="shared" si="97"/>
        <v>Aug</v>
      </c>
      <c r="F578" s="5" t="str">
        <f t="shared" si="98"/>
        <v>2025</v>
      </c>
      <c r="G578" s="5" t="str">
        <f t="shared" si="99"/>
        <v>Q3-2025</v>
      </c>
      <c r="H578" s="5">
        <v>45885</v>
      </c>
      <c r="I578" s="5">
        <f>IF(H578&lt;B578, B578+7, H578)</f>
        <v>45885</v>
      </c>
      <c r="J578" s="5" t="str">
        <f>IF(H578&lt;B578, "Invalid","Okay")</f>
        <v>Okay</v>
      </c>
      <c r="K578" s="16">
        <f>I578-C578</f>
        <v>13</v>
      </c>
      <c r="L578" s="16" t="str">
        <f t="shared" si="100"/>
        <v>Target Not Met</v>
      </c>
      <c r="M578" s="2" t="s">
        <v>648</v>
      </c>
      <c r="N578" s="2" t="s">
        <v>653</v>
      </c>
      <c r="O578" s="2" t="s">
        <v>681</v>
      </c>
      <c r="P578" s="29" t="str">
        <f t="shared" si="101"/>
        <v>Americas→Canada→Montreal</v>
      </c>
      <c r="Q578" s="2" t="s">
        <v>706</v>
      </c>
      <c r="R578" s="2" t="s">
        <v>710</v>
      </c>
      <c r="S578" s="2" t="s">
        <v>719</v>
      </c>
      <c r="T578" s="2" t="s">
        <v>729</v>
      </c>
      <c r="U578" t="e">
        <f>(AE578/#REF!)*100</f>
        <v>#REF!</v>
      </c>
      <c r="V578" s="2" t="s">
        <v>1308</v>
      </c>
      <c r="W578" s="7">
        <v>698.66</v>
      </c>
      <c r="X578" s="7">
        <v>868.62</v>
      </c>
      <c r="Y578" s="7">
        <f t="shared" si="102"/>
        <v>868.62</v>
      </c>
      <c r="Z578" s="7" t="str">
        <f t="shared" si="103"/>
        <v>Low</v>
      </c>
      <c r="AA578" s="13">
        <v>7.1999999999999995E-2</v>
      </c>
      <c r="AB578" s="13">
        <f t="shared" si="104"/>
        <v>7.1999999999999995E-2</v>
      </c>
      <c r="AC578" s="13" t="str">
        <f t="shared" si="105"/>
        <v>OK</v>
      </c>
      <c r="AD578" s="7">
        <v>15</v>
      </c>
      <c r="AE578" s="7">
        <f>Y578*AD578*(1-AB578)</f>
        <v>12091.190399999999</v>
      </c>
      <c r="AF578" s="7">
        <f>W578*AD578</f>
        <v>10479.9</v>
      </c>
      <c r="AG578" s="7">
        <f t="shared" si="106"/>
        <v>1611.2903999999999</v>
      </c>
      <c r="AH578" s="13">
        <f t="shared" si="107"/>
        <v>0.13326151906432637</v>
      </c>
    </row>
    <row r="579" spans="1:34" x14ac:dyDescent="0.35">
      <c r="A579" s="2" t="s">
        <v>591</v>
      </c>
      <c r="B579" s="5">
        <v>45140</v>
      </c>
      <c r="C579" s="5">
        <f>IF(H579&lt;B579,H579,B579)</f>
        <v>45140</v>
      </c>
      <c r="D579" s="5" t="str">
        <f t="shared" ref="D579:D633" si="108">TEXT(B579,"MMM-YYYY")</f>
        <v>Aug-2023</v>
      </c>
      <c r="E579" s="5" t="str">
        <f t="shared" ref="E579:E633" si="109">TEXT(C579,"MMM")</f>
        <v>Aug</v>
      </c>
      <c r="F579" s="5" t="str">
        <f t="shared" ref="F579:F633" si="110">TEXT(C579,"YYYY")</f>
        <v>2023</v>
      </c>
      <c r="G579" s="5" t="str">
        <f t="shared" ref="G579:G633" si="111">IF(MONTH(D579)&lt;=3,"Q1",IF(MONTH(D579)&lt;=6,"Q2",IF(MONTH(D579)&lt;=9,"Q3","Q4")))&amp;"-"&amp;YEAR(C579)</f>
        <v>Q3-2023</v>
      </c>
      <c r="H579" s="5">
        <v>45157</v>
      </c>
      <c r="I579" s="5">
        <f>IF(H579&lt;B579, B579+7, H579)</f>
        <v>45157</v>
      </c>
      <c r="J579" s="5" t="str">
        <f>IF(H579&lt;B579, "Invalid","Okay")</f>
        <v>Okay</v>
      </c>
      <c r="K579" s="16">
        <f>I579-C579</f>
        <v>17</v>
      </c>
      <c r="L579" s="16" t="str">
        <f t="shared" ref="L579:L633" si="112">IF(K579&lt;=7,"Target Met","Target Not Met")</f>
        <v>Target Not Met</v>
      </c>
      <c r="M579" s="2" t="s">
        <v>648</v>
      </c>
      <c r="N579" s="2" t="s">
        <v>653</v>
      </c>
      <c r="O579" s="2" t="s">
        <v>688</v>
      </c>
      <c r="P579" s="29" t="str">
        <f t="shared" ref="P579:P633" si="113">_xlfn.CONCAT(M579,"→",N579,"→",O579)</f>
        <v>Americas→Canada→Vancouver</v>
      </c>
      <c r="Q579" s="2" t="s">
        <v>701</v>
      </c>
      <c r="R579" s="2" t="s">
        <v>708</v>
      </c>
      <c r="S579" s="2" t="s">
        <v>721</v>
      </c>
      <c r="T579" s="2" t="s">
        <v>729</v>
      </c>
      <c r="U579" t="e">
        <f>(AE579/#REF!)*100</f>
        <v>#REF!</v>
      </c>
      <c r="V579" s="2" t="s">
        <v>1309</v>
      </c>
      <c r="W579" s="7">
        <v>175.38</v>
      </c>
      <c r="X579" s="7">
        <v>347.9</v>
      </c>
      <c r="Y579" s="7">
        <f t="shared" ref="Y579:Y633" si="114">ABS(X579)</f>
        <v>347.9</v>
      </c>
      <c r="Z579" s="7" t="str">
        <f t="shared" ref="Z579:Z633" si="115">IF(Y579&lt;1193.97,"Low",IF(Y579&lt;1912.05,"Medium","High"))</f>
        <v>Low</v>
      </c>
      <c r="AA579" s="13">
        <v>7.1999999999999995E-2</v>
      </c>
      <c r="AB579" s="13">
        <f t="shared" ref="AB579:AB633" si="116">IF(AA579&gt;30%,"12.14%", AA579)</f>
        <v>7.1999999999999995E-2</v>
      </c>
      <c r="AC579" s="13" t="str">
        <f t="shared" ref="AC579:AC633" si="117">IF(AA579&gt;30%, "High", "OK")</f>
        <v>OK</v>
      </c>
      <c r="AD579" s="7">
        <v>43</v>
      </c>
      <c r="AE579" s="7">
        <f>Y579*AD579*(1-AB579)</f>
        <v>13882.6016</v>
      </c>
      <c r="AF579" s="7">
        <f>W579*AD579</f>
        <v>7541.34</v>
      </c>
      <c r="AG579" s="7">
        <f t="shared" ref="AG579:AG633" si="118">AE579-AF579</f>
        <v>6341.2615999999998</v>
      </c>
      <c r="AH579" s="13">
        <f t="shared" ref="AH579:AH633" si="119">IF(AE579=0,0,AG579/AE579)</f>
        <v>0.45677761148169804</v>
      </c>
    </row>
    <row r="580" spans="1:34" x14ac:dyDescent="0.35">
      <c r="A580" s="2" t="s">
        <v>592</v>
      </c>
      <c r="B580" s="5">
        <v>45092</v>
      </c>
      <c r="C580" s="5">
        <f>IF(H580&lt;B580,H580,B580)</f>
        <v>45092</v>
      </c>
      <c r="D580" s="5" t="str">
        <f t="shared" si="108"/>
        <v>Jun-2023</v>
      </c>
      <c r="E580" s="5" t="str">
        <f t="shared" si="109"/>
        <v>Jun</v>
      </c>
      <c r="F580" s="5" t="str">
        <f t="shared" si="110"/>
        <v>2023</v>
      </c>
      <c r="G580" s="5" t="str">
        <f t="shared" si="111"/>
        <v>Q2-2023</v>
      </c>
      <c r="H580" s="5">
        <v>45119</v>
      </c>
      <c r="I580" s="5">
        <f>IF(H580&lt;B580, B580+7, H580)</f>
        <v>45119</v>
      </c>
      <c r="J580" s="5" t="str">
        <f>IF(H580&lt;B580, "Invalid","Okay")</f>
        <v>Okay</v>
      </c>
      <c r="K580" s="16">
        <f>I580-C580</f>
        <v>27</v>
      </c>
      <c r="L580" s="16" t="str">
        <f t="shared" si="112"/>
        <v>Target Not Met</v>
      </c>
      <c r="M580" s="2" t="s">
        <v>649</v>
      </c>
      <c r="N580" s="2" t="s">
        <v>658</v>
      </c>
      <c r="O580" s="2" t="s">
        <v>693</v>
      </c>
      <c r="P580" s="29" t="str">
        <f t="shared" si="113"/>
        <v>Europe→United Kingdom→Manchester</v>
      </c>
      <c r="Q580" s="2" t="s">
        <v>704</v>
      </c>
      <c r="R580" s="2" t="s">
        <v>711</v>
      </c>
      <c r="S580" s="2" t="s">
        <v>714</v>
      </c>
      <c r="T580" s="2" t="s">
        <v>733</v>
      </c>
      <c r="U580" t="e">
        <f>(AE580/#REF!)*100</f>
        <v>#REF!</v>
      </c>
      <c r="V580" s="2" t="s">
        <v>1310</v>
      </c>
      <c r="W580" s="7">
        <v>751.28</v>
      </c>
      <c r="X580" s="7">
        <v>1111.8800000000001</v>
      </c>
      <c r="Y580" s="7">
        <f t="shared" si="114"/>
        <v>1111.8800000000001</v>
      </c>
      <c r="Z580" s="7" t="str">
        <f t="shared" si="115"/>
        <v>Low</v>
      </c>
      <c r="AA580" s="13">
        <v>0.13500000000000001</v>
      </c>
      <c r="AB580" s="13">
        <f t="shared" si="116"/>
        <v>0.13500000000000001</v>
      </c>
      <c r="AC580" s="13" t="str">
        <f t="shared" si="117"/>
        <v>OK</v>
      </c>
      <c r="AD580" s="7">
        <v>7</v>
      </c>
      <c r="AE580" s="7">
        <f>Y580*AD580*(1-AB580)</f>
        <v>6732.4334000000008</v>
      </c>
      <c r="AF580" s="7">
        <f>W580*AD580</f>
        <v>5258.96</v>
      </c>
      <c r="AG580" s="7">
        <f t="shared" si="118"/>
        <v>1473.4734000000008</v>
      </c>
      <c r="AH580" s="13">
        <f t="shared" si="119"/>
        <v>0.21886193482433863</v>
      </c>
    </row>
    <row r="581" spans="1:34" x14ac:dyDescent="0.35">
      <c r="A581" s="2" t="s">
        <v>593</v>
      </c>
      <c r="B581" s="5">
        <v>45607</v>
      </c>
      <c r="C581" s="5">
        <f>IF(H581&lt;B581,H581,B581)</f>
        <v>45607</v>
      </c>
      <c r="D581" s="5" t="str">
        <f t="shared" si="108"/>
        <v>Nov-2024</v>
      </c>
      <c r="E581" s="5" t="str">
        <f t="shared" si="109"/>
        <v>Nov</v>
      </c>
      <c r="F581" s="5" t="str">
        <f t="shared" si="110"/>
        <v>2024</v>
      </c>
      <c r="G581" s="5" t="str">
        <f t="shared" si="111"/>
        <v>Q4-2024</v>
      </c>
      <c r="H581" s="5">
        <v>45620</v>
      </c>
      <c r="I581" s="5">
        <f>IF(H581&lt;B581, B581+7, H581)</f>
        <v>45620</v>
      </c>
      <c r="J581" s="5" t="str">
        <f>IF(H581&lt;B581, "Invalid","Okay")</f>
        <v>Okay</v>
      </c>
      <c r="K581" s="16">
        <f>I581-C581</f>
        <v>13</v>
      </c>
      <c r="L581" s="16" t="str">
        <f t="shared" si="112"/>
        <v>Target Not Met</v>
      </c>
      <c r="M581" s="2" t="s">
        <v>649</v>
      </c>
      <c r="N581" s="2" t="s">
        <v>658</v>
      </c>
      <c r="O581" s="2" t="s">
        <v>683</v>
      </c>
      <c r="P581" s="29" t="str">
        <f t="shared" si="113"/>
        <v>Europe→United Kingdom→London</v>
      </c>
      <c r="Q581" s="2" t="s">
        <v>701</v>
      </c>
      <c r="R581" s="2" t="s">
        <v>707</v>
      </c>
      <c r="S581" s="2" t="s">
        <v>718</v>
      </c>
      <c r="T581" s="2" t="s">
        <v>729</v>
      </c>
      <c r="U581" t="e">
        <f>(AE581/#REF!)*100</f>
        <v>#REF!</v>
      </c>
      <c r="V581" s="2" t="s">
        <v>1311</v>
      </c>
      <c r="W581" s="7">
        <v>164.53</v>
      </c>
      <c r="X581" s="7">
        <v>327.72</v>
      </c>
      <c r="Y581" s="7">
        <f t="shared" si="114"/>
        <v>327.72</v>
      </c>
      <c r="Z581" s="7" t="str">
        <f t="shared" si="115"/>
        <v>Low</v>
      </c>
      <c r="AA581" s="13">
        <v>6.7000000000000004E-2</v>
      </c>
      <c r="AB581" s="13">
        <f t="shared" si="116"/>
        <v>6.7000000000000004E-2</v>
      </c>
      <c r="AC581" s="13" t="str">
        <f t="shared" si="117"/>
        <v>OK</v>
      </c>
      <c r="AD581" s="7">
        <v>14</v>
      </c>
      <c r="AE581" s="7">
        <f>Y581*AD581*(1-AB581)</f>
        <v>4280.6786400000001</v>
      </c>
      <c r="AF581" s="7">
        <f>W581*AD581</f>
        <v>2303.42</v>
      </c>
      <c r="AG581" s="7">
        <f t="shared" si="118"/>
        <v>1977.25864</v>
      </c>
      <c r="AH581" s="13">
        <f t="shared" si="119"/>
        <v>0.46190307805960412</v>
      </c>
    </row>
    <row r="582" spans="1:34" x14ac:dyDescent="0.35">
      <c r="A582" s="2" t="s">
        <v>594</v>
      </c>
      <c r="B582" s="5">
        <v>45849</v>
      </c>
      <c r="C582" s="5">
        <f>IF(H582&lt;B582,H582,B582)</f>
        <v>45849</v>
      </c>
      <c r="D582" s="5" t="str">
        <f t="shared" si="108"/>
        <v>Jul-2025</v>
      </c>
      <c r="E582" s="5" t="str">
        <f t="shared" si="109"/>
        <v>Jul</v>
      </c>
      <c r="F582" s="5" t="str">
        <f t="shared" si="110"/>
        <v>2025</v>
      </c>
      <c r="G582" s="5" t="str">
        <f t="shared" si="111"/>
        <v>Q3-2025</v>
      </c>
      <c r="H582" s="5">
        <v>45872</v>
      </c>
      <c r="I582" s="5">
        <f>IF(H582&lt;B582, B582+7, H582)</f>
        <v>45872</v>
      </c>
      <c r="J582" s="5" t="str">
        <f>IF(H582&lt;B582, "Invalid","Okay")</f>
        <v>Okay</v>
      </c>
      <c r="K582" s="16">
        <f>I582-C582</f>
        <v>23</v>
      </c>
      <c r="L582" s="16" t="str">
        <f t="shared" si="112"/>
        <v>Target Not Met</v>
      </c>
      <c r="M582" s="2" t="s">
        <v>646</v>
      </c>
      <c r="N582" s="2" t="s">
        <v>650</v>
      </c>
      <c r="O582" s="2" t="s">
        <v>678</v>
      </c>
      <c r="P582" s="29" t="str">
        <f t="shared" si="113"/>
        <v>Africa→Kenya→Nakuru</v>
      </c>
      <c r="Q582" s="2" t="s">
        <v>705</v>
      </c>
      <c r="R582" s="2" t="s">
        <v>707</v>
      </c>
      <c r="S582" s="2" t="s">
        <v>712</v>
      </c>
      <c r="T582" s="2" t="s">
        <v>730</v>
      </c>
      <c r="U582" t="e">
        <f>(AE582/#REF!)*100</f>
        <v>#REF!</v>
      </c>
      <c r="V582" s="2" t="s">
        <v>1312</v>
      </c>
      <c r="W582" s="7">
        <v>389.93</v>
      </c>
      <c r="X582" s="7">
        <v>486.13</v>
      </c>
      <c r="Y582" s="7">
        <f t="shared" si="114"/>
        <v>486.13</v>
      </c>
      <c r="Z582" s="7" t="str">
        <f t="shared" si="115"/>
        <v>Low</v>
      </c>
      <c r="AA582" s="13">
        <v>0.13200000000000001</v>
      </c>
      <c r="AB582" s="13">
        <f t="shared" si="116"/>
        <v>0.13200000000000001</v>
      </c>
      <c r="AC582" s="13" t="str">
        <f t="shared" si="117"/>
        <v>OK</v>
      </c>
      <c r="AD582" s="7">
        <v>17</v>
      </c>
      <c r="AE582" s="7">
        <f>Y582*AD582*(1-AB582)</f>
        <v>7173.3342799999991</v>
      </c>
      <c r="AF582" s="7">
        <f>W582*AD582</f>
        <v>6628.81</v>
      </c>
      <c r="AG582" s="7">
        <f t="shared" si="118"/>
        <v>544.52427999999873</v>
      </c>
      <c r="AH582" s="13">
        <f t="shared" si="119"/>
        <v>7.5909508569562828E-2</v>
      </c>
    </row>
    <row r="583" spans="1:34" x14ac:dyDescent="0.35">
      <c r="A583" s="2" t="s">
        <v>595</v>
      </c>
      <c r="B583" s="5">
        <v>45080</v>
      </c>
      <c r="C583" s="5">
        <f>IF(H583&lt;B583,H583,B583)</f>
        <v>45080</v>
      </c>
      <c r="D583" s="5" t="str">
        <f t="shared" si="108"/>
        <v>Jun-2023</v>
      </c>
      <c r="E583" s="5" t="str">
        <f t="shared" si="109"/>
        <v>Jun</v>
      </c>
      <c r="F583" s="5" t="str">
        <f t="shared" si="110"/>
        <v>2023</v>
      </c>
      <c r="G583" s="5" t="str">
        <f t="shared" si="111"/>
        <v>Q2-2023</v>
      </c>
      <c r="H583" s="5">
        <v>45108</v>
      </c>
      <c r="I583" s="5">
        <f>IF(H583&lt;B583, B583+7, H583)</f>
        <v>45108</v>
      </c>
      <c r="J583" s="5" t="str">
        <f>IF(H583&lt;B583, "Invalid","Okay")</f>
        <v>Okay</v>
      </c>
      <c r="K583" s="16">
        <f>I583-C583</f>
        <v>28</v>
      </c>
      <c r="L583" s="16" t="str">
        <f t="shared" si="112"/>
        <v>Target Not Met</v>
      </c>
      <c r="M583" s="2" t="s">
        <v>648</v>
      </c>
      <c r="N583" s="2" t="s">
        <v>655</v>
      </c>
      <c r="O583" s="2" t="s">
        <v>672</v>
      </c>
      <c r="P583" s="29" t="str">
        <f t="shared" si="113"/>
        <v>Americas→Brazil→Brasília</v>
      </c>
      <c r="Q583" s="2" t="s">
        <v>705</v>
      </c>
      <c r="R583" s="2" t="s">
        <v>709</v>
      </c>
      <c r="S583" s="2" t="s">
        <v>720</v>
      </c>
      <c r="T583" s="2" t="s">
        <v>727</v>
      </c>
      <c r="U583" t="e">
        <f>(AE583/#REF!)*100</f>
        <v>#REF!</v>
      </c>
      <c r="V583" s="2" t="s">
        <v>1313</v>
      </c>
      <c r="W583" s="7">
        <v>860.4</v>
      </c>
      <c r="X583" s="7">
        <v>2066.6</v>
      </c>
      <c r="Y583" s="7">
        <f t="shared" si="114"/>
        <v>2066.6</v>
      </c>
      <c r="Z583" s="7" t="str">
        <f t="shared" si="115"/>
        <v>High</v>
      </c>
      <c r="AA583" s="13">
        <v>0.01</v>
      </c>
      <c r="AB583" s="13">
        <f t="shared" si="116"/>
        <v>0.01</v>
      </c>
      <c r="AC583" s="13" t="str">
        <f t="shared" si="117"/>
        <v>OK</v>
      </c>
      <c r="AD583" s="7">
        <v>3</v>
      </c>
      <c r="AE583" s="7">
        <f>Y583*AD583*(1-AB583)</f>
        <v>6137.8019999999988</v>
      </c>
      <c r="AF583" s="7">
        <f>W583*AD583</f>
        <v>2581.1999999999998</v>
      </c>
      <c r="AG583" s="7">
        <f t="shared" si="118"/>
        <v>3556.601999999999</v>
      </c>
      <c r="AH583" s="13">
        <f t="shared" si="119"/>
        <v>0.57945857491004105</v>
      </c>
    </row>
    <row r="584" spans="1:34" x14ac:dyDescent="0.35">
      <c r="A584" s="2" t="s">
        <v>596</v>
      </c>
      <c r="B584" s="5">
        <v>44955</v>
      </c>
      <c r="C584" s="5">
        <f>IF(H584&lt;B584,H584,B584)</f>
        <v>44955</v>
      </c>
      <c r="D584" s="5" t="str">
        <f t="shared" si="108"/>
        <v>Jan-2023</v>
      </c>
      <c r="E584" s="5" t="str">
        <f t="shared" si="109"/>
        <v>Jan</v>
      </c>
      <c r="F584" s="5" t="str">
        <f t="shared" si="110"/>
        <v>2023</v>
      </c>
      <c r="G584" s="5" t="str">
        <f t="shared" si="111"/>
        <v>Q1-2023</v>
      </c>
      <c r="H584" s="5">
        <v>44963</v>
      </c>
      <c r="I584" s="5">
        <f>IF(H584&lt;B584, B584+7, H584)</f>
        <v>44963</v>
      </c>
      <c r="J584" s="5" t="str">
        <f>IF(H584&lt;B584, "Invalid","Okay")</f>
        <v>Okay</v>
      </c>
      <c r="K584" s="16">
        <f>I584-C584</f>
        <v>8</v>
      </c>
      <c r="L584" s="16" t="str">
        <f t="shared" si="112"/>
        <v>Target Not Met</v>
      </c>
      <c r="M584" s="2" t="s">
        <v>648</v>
      </c>
      <c r="N584" s="2" t="s">
        <v>655</v>
      </c>
      <c r="O584" s="2" t="s">
        <v>672</v>
      </c>
      <c r="P584" s="29" t="str">
        <f t="shared" si="113"/>
        <v>Americas→Brazil→Brasília</v>
      </c>
      <c r="Q584" s="2" t="s">
        <v>701</v>
      </c>
      <c r="R584" s="2" t="s">
        <v>709</v>
      </c>
      <c r="S584" s="2" t="s">
        <v>726</v>
      </c>
      <c r="T584" s="2" t="s">
        <v>732</v>
      </c>
      <c r="U584" t="e">
        <f>(AE584/#REF!)*100</f>
        <v>#REF!</v>
      </c>
      <c r="V584" s="2" t="s">
        <v>1314</v>
      </c>
      <c r="W584" s="7">
        <v>41.84</v>
      </c>
      <c r="X584" s="7">
        <v>86.2</v>
      </c>
      <c r="Y584" s="7">
        <f t="shared" si="114"/>
        <v>86.2</v>
      </c>
      <c r="Z584" s="7" t="str">
        <f t="shared" si="115"/>
        <v>Low</v>
      </c>
      <c r="AA584" s="13">
        <v>0.22600000000000001</v>
      </c>
      <c r="AB584" s="13">
        <f t="shared" si="116"/>
        <v>0.22600000000000001</v>
      </c>
      <c r="AC584" s="13" t="str">
        <f t="shared" si="117"/>
        <v>OK</v>
      </c>
      <c r="AD584" s="7">
        <v>27</v>
      </c>
      <c r="AE584" s="7">
        <f>Y584*AD584*(1-AB584)</f>
        <v>1801.4076000000002</v>
      </c>
      <c r="AF584" s="7">
        <f>W584*AD584</f>
        <v>1129.68</v>
      </c>
      <c r="AG584" s="7">
        <f t="shared" si="118"/>
        <v>671.72760000000017</v>
      </c>
      <c r="AH584" s="13">
        <f t="shared" si="119"/>
        <v>0.37289039970742882</v>
      </c>
    </row>
    <row r="585" spans="1:34" x14ac:dyDescent="0.35">
      <c r="A585" s="2" t="s">
        <v>597</v>
      </c>
      <c r="B585" s="5">
        <v>45541</v>
      </c>
      <c r="C585" s="5">
        <f>IF(H585&lt;B585,H585,B585)</f>
        <v>45539</v>
      </c>
      <c r="D585" s="5" t="str">
        <f t="shared" si="108"/>
        <v>Sep-2024</v>
      </c>
      <c r="E585" s="5" t="str">
        <f t="shared" si="109"/>
        <v>Sep</v>
      </c>
      <c r="F585" s="5" t="str">
        <f t="shared" si="110"/>
        <v>2024</v>
      </c>
      <c r="G585" s="5" t="str">
        <f t="shared" si="111"/>
        <v>Q3-2024</v>
      </c>
      <c r="H585" s="5">
        <v>45539</v>
      </c>
      <c r="I585" s="5">
        <f>IF(H585&lt;B585, B585+7, H585)</f>
        <v>45548</v>
      </c>
      <c r="J585" s="5" t="str">
        <f>IF(H585&lt;B585, "Invalid","Okay")</f>
        <v>Invalid</v>
      </c>
      <c r="K585" s="16">
        <f>I585-C585</f>
        <v>9</v>
      </c>
      <c r="L585" s="16" t="str">
        <f t="shared" si="112"/>
        <v>Target Not Met</v>
      </c>
      <c r="M585" s="2" t="s">
        <v>647</v>
      </c>
      <c r="N585" s="2" t="s">
        <v>652</v>
      </c>
      <c r="O585" s="2" t="s">
        <v>666</v>
      </c>
      <c r="P585" s="29" t="str">
        <f t="shared" si="113"/>
        <v>Asia→Japan→Osaka</v>
      </c>
      <c r="Q585" s="2" t="s">
        <v>701</v>
      </c>
      <c r="R585" s="2" t="s">
        <v>711</v>
      </c>
      <c r="S585" s="2" t="s">
        <v>720</v>
      </c>
      <c r="T585" s="2" t="s">
        <v>731</v>
      </c>
      <c r="U585" t="e">
        <f>(AE585/#REF!)*100</f>
        <v>#REF!</v>
      </c>
      <c r="V585" s="2" t="s">
        <v>1315</v>
      </c>
      <c r="W585" s="7">
        <v>1368.17</v>
      </c>
      <c r="X585" s="7">
        <v>2307.75</v>
      </c>
      <c r="Y585" s="7">
        <f t="shared" si="114"/>
        <v>2307.75</v>
      </c>
      <c r="Z585" s="7" t="str">
        <f t="shared" si="115"/>
        <v>High</v>
      </c>
      <c r="AA585" s="13">
        <v>0.16300000000000001</v>
      </c>
      <c r="AB585" s="13">
        <f t="shared" si="116"/>
        <v>0.16300000000000001</v>
      </c>
      <c r="AC585" s="13" t="str">
        <f t="shared" si="117"/>
        <v>OK</v>
      </c>
      <c r="AD585" s="7">
        <v>21</v>
      </c>
      <c r="AE585" s="7">
        <f>Y585*AD585*(1-AB585)</f>
        <v>40563.321749999996</v>
      </c>
      <c r="AF585" s="7">
        <f>W585*AD585</f>
        <v>28731.57</v>
      </c>
      <c r="AG585" s="7">
        <f t="shared" si="118"/>
        <v>11831.751749999996</v>
      </c>
      <c r="AH585" s="13">
        <f t="shared" si="119"/>
        <v>0.29168596750831921</v>
      </c>
    </row>
    <row r="586" spans="1:34" x14ac:dyDescent="0.35">
      <c r="A586" s="2" t="s">
        <v>598</v>
      </c>
      <c r="B586" s="5">
        <v>45507</v>
      </c>
      <c r="C586" s="5">
        <f>IF(H586&lt;B586,H586,B586)</f>
        <v>45507</v>
      </c>
      <c r="D586" s="5" t="str">
        <f t="shared" si="108"/>
        <v>Aug-2024</v>
      </c>
      <c r="E586" s="5" t="str">
        <f t="shared" si="109"/>
        <v>Aug</v>
      </c>
      <c r="F586" s="5" t="str">
        <f t="shared" si="110"/>
        <v>2024</v>
      </c>
      <c r="G586" s="5" t="str">
        <f t="shared" si="111"/>
        <v>Q3-2024</v>
      </c>
      <c r="H586" s="5">
        <v>45513</v>
      </c>
      <c r="I586" s="5">
        <f>IF(H586&lt;B586, B586+7, H586)</f>
        <v>45513</v>
      </c>
      <c r="J586" s="5" t="str">
        <f>IF(H586&lt;B586, "Invalid","Okay")</f>
        <v>Okay</v>
      </c>
      <c r="K586" s="16">
        <f>I586-C586</f>
        <v>6</v>
      </c>
      <c r="L586" s="16" t="str">
        <f t="shared" si="112"/>
        <v>Target Met</v>
      </c>
      <c r="M586" s="2" t="s">
        <v>646</v>
      </c>
      <c r="N586" s="2" t="s">
        <v>650</v>
      </c>
      <c r="O586" s="2" t="s">
        <v>675</v>
      </c>
      <c r="P586" s="29" t="str">
        <f t="shared" si="113"/>
        <v>Africa→Kenya→Mombasa</v>
      </c>
      <c r="Q586" s="2" t="s">
        <v>704</v>
      </c>
      <c r="R586" s="2" t="s">
        <v>709</v>
      </c>
      <c r="S586" s="2" t="s">
        <v>722</v>
      </c>
      <c r="T586" s="2" t="s">
        <v>731</v>
      </c>
      <c r="U586" t="e">
        <f>(AE586/#REF!)*100</f>
        <v>#REF!</v>
      </c>
      <c r="V586" s="2" t="s">
        <v>1316</v>
      </c>
      <c r="W586" s="7">
        <v>643.21</v>
      </c>
      <c r="X586" s="7">
        <v>1112.81</v>
      </c>
      <c r="Y586" s="7">
        <f t="shared" si="114"/>
        <v>1112.81</v>
      </c>
      <c r="Z586" s="7" t="str">
        <f t="shared" si="115"/>
        <v>Low</v>
      </c>
      <c r="AA586" s="13">
        <v>0.14099999999999999</v>
      </c>
      <c r="AB586" s="13">
        <f t="shared" si="116"/>
        <v>0.14099999999999999</v>
      </c>
      <c r="AC586" s="13" t="str">
        <f t="shared" si="117"/>
        <v>OK</v>
      </c>
      <c r="AD586" s="7">
        <v>4</v>
      </c>
      <c r="AE586" s="7">
        <f>Y586*AD586*(1-AB586)</f>
        <v>3823.6151599999998</v>
      </c>
      <c r="AF586" s="7">
        <f>W586*AD586</f>
        <v>2572.84</v>
      </c>
      <c r="AG586" s="7">
        <f t="shared" si="118"/>
        <v>1250.7751599999997</v>
      </c>
      <c r="AH586" s="13">
        <f t="shared" si="119"/>
        <v>0.32711847496702562</v>
      </c>
    </row>
    <row r="587" spans="1:34" x14ac:dyDescent="0.35">
      <c r="A587" s="2" t="s">
        <v>599</v>
      </c>
      <c r="B587" s="5">
        <v>45764</v>
      </c>
      <c r="C587" s="5">
        <f>IF(H587&lt;B587,H587,B587)</f>
        <v>45764</v>
      </c>
      <c r="D587" s="5" t="str">
        <f t="shared" si="108"/>
        <v>Apr-2025</v>
      </c>
      <c r="E587" s="5" t="str">
        <f t="shared" si="109"/>
        <v>Apr</v>
      </c>
      <c r="F587" s="5" t="str">
        <f t="shared" si="110"/>
        <v>2025</v>
      </c>
      <c r="G587" s="5" t="str">
        <f t="shared" si="111"/>
        <v>Q2-2025</v>
      </c>
      <c r="H587" s="5">
        <v>45764</v>
      </c>
      <c r="I587" s="5">
        <f>IF(H587&lt;B587, B587+7, H587)</f>
        <v>45764</v>
      </c>
      <c r="J587" s="5" t="str">
        <f>IF(H587&lt;B587, "Invalid","Okay")</f>
        <v>Okay</v>
      </c>
      <c r="K587" s="16">
        <f>I587-C587</f>
        <v>0</v>
      </c>
      <c r="L587" s="16" t="str">
        <f t="shared" si="112"/>
        <v>Target Met</v>
      </c>
      <c r="M587" s="2" t="s">
        <v>648</v>
      </c>
      <c r="N587" s="2" t="s">
        <v>655</v>
      </c>
      <c r="O587" s="2" t="s">
        <v>670</v>
      </c>
      <c r="P587" s="29" t="str">
        <f t="shared" si="113"/>
        <v>Americas→Brazil→São Paulo</v>
      </c>
      <c r="Q587" s="2" t="s">
        <v>701</v>
      </c>
      <c r="R587" s="2" t="s">
        <v>710</v>
      </c>
      <c r="S587" s="2" t="s">
        <v>716</v>
      </c>
      <c r="T587" s="2" t="s">
        <v>730</v>
      </c>
      <c r="U587" t="e">
        <f>(AE587/#REF!)*100</f>
        <v>#REF!</v>
      </c>
      <c r="V587" s="2" t="s">
        <v>1317</v>
      </c>
      <c r="W587" s="7">
        <v>719.41</v>
      </c>
      <c r="X587" s="7">
        <v>1125.99</v>
      </c>
      <c r="Y587" s="7">
        <f t="shared" si="114"/>
        <v>1125.99</v>
      </c>
      <c r="Z587" s="7" t="str">
        <f t="shared" si="115"/>
        <v>Low</v>
      </c>
      <c r="AA587" s="13">
        <v>4.1000000000000002E-2</v>
      </c>
      <c r="AB587" s="13">
        <f t="shared" si="116"/>
        <v>4.1000000000000002E-2</v>
      </c>
      <c r="AC587" s="13" t="str">
        <f t="shared" si="117"/>
        <v>OK</v>
      </c>
      <c r="AD587" s="7">
        <v>21</v>
      </c>
      <c r="AE587" s="7">
        <f>Y587*AD587*(1-AB587)</f>
        <v>22676.312610000001</v>
      </c>
      <c r="AF587" s="7">
        <f>W587*AD587</f>
        <v>15107.609999999999</v>
      </c>
      <c r="AG587" s="7">
        <f t="shared" si="118"/>
        <v>7568.7026100000021</v>
      </c>
      <c r="AH587" s="13">
        <f t="shared" si="119"/>
        <v>0.33377131194876403</v>
      </c>
    </row>
    <row r="588" spans="1:34" x14ac:dyDescent="0.35">
      <c r="A588" s="2" t="s">
        <v>600</v>
      </c>
      <c r="B588" s="5">
        <v>45049</v>
      </c>
      <c r="C588" s="5">
        <f>IF(H588&lt;B588,H588,B588)</f>
        <v>45049</v>
      </c>
      <c r="D588" s="5" t="str">
        <f t="shared" si="108"/>
        <v>May-2023</v>
      </c>
      <c r="E588" s="5" t="str">
        <f t="shared" si="109"/>
        <v>May</v>
      </c>
      <c r="F588" s="5" t="str">
        <f t="shared" si="110"/>
        <v>2023</v>
      </c>
      <c r="G588" s="5" t="str">
        <f t="shared" si="111"/>
        <v>Q2-2023</v>
      </c>
      <c r="H588" s="5">
        <v>45062</v>
      </c>
      <c r="I588" s="5">
        <f>IF(H588&lt;B588, B588+7, H588)</f>
        <v>45062</v>
      </c>
      <c r="J588" s="5" t="str">
        <f>IF(H588&lt;B588, "Invalid","Okay")</f>
        <v>Okay</v>
      </c>
      <c r="K588" s="16">
        <f>I588-C588</f>
        <v>13</v>
      </c>
      <c r="L588" s="16" t="str">
        <f t="shared" si="112"/>
        <v>Target Not Met</v>
      </c>
      <c r="M588" s="2" t="s">
        <v>648</v>
      </c>
      <c r="N588" s="2" t="s">
        <v>660</v>
      </c>
      <c r="O588" s="2" t="s">
        <v>700</v>
      </c>
      <c r="P588" s="29" t="str">
        <f t="shared" si="113"/>
        <v>Americas→USA→New York</v>
      </c>
      <c r="Q588" s="2" t="s">
        <v>701</v>
      </c>
      <c r="R588" s="2" t="s">
        <v>709</v>
      </c>
      <c r="S588" s="2" t="s">
        <v>716</v>
      </c>
      <c r="T588" s="2" t="s">
        <v>730</v>
      </c>
      <c r="U588" t="e">
        <f>(AE588/#REF!)*100</f>
        <v>#REF!</v>
      </c>
      <c r="V588" s="2" t="s">
        <v>1318</v>
      </c>
      <c r="W588" s="7">
        <v>64.5</v>
      </c>
      <c r="X588" s="7">
        <v>123.62</v>
      </c>
      <c r="Y588" s="7">
        <f t="shared" si="114"/>
        <v>123.62</v>
      </c>
      <c r="Z588" s="7" t="str">
        <f t="shared" si="115"/>
        <v>Low</v>
      </c>
      <c r="AA588" s="13">
        <v>0</v>
      </c>
      <c r="AB588" s="13">
        <f t="shared" si="116"/>
        <v>0</v>
      </c>
      <c r="AC588" s="13" t="str">
        <f t="shared" si="117"/>
        <v>OK</v>
      </c>
      <c r="AD588" s="7">
        <v>3</v>
      </c>
      <c r="AE588" s="7">
        <f>Y588*AD588*(1-AB588)</f>
        <v>370.86</v>
      </c>
      <c r="AF588" s="7">
        <f>W588*AD588</f>
        <v>193.5</v>
      </c>
      <c r="AG588" s="7">
        <f t="shared" si="118"/>
        <v>177.36</v>
      </c>
      <c r="AH588" s="13">
        <f t="shared" si="119"/>
        <v>0.47823976702798904</v>
      </c>
    </row>
    <row r="589" spans="1:34" x14ac:dyDescent="0.35">
      <c r="A589" s="2" t="s">
        <v>601</v>
      </c>
      <c r="B589" s="5">
        <v>45364</v>
      </c>
      <c r="C589" s="5">
        <f>IF(H589&lt;B589,H589,B589)</f>
        <v>45364</v>
      </c>
      <c r="D589" s="5" t="str">
        <f t="shared" si="108"/>
        <v>Mar-2024</v>
      </c>
      <c r="E589" s="5" t="str">
        <f t="shared" si="109"/>
        <v>Mar</v>
      </c>
      <c r="F589" s="5" t="str">
        <f t="shared" si="110"/>
        <v>2024</v>
      </c>
      <c r="G589" s="5" t="str">
        <f t="shared" si="111"/>
        <v>Q1-2024</v>
      </c>
      <c r="H589" s="5">
        <v>45388</v>
      </c>
      <c r="I589" s="5">
        <f>IF(H589&lt;B589, B589+7, H589)</f>
        <v>45388</v>
      </c>
      <c r="J589" s="5" t="str">
        <f>IF(H589&lt;B589, "Invalid","Okay")</f>
        <v>Okay</v>
      </c>
      <c r="K589" s="16">
        <f>I589-C589</f>
        <v>24</v>
      </c>
      <c r="L589" s="16" t="str">
        <f t="shared" si="112"/>
        <v>Target Not Met</v>
      </c>
      <c r="M589" s="2" t="s">
        <v>646</v>
      </c>
      <c r="N589" s="2" t="s">
        <v>651</v>
      </c>
      <c r="O589" s="2" t="s">
        <v>669</v>
      </c>
      <c r="P589" s="29" t="str">
        <f t="shared" si="113"/>
        <v>Africa→Nigeria→Abuja</v>
      </c>
      <c r="Q589" s="2" t="s">
        <v>704</v>
      </c>
      <c r="R589" s="2" t="s">
        <v>710</v>
      </c>
      <c r="S589" s="2" t="s">
        <v>716</v>
      </c>
      <c r="T589" s="2" t="s">
        <v>727</v>
      </c>
      <c r="U589" t="e">
        <f>(AE589/#REF!)*100</f>
        <v>#REF!</v>
      </c>
      <c r="V589" s="2" t="s">
        <v>1319</v>
      </c>
      <c r="W589" s="7">
        <v>1232.78</v>
      </c>
      <c r="X589" s="7">
        <v>1731.75</v>
      </c>
      <c r="Y589" s="7">
        <f t="shared" si="114"/>
        <v>1731.75</v>
      </c>
      <c r="Z589" s="7" t="str">
        <f t="shared" si="115"/>
        <v>Medium</v>
      </c>
      <c r="AA589" s="13">
        <v>9.2999999999999999E-2</v>
      </c>
      <c r="AB589" s="13">
        <f t="shared" si="116"/>
        <v>9.2999999999999999E-2</v>
      </c>
      <c r="AC589" s="13" t="str">
        <f t="shared" si="117"/>
        <v>OK</v>
      </c>
      <c r="AD589" s="7">
        <v>16</v>
      </c>
      <c r="AE589" s="7">
        <f>Y589*AD589*(1-AB589)</f>
        <v>25131.155999999999</v>
      </c>
      <c r="AF589" s="7">
        <f>W589*AD589</f>
        <v>19724.48</v>
      </c>
      <c r="AG589" s="7">
        <f t="shared" si="118"/>
        <v>5406.6759999999995</v>
      </c>
      <c r="AH589" s="13">
        <f t="shared" si="119"/>
        <v>0.21513837246484005</v>
      </c>
    </row>
    <row r="590" spans="1:34" x14ac:dyDescent="0.35">
      <c r="A590" s="2" t="s">
        <v>602</v>
      </c>
      <c r="B590" s="5">
        <v>45459</v>
      </c>
      <c r="C590" s="5">
        <f>IF(H590&lt;B590,H590,B590)</f>
        <v>45459</v>
      </c>
      <c r="D590" s="5" t="str">
        <f t="shared" si="108"/>
        <v>Jun-2024</v>
      </c>
      <c r="E590" s="5" t="str">
        <f t="shared" si="109"/>
        <v>Jun</v>
      </c>
      <c r="F590" s="5" t="str">
        <f t="shared" si="110"/>
        <v>2024</v>
      </c>
      <c r="G590" s="5" t="str">
        <f t="shared" si="111"/>
        <v>Q2-2024</v>
      </c>
      <c r="H590" s="5">
        <v>45464</v>
      </c>
      <c r="I590" s="5">
        <f>IF(H590&lt;B590, B590+7, H590)</f>
        <v>45464</v>
      </c>
      <c r="J590" s="5" t="str">
        <f>IF(H590&lt;B590, "Invalid","Okay")</f>
        <v>Okay</v>
      </c>
      <c r="K590" s="16">
        <f>I590-C590</f>
        <v>5</v>
      </c>
      <c r="L590" s="16" t="str">
        <f t="shared" si="112"/>
        <v>Target Met</v>
      </c>
      <c r="M590" s="2" t="s">
        <v>647</v>
      </c>
      <c r="N590" s="2" t="s">
        <v>652</v>
      </c>
      <c r="O590" s="2" t="s">
        <v>689</v>
      </c>
      <c r="P590" s="29" t="str">
        <f t="shared" si="113"/>
        <v>Asia→Japan→Tokyo</v>
      </c>
      <c r="Q590" s="2" t="s">
        <v>705</v>
      </c>
      <c r="R590" s="2" t="s">
        <v>710</v>
      </c>
      <c r="S590" s="2" t="s">
        <v>721</v>
      </c>
      <c r="T590" s="2" t="s">
        <v>730</v>
      </c>
      <c r="U590" t="e">
        <f>(AE590/#REF!)*100</f>
        <v>#REF!</v>
      </c>
      <c r="V590" s="2" t="s">
        <v>1320</v>
      </c>
      <c r="W590" s="7">
        <v>1367.13</v>
      </c>
      <c r="X590" s="7">
        <v>3062.01</v>
      </c>
      <c r="Y590" s="7">
        <f t="shared" si="114"/>
        <v>3062.01</v>
      </c>
      <c r="Z590" s="7" t="str">
        <f t="shared" si="115"/>
        <v>High</v>
      </c>
      <c r="AA590" s="13">
        <v>0.10299999999999999</v>
      </c>
      <c r="AB590" s="13">
        <f t="shared" si="116"/>
        <v>0.10299999999999999</v>
      </c>
      <c r="AC590" s="13" t="str">
        <f t="shared" si="117"/>
        <v>OK</v>
      </c>
      <c r="AD590" s="7">
        <v>25</v>
      </c>
      <c r="AE590" s="7">
        <f>Y590*AD590*(1-AB590)</f>
        <v>68665.574250000005</v>
      </c>
      <c r="AF590" s="7">
        <f>W590*AD590</f>
        <v>34178.25</v>
      </c>
      <c r="AG590" s="7">
        <f t="shared" si="118"/>
        <v>34487.324250000005</v>
      </c>
      <c r="AH590" s="13">
        <f t="shared" si="119"/>
        <v>0.50225057645971705</v>
      </c>
    </row>
    <row r="591" spans="1:34" x14ac:dyDescent="0.35">
      <c r="A591" s="2" t="s">
        <v>603</v>
      </c>
      <c r="B591" s="5">
        <v>45703</v>
      </c>
      <c r="C591" s="5">
        <f>IF(H591&lt;B591,H591,B591)</f>
        <v>45703</v>
      </c>
      <c r="D591" s="5" t="str">
        <f t="shared" si="108"/>
        <v>Feb-2025</v>
      </c>
      <c r="E591" s="5" t="str">
        <f t="shared" si="109"/>
        <v>Feb</v>
      </c>
      <c r="F591" s="5" t="str">
        <f t="shared" si="110"/>
        <v>2025</v>
      </c>
      <c r="G591" s="5" t="str">
        <f t="shared" si="111"/>
        <v>Q1-2025</v>
      </c>
      <c r="H591" s="5">
        <v>45715</v>
      </c>
      <c r="I591" s="5">
        <f>IF(H591&lt;B591, B591+7, H591)</f>
        <v>45715</v>
      </c>
      <c r="J591" s="5" t="str">
        <f>IF(H591&lt;B591, "Invalid","Okay")</f>
        <v>Okay</v>
      </c>
      <c r="K591" s="16">
        <f>I591-C591</f>
        <v>12</v>
      </c>
      <c r="L591" s="16" t="str">
        <f t="shared" si="112"/>
        <v>Target Not Met</v>
      </c>
      <c r="M591" s="2" t="s">
        <v>649</v>
      </c>
      <c r="N591" s="2" t="s">
        <v>657</v>
      </c>
      <c r="O591" s="2" t="s">
        <v>679</v>
      </c>
      <c r="P591" s="29" t="str">
        <f t="shared" si="113"/>
        <v>Europe→France→Lyon</v>
      </c>
      <c r="Q591" s="2" t="s">
        <v>703</v>
      </c>
      <c r="R591" s="2" t="s">
        <v>711</v>
      </c>
      <c r="S591" s="2" t="s">
        <v>723</v>
      </c>
      <c r="T591" s="2" t="s">
        <v>733</v>
      </c>
      <c r="U591" t="e">
        <f>(AE591/#REF!)*100</f>
        <v>#REF!</v>
      </c>
      <c r="V591" s="2" t="s">
        <v>1321</v>
      </c>
      <c r="W591" s="7">
        <v>1027.26</v>
      </c>
      <c r="X591" s="7">
        <v>2200.41</v>
      </c>
      <c r="Y591" s="7">
        <f t="shared" si="114"/>
        <v>2200.41</v>
      </c>
      <c r="Z591" s="7" t="str">
        <f t="shared" si="115"/>
        <v>High</v>
      </c>
      <c r="AA591" s="13">
        <v>8.7999999999999995E-2</v>
      </c>
      <c r="AB591" s="13">
        <f t="shared" si="116"/>
        <v>8.7999999999999995E-2</v>
      </c>
      <c r="AC591" s="13" t="str">
        <f t="shared" si="117"/>
        <v>OK</v>
      </c>
      <c r="AD591" s="7">
        <v>6</v>
      </c>
      <c r="AE591" s="7">
        <f>Y591*AD591*(1-AB591)</f>
        <v>12040.64352</v>
      </c>
      <c r="AF591" s="7">
        <f>W591*AD591</f>
        <v>6163.5599999999995</v>
      </c>
      <c r="AG591" s="7">
        <f t="shared" si="118"/>
        <v>5877.0835200000001</v>
      </c>
      <c r="AH591" s="13">
        <f t="shared" si="119"/>
        <v>0.48810377204822358</v>
      </c>
    </row>
    <row r="592" spans="1:34" x14ac:dyDescent="0.35">
      <c r="A592" s="2" t="s">
        <v>604</v>
      </c>
      <c r="B592" s="5">
        <v>45019</v>
      </c>
      <c r="C592" s="5">
        <f>IF(H592&lt;B592,H592,B592)</f>
        <v>45019</v>
      </c>
      <c r="D592" s="5" t="str">
        <f t="shared" si="108"/>
        <v>Apr-2023</v>
      </c>
      <c r="E592" s="5" t="str">
        <f t="shared" si="109"/>
        <v>Apr</v>
      </c>
      <c r="F592" s="5" t="str">
        <f t="shared" si="110"/>
        <v>2023</v>
      </c>
      <c r="G592" s="5" t="str">
        <f t="shared" si="111"/>
        <v>Q2-2023</v>
      </c>
      <c r="H592" s="5">
        <v>45032</v>
      </c>
      <c r="I592" s="5">
        <f>IF(H592&lt;B592, B592+7, H592)</f>
        <v>45032</v>
      </c>
      <c r="J592" s="5" t="str">
        <f>IF(H592&lt;B592, "Invalid","Okay")</f>
        <v>Okay</v>
      </c>
      <c r="K592" s="16">
        <f>I592-C592</f>
        <v>13</v>
      </c>
      <c r="L592" s="16" t="str">
        <f t="shared" si="112"/>
        <v>Target Not Met</v>
      </c>
      <c r="M592" s="2" t="s">
        <v>649</v>
      </c>
      <c r="N592" s="2" t="s">
        <v>657</v>
      </c>
      <c r="O592" s="2" t="s">
        <v>673</v>
      </c>
      <c r="P592" s="29" t="str">
        <f t="shared" si="113"/>
        <v>Europe→France→Marseille</v>
      </c>
      <c r="Q592" s="2" t="s">
        <v>703</v>
      </c>
      <c r="R592" s="2" t="s">
        <v>709</v>
      </c>
      <c r="S592" s="2" t="s">
        <v>724</v>
      </c>
      <c r="T592" s="2" t="s">
        <v>733</v>
      </c>
      <c r="U592" t="e">
        <f>(AE592/#REF!)*100</f>
        <v>#REF!</v>
      </c>
      <c r="V592" s="2" t="s">
        <v>1322</v>
      </c>
      <c r="W592" s="7">
        <v>790.54</v>
      </c>
      <c r="X592" s="7">
        <v>601.49</v>
      </c>
      <c r="Y592" s="7">
        <f t="shared" si="114"/>
        <v>601.49</v>
      </c>
      <c r="Z592" s="7" t="str">
        <f t="shared" si="115"/>
        <v>Low</v>
      </c>
      <c r="AA592" s="13">
        <v>0</v>
      </c>
      <c r="AB592" s="13">
        <f t="shared" si="116"/>
        <v>0</v>
      </c>
      <c r="AC592" s="13" t="str">
        <f t="shared" si="117"/>
        <v>OK</v>
      </c>
      <c r="AD592" s="7">
        <v>15</v>
      </c>
      <c r="AE592" s="7">
        <f>Y592*AD592*(1-AB592)</f>
        <v>9022.35</v>
      </c>
      <c r="AF592" s="7">
        <f>W592*AD592</f>
        <v>11858.099999999999</v>
      </c>
      <c r="AG592" s="7">
        <f t="shared" si="118"/>
        <v>-2835.7499999999982</v>
      </c>
      <c r="AH592" s="13">
        <f t="shared" si="119"/>
        <v>-0.31430281467688553</v>
      </c>
    </row>
    <row r="593" spans="1:34" x14ac:dyDescent="0.35">
      <c r="A593" s="2" t="s">
        <v>605</v>
      </c>
      <c r="B593" s="5">
        <v>45899</v>
      </c>
      <c r="C593" s="5">
        <f>IF(H593&lt;B593,H593,B593)</f>
        <v>45899</v>
      </c>
      <c r="D593" s="5" t="str">
        <f t="shared" si="108"/>
        <v>Aug-2025</v>
      </c>
      <c r="E593" s="5" t="str">
        <f t="shared" si="109"/>
        <v>Aug</v>
      </c>
      <c r="F593" s="5" t="str">
        <f t="shared" si="110"/>
        <v>2025</v>
      </c>
      <c r="G593" s="5" t="str">
        <f t="shared" si="111"/>
        <v>Q3-2025</v>
      </c>
      <c r="H593" s="5">
        <v>45922</v>
      </c>
      <c r="I593" s="5">
        <f>IF(H593&lt;B593, B593+7, H593)</f>
        <v>45922</v>
      </c>
      <c r="J593" s="5" t="str">
        <f>IF(H593&lt;B593, "Invalid","Okay")</f>
        <v>Okay</v>
      </c>
      <c r="K593" s="16">
        <f>I593-C593</f>
        <v>23</v>
      </c>
      <c r="L593" s="16" t="str">
        <f t="shared" si="112"/>
        <v>Target Not Met</v>
      </c>
      <c r="M593" s="2" t="s">
        <v>649</v>
      </c>
      <c r="N593" s="2" t="s">
        <v>657</v>
      </c>
      <c r="O593" s="2" t="s">
        <v>673</v>
      </c>
      <c r="P593" s="29" t="str">
        <f t="shared" si="113"/>
        <v>Europe→France→Marseille</v>
      </c>
      <c r="Q593" s="2" t="s">
        <v>701</v>
      </c>
      <c r="R593" s="2" t="s">
        <v>711</v>
      </c>
      <c r="S593" s="2" t="s">
        <v>718</v>
      </c>
      <c r="T593" s="2" t="s">
        <v>727</v>
      </c>
      <c r="U593" t="e">
        <f>(AE593/#REF!)*100</f>
        <v>#REF!</v>
      </c>
      <c r="V593" s="2" t="s">
        <v>1323</v>
      </c>
      <c r="W593" s="7">
        <v>663.9</v>
      </c>
      <c r="X593" s="7">
        <v>947.77</v>
      </c>
      <c r="Y593" s="7">
        <f t="shared" si="114"/>
        <v>947.77</v>
      </c>
      <c r="Z593" s="7" t="str">
        <f t="shared" si="115"/>
        <v>Low</v>
      </c>
      <c r="AA593" s="13">
        <v>0.17399999999999999</v>
      </c>
      <c r="AB593" s="13">
        <f t="shared" si="116"/>
        <v>0.17399999999999999</v>
      </c>
      <c r="AC593" s="13" t="str">
        <f t="shared" si="117"/>
        <v>OK</v>
      </c>
      <c r="AD593" s="7">
        <v>15</v>
      </c>
      <c r="AE593" s="7">
        <f>Y593*AD593*(1-AB593)</f>
        <v>11742.8703</v>
      </c>
      <c r="AF593" s="7">
        <f>W593*AD593</f>
        <v>9958.5</v>
      </c>
      <c r="AG593" s="7">
        <f t="shared" si="118"/>
        <v>1784.3703000000005</v>
      </c>
      <c r="AH593" s="13">
        <f t="shared" si="119"/>
        <v>0.1519535049280073</v>
      </c>
    </row>
    <row r="594" spans="1:34" x14ac:dyDescent="0.35">
      <c r="A594" s="2" t="s">
        <v>606</v>
      </c>
      <c r="B594" s="5">
        <v>44984</v>
      </c>
      <c r="C594" s="5">
        <f>IF(H594&lt;B594,H594,B594)</f>
        <v>44983</v>
      </c>
      <c r="D594" s="5" t="str">
        <f t="shared" si="108"/>
        <v>Feb-2023</v>
      </c>
      <c r="E594" s="5" t="str">
        <f t="shared" si="109"/>
        <v>Feb</v>
      </c>
      <c r="F594" s="5" t="str">
        <f t="shared" si="110"/>
        <v>2023</v>
      </c>
      <c r="G594" s="5" t="str">
        <f t="shared" si="111"/>
        <v>Q1-2023</v>
      </c>
      <c r="H594" s="5">
        <v>44983</v>
      </c>
      <c r="I594" s="5">
        <f>IF(H594&lt;B594, B594+7, H594)</f>
        <v>44991</v>
      </c>
      <c r="J594" s="5" t="str">
        <f>IF(H594&lt;B594, "Invalid","Okay")</f>
        <v>Invalid</v>
      </c>
      <c r="K594" s="16">
        <f>I594-C594</f>
        <v>8</v>
      </c>
      <c r="L594" s="16" t="str">
        <f t="shared" si="112"/>
        <v>Target Not Met</v>
      </c>
      <c r="M594" s="2" t="s">
        <v>648</v>
      </c>
      <c r="N594" s="2" t="s">
        <v>660</v>
      </c>
      <c r="O594" s="2" t="s">
        <v>686</v>
      </c>
      <c r="P594" s="29" t="str">
        <f t="shared" si="113"/>
        <v>Americas→USA→San Francisco</v>
      </c>
      <c r="Q594" s="2" t="s">
        <v>703</v>
      </c>
      <c r="R594" s="2" t="s">
        <v>708</v>
      </c>
      <c r="S594" s="2" t="s">
        <v>716</v>
      </c>
      <c r="T594" s="2" t="s">
        <v>729</v>
      </c>
      <c r="U594" t="e">
        <f>(AE594/#REF!)*100</f>
        <v>#REF!</v>
      </c>
      <c r="V594" s="2" t="s">
        <v>1324</v>
      </c>
      <c r="W594" s="7">
        <v>1015.91</v>
      </c>
      <c r="X594" s="7">
        <v>2331.48</v>
      </c>
      <c r="Y594" s="7">
        <f t="shared" si="114"/>
        <v>2331.48</v>
      </c>
      <c r="Z594" s="7" t="str">
        <f t="shared" si="115"/>
        <v>High</v>
      </c>
      <c r="AA594" s="13">
        <v>0.14599999999999999</v>
      </c>
      <c r="AB594" s="13">
        <f t="shared" si="116"/>
        <v>0.14599999999999999</v>
      </c>
      <c r="AC594" s="13" t="str">
        <f t="shared" si="117"/>
        <v>OK</v>
      </c>
      <c r="AD594" s="7">
        <v>26</v>
      </c>
      <c r="AE594" s="7">
        <f>Y594*AD594*(1-AB594)</f>
        <v>51768.181920000003</v>
      </c>
      <c r="AF594" s="7">
        <f>W594*AD594</f>
        <v>26413.66</v>
      </c>
      <c r="AG594" s="7">
        <f t="shared" si="118"/>
        <v>25354.521920000003</v>
      </c>
      <c r="AH594" s="13">
        <f t="shared" si="119"/>
        <v>0.48977037592669626</v>
      </c>
    </row>
    <row r="595" spans="1:34" x14ac:dyDescent="0.35">
      <c r="A595" s="2" t="s">
        <v>607</v>
      </c>
      <c r="B595" s="5">
        <v>45504</v>
      </c>
      <c r="C595" s="5">
        <f>IF(H595&lt;B595,H595,B595)</f>
        <v>45504</v>
      </c>
      <c r="D595" s="5" t="str">
        <f t="shared" si="108"/>
        <v>Jul-2024</v>
      </c>
      <c r="E595" s="5" t="str">
        <f t="shared" si="109"/>
        <v>Jul</v>
      </c>
      <c r="F595" s="5" t="str">
        <f t="shared" si="110"/>
        <v>2024</v>
      </c>
      <c r="G595" s="5" t="str">
        <f t="shared" si="111"/>
        <v>Q3-2024</v>
      </c>
      <c r="H595" s="5">
        <v>45519</v>
      </c>
      <c r="I595" s="5">
        <f>IF(H595&lt;B595, B595+7, H595)</f>
        <v>45519</v>
      </c>
      <c r="J595" s="5" t="str">
        <f>IF(H595&lt;B595, "Invalid","Okay")</f>
        <v>Okay</v>
      </c>
      <c r="K595" s="16">
        <f>I595-C595</f>
        <v>15</v>
      </c>
      <c r="L595" s="16" t="str">
        <f t="shared" si="112"/>
        <v>Target Not Met</v>
      </c>
      <c r="M595" s="2" t="s">
        <v>647</v>
      </c>
      <c r="N595" s="2" t="s">
        <v>652</v>
      </c>
      <c r="O595" s="2" t="s">
        <v>689</v>
      </c>
      <c r="P595" s="29" t="str">
        <f t="shared" si="113"/>
        <v>Asia→Japan→Tokyo</v>
      </c>
      <c r="Q595" s="2" t="s">
        <v>701</v>
      </c>
      <c r="R595" s="2" t="s">
        <v>709</v>
      </c>
      <c r="S595" s="2" t="s">
        <v>721</v>
      </c>
      <c r="T595" s="2" t="s">
        <v>732</v>
      </c>
      <c r="U595" t="e">
        <f>(AE595/#REF!)*100</f>
        <v>#REF!</v>
      </c>
      <c r="V595" s="2" t="s">
        <v>1325</v>
      </c>
      <c r="W595" s="7">
        <v>1252.52</v>
      </c>
      <c r="X595" s="7">
        <v>1417.24</v>
      </c>
      <c r="Y595" s="7">
        <f t="shared" si="114"/>
        <v>1417.24</v>
      </c>
      <c r="Z595" s="7" t="str">
        <f t="shared" si="115"/>
        <v>Medium</v>
      </c>
      <c r="AA595" s="13">
        <v>0.192</v>
      </c>
      <c r="AB595" s="13">
        <f t="shared" si="116"/>
        <v>0.192</v>
      </c>
      <c r="AC595" s="13" t="str">
        <f t="shared" si="117"/>
        <v>OK</v>
      </c>
      <c r="AD595" s="7">
        <v>5</v>
      </c>
      <c r="AE595" s="7">
        <f>Y595*AD595*(1-AB595)</f>
        <v>5725.6496000000006</v>
      </c>
      <c r="AF595" s="7">
        <f>W595*AD595</f>
        <v>6262.6</v>
      </c>
      <c r="AG595" s="7">
        <f t="shared" si="118"/>
        <v>-536.95039999999972</v>
      </c>
      <c r="AH595" s="13">
        <f t="shared" si="119"/>
        <v>-9.3779821943696953E-2</v>
      </c>
    </row>
    <row r="596" spans="1:34" x14ac:dyDescent="0.35">
      <c r="A596" s="2" t="s">
        <v>608</v>
      </c>
      <c r="B596" s="5">
        <v>45823</v>
      </c>
      <c r="C596" s="5">
        <f>IF(H596&lt;B596,H596,B596)</f>
        <v>45823</v>
      </c>
      <c r="D596" s="5" t="str">
        <f t="shared" si="108"/>
        <v>Jun-2025</v>
      </c>
      <c r="E596" s="5" t="str">
        <f t="shared" si="109"/>
        <v>Jun</v>
      </c>
      <c r="F596" s="5" t="str">
        <f t="shared" si="110"/>
        <v>2025</v>
      </c>
      <c r="G596" s="5" t="str">
        <f t="shared" si="111"/>
        <v>Q2-2025</v>
      </c>
      <c r="H596" s="5">
        <v>45850</v>
      </c>
      <c r="I596" s="5">
        <f>IF(H596&lt;B596, B596+7, H596)</f>
        <v>45850</v>
      </c>
      <c r="J596" s="5" t="str">
        <f>IF(H596&lt;B596, "Invalid","Okay")</f>
        <v>Okay</v>
      </c>
      <c r="K596" s="16">
        <f>I596-C596</f>
        <v>27</v>
      </c>
      <c r="L596" s="16" t="str">
        <f t="shared" si="112"/>
        <v>Target Not Met</v>
      </c>
      <c r="M596" s="2" t="s">
        <v>649</v>
      </c>
      <c r="N596" s="2" t="s">
        <v>657</v>
      </c>
      <c r="O596" s="2" t="s">
        <v>673</v>
      </c>
      <c r="P596" s="29" t="str">
        <f t="shared" si="113"/>
        <v>Europe→France→Marseille</v>
      </c>
      <c r="Q596" s="2" t="s">
        <v>704</v>
      </c>
      <c r="R596" s="2" t="s">
        <v>711</v>
      </c>
      <c r="S596" s="2" t="s">
        <v>712</v>
      </c>
      <c r="T596" s="2" t="s">
        <v>733</v>
      </c>
      <c r="U596" t="e">
        <f>(AE596/#REF!)*100</f>
        <v>#REF!</v>
      </c>
      <c r="V596" s="2" t="s">
        <v>1326</v>
      </c>
      <c r="W596" s="7">
        <v>318.83</v>
      </c>
      <c r="X596" s="7">
        <v>699.5</v>
      </c>
      <c r="Y596" s="7">
        <f t="shared" si="114"/>
        <v>699.5</v>
      </c>
      <c r="Z596" s="7" t="str">
        <f t="shared" si="115"/>
        <v>Low</v>
      </c>
      <c r="AA596" s="13">
        <v>0.08</v>
      </c>
      <c r="AB596" s="13">
        <f t="shared" si="116"/>
        <v>0.08</v>
      </c>
      <c r="AC596" s="13" t="str">
        <f t="shared" si="117"/>
        <v>OK</v>
      </c>
      <c r="AD596" s="7">
        <v>13</v>
      </c>
      <c r="AE596" s="7">
        <f>Y596*AD596*(1-AB596)</f>
        <v>8366.02</v>
      </c>
      <c r="AF596" s="7">
        <f>W596*AD596</f>
        <v>4144.79</v>
      </c>
      <c r="AG596" s="7">
        <f t="shared" si="118"/>
        <v>4221.2300000000005</v>
      </c>
      <c r="AH596" s="13">
        <f t="shared" si="119"/>
        <v>0.50456848059172699</v>
      </c>
    </row>
    <row r="597" spans="1:34" x14ac:dyDescent="0.35">
      <c r="A597" s="2" t="s">
        <v>609</v>
      </c>
      <c r="B597" s="5">
        <v>45473</v>
      </c>
      <c r="C597" s="5">
        <f>IF(H597&lt;B597,H597,B597)</f>
        <v>45473</v>
      </c>
      <c r="D597" s="5" t="str">
        <f t="shared" si="108"/>
        <v>Jun-2024</v>
      </c>
      <c r="E597" s="5" t="str">
        <f t="shared" si="109"/>
        <v>Jun</v>
      </c>
      <c r="F597" s="5" t="str">
        <f t="shared" si="110"/>
        <v>2024</v>
      </c>
      <c r="G597" s="5" t="str">
        <f t="shared" si="111"/>
        <v>Q2-2024</v>
      </c>
      <c r="H597" s="5">
        <v>45494</v>
      </c>
      <c r="I597" s="5">
        <f>IF(H597&lt;B597, B597+7, H597)</f>
        <v>45494</v>
      </c>
      <c r="J597" s="5" t="str">
        <f>IF(H597&lt;B597, "Invalid","Okay")</f>
        <v>Okay</v>
      </c>
      <c r="K597" s="16">
        <f>I597-C597</f>
        <v>21</v>
      </c>
      <c r="L597" s="16" t="str">
        <f t="shared" si="112"/>
        <v>Target Not Met</v>
      </c>
      <c r="M597" s="2" t="s">
        <v>646</v>
      </c>
      <c r="N597" s="2" t="s">
        <v>650</v>
      </c>
      <c r="O597" s="2" t="s">
        <v>662</v>
      </c>
      <c r="P597" s="29" t="str">
        <f t="shared" si="113"/>
        <v>Africa→Kenya→Kisumu</v>
      </c>
      <c r="Q597" s="2" t="s">
        <v>705</v>
      </c>
      <c r="R597" s="2" t="s">
        <v>707</v>
      </c>
      <c r="S597" s="2" t="s">
        <v>723</v>
      </c>
      <c r="T597" s="2" t="s">
        <v>731</v>
      </c>
      <c r="U597" t="e">
        <f>(AE597/#REF!)*100</f>
        <v>#REF!</v>
      </c>
      <c r="V597" s="2" t="s">
        <v>1327</v>
      </c>
      <c r="W597" s="7">
        <v>753.43</v>
      </c>
      <c r="X597" s="7">
        <v>1787.2</v>
      </c>
      <c r="Y597" s="7">
        <f t="shared" si="114"/>
        <v>1787.2</v>
      </c>
      <c r="Z597" s="7" t="str">
        <f t="shared" si="115"/>
        <v>Medium</v>
      </c>
      <c r="AA597" s="13">
        <v>7.2999999999999995E-2</v>
      </c>
      <c r="AB597" s="13">
        <f t="shared" si="116"/>
        <v>7.2999999999999995E-2</v>
      </c>
      <c r="AC597" s="13" t="str">
        <f t="shared" si="117"/>
        <v>OK</v>
      </c>
      <c r="AD597" s="7">
        <v>9</v>
      </c>
      <c r="AE597" s="7">
        <f>Y597*AD597*(1-AB597)</f>
        <v>14910.609600000002</v>
      </c>
      <c r="AF597" s="7">
        <f>W597*AD597</f>
        <v>6780.87</v>
      </c>
      <c r="AG597" s="7">
        <f t="shared" si="118"/>
        <v>8129.7396000000017</v>
      </c>
      <c r="AH597" s="13">
        <f t="shared" si="119"/>
        <v>0.54523187301476939</v>
      </c>
    </row>
    <row r="598" spans="1:34" x14ac:dyDescent="0.35">
      <c r="A598" s="2" t="s">
        <v>610</v>
      </c>
      <c r="B598" s="5">
        <v>45705</v>
      </c>
      <c r="C598" s="5">
        <f>IF(H598&lt;B598,H598,B598)</f>
        <v>45703</v>
      </c>
      <c r="D598" s="5" t="str">
        <f t="shared" si="108"/>
        <v>Feb-2025</v>
      </c>
      <c r="E598" s="5" t="str">
        <f t="shared" si="109"/>
        <v>Feb</v>
      </c>
      <c r="F598" s="5" t="str">
        <f t="shared" si="110"/>
        <v>2025</v>
      </c>
      <c r="G598" s="5" t="str">
        <f t="shared" si="111"/>
        <v>Q1-2025</v>
      </c>
      <c r="H598" s="5">
        <v>45703</v>
      </c>
      <c r="I598" s="5">
        <f>IF(H598&lt;B598, B598+7, H598)</f>
        <v>45712</v>
      </c>
      <c r="J598" s="5" t="str">
        <f>IF(H598&lt;B598, "Invalid","Okay")</f>
        <v>Invalid</v>
      </c>
      <c r="K598" s="16">
        <f>I598-C598</f>
        <v>9</v>
      </c>
      <c r="L598" s="16" t="str">
        <f t="shared" si="112"/>
        <v>Target Not Met</v>
      </c>
      <c r="M598" s="2" t="s">
        <v>648</v>
      </c>
      <c r="N598" s="2" t="s">
        <v>653</v>
      </c>
      <c r="O598" s="2" t="s">
        <v>667</v>
      </c>
      <c r="P598" s="29" t="str">
        <f t="shared" si="113"/>
        <v>Americas→Canada→Toronto</v>
      </c>
      <c r="Q598" s="2" t="s">
        <v>705</v>
      </c>
      <c r="R598" s="2" t="s">
        <v>707</v>
      </c>
      <c r="S598" s="2" t="s">
        <v>726</v>
      </c>
      <c r="T598" s="2" t="s">
        <v>727</v>
      </c>
      <c r="U598" t="e">
        <f>(AE598/#REF!)*100</f>
        <v>#REF!</v>
      </c>
      <c r="V598" s="2" t="s">
        <v>1328</v>
      </c>
      <c r="W598" s="7">
        <v>1133.47</v>
      </c>
      <c r="X598" s="7">
        <v>1698.75</v>
      </c>
      <c r="Y598" s="7">
        <f t="shared" si="114"/>
        <v>1698.75</v>
      </c>
      <c r="Z598" s="7" t="str">
        <f t="shared" si="115"/>
        <v>Medium</v>
      </c>
      <c r="AA598" s="13">
        <v>4.2999999999999997E-2</v>
      </c>
      <c r="AB598" s="13">
        <f t="shared" si="116"/>
        <v>4.2999999999999997E-2</v>
      </c>
      <c r="AC598" s="13" t="str">
        <f t="shared" si="117"/>
        <v>OK</v>
      </c>
      <c r="AD598" s="7">
        <v>5</v>
      </c>
      <c r="AE598" s="7">
        <f>Y598*AD598*(1-AB598)</f>
        <v>8128.5187499999993</v>
      </c>
      <c r="AF598" s="7">
        <f>W598*AD598</f>
        <v>5667.35</v>
      </c>
      <c r="AG598" s="7">
        <f t="shared" si="118"/>
        <v>2461.1687499999989</v>
      </c>
      <c r="AH598" s="13">
        <f t="shared" si="119"/>
        <v>0.30278194904821976</v>
      </c>
    </row>
    <row r="599" spans="1:34" x14ac:dyDescent="0.35">
      <c r="A599" s="2" t="s">
        <v>611</v>
      </c>
      <c r="B599" s="5">
        <v>44933</v>
      </c>
      <c r="C599" s="5">
        <f>IF(H599&lt;B599,H599,B599)</f>
        <v>44933</v>
      </c>
      <c r="D599" s="5" t="str">
        <f t="shared" si="108"/>
        <v>Jan-2023</v>
      </c>
      <c r="E599" s="5" t="str">
        <f t="shared" si="109"/>
        <v>Jan</v>
      </c>
      <c r="F599" s="5" t="str">
        <f t="shared" si="110"/>
        <v>2023</v>
      </c>
      <c r="G599" s="5" t="str">
        <f t="shared" si="111"/>
        <v>Q1-2023</v>
      </c>
      <c r="H599" s="5">
        <v>44956</v>
      </c>
      <c r="I599" s="5">
        <f>IF(H599&lt;B599, B599+7, H599)</f>
        <v>44956</v>
      </c>
      <c r="J599" s="5" t="str">
        <f>IF(H599&lt;B599, "Invalid","Okay")</f>
        <v>Okay</v>
      </c>
      <c r="K599" s="16">
        <f>I599-C599</f>
        <v>23</v>
      </c>
      <c r="L599" s="16" t="str">
        <f t="shared" si="112"/>
        <v>Target Not Met</v>
      </c>
      <c r="M599" s="2" t="s">
        <v>646</v>
      </c>
      <c r="N599" s="2" t="s">
        <v>661</v>
      </c>
      <c r="O599" s="2" t="s">
        <v>695</v>
      </c>
      <c r="P599" s="29" t="str">
        <f t="shared" si="113"/>
        <v>Africa→South Africa→Cape Town</v>
      </c>
      <c r="Q599" s="2" t="s">
        <v>704</v>
      </c>
      <c r="R599" s="2" t="s">
        <v>708</v>
      </c>
      <c r="S599" s="2" t="s">
        <v>720</v>
      </c>
      <c r="T599" s="2" t="s">
        <v>728</v>
      </c>
      <c r="U599" t="e">
        <f>(AE599/#REF!)*100</f>
        <v>#REF!</v>
      </c>
      <c r="V599" s="2" t="s">
        <v>1329</v>
      </c>
      <c r="W599" s="7">
        <v>299.02</v>
      </c>
      <c r="X599" s="7">
        <v>724.7</v>
      </c>
      <c r="Y599" s="7">
        <f t="shared" si="114"/>
        <v>724.7</v>
      </c>
      <c r="Z599" s="7" t="str">
        <f t="shared" si="115"/>
        <v>Low</v>
      </c>
      <c r="AA599" s="13">
        <v>0.14000000000000001</v>
      </c>
      <c r="AB599" s="13">
        <f t="shared" si="116"/>
        <v>0.14000000000000001</v>
      </c>
      <c r="AC599" s="13" t="str">
        <f t="shared" si="117"/>
        <v>OK</v>
      </c>
      <c r="AD599" s="7">
        <v>5</v>
      </c>
      <c r="AE599" s="7">
        <f>Y599*AD599*(1-AB599)</f>
        <v>3116.21</v>
      </c>
      <c r="AF599" s="7">
        <f>W599*AD599</f>
        <v>1495.1</v>
      </c>
      <c r="AG599" s="7">
        <f t="shared" si="118"/>
        <v>1621.1100000000001</v>
      </c>
      <c r="AH599" s="13">
        <f t="shared" si="119"/>
        <v>0.52021847051386139</v>
      </c>
    </row>
    <row r="600" spans="1:34" x14ac:dyDescent="0.35">
      <c r="A600" s="2" t="s">
        <v>612</v>
      </c>
      <c r="B600" s="5">
        <v>45726</v>
      </c>
      <c r="C600" s="5">
        <f>IF(H600&lt;B600,H600,B600)</f>
        <v>45726</v>
      </c>
      <c r="D600" s="5" t="str">
        <f t="shared" si="108"/>
        <v>Mar-2025</v>
      </c>
      <c r="E600" s="5" t="str">
        <f t="shared" si="109"/>
        <v>Mar</v>
      </c>
      <c r="F600" s="5" t="str">
        <f t="shared" si="110"/>
        <v>2025</v>
      </c>
      <c r="G600" s="5" t="str">
        <f t="shared" si="111"/>
        <v>Q1-2025</v>
      </c>
      <c r="H600" s="5">
        <v>45751</v>
      </c>
      <c r="I600" s="5">
        <f>IF(H600&lt;B600, B600+7, H600)</f>
        <v>45751</v>
      </c>
      <c r="J600" s="5" t="str">
        <f>IF(H600&lt;B600, "Invalid","Okay")</f>
        <v>Okay</v>
      </c>
      <c r="K600" s="16">
        <f>I600-C600</f>
        <v>25</v>
      </c>
      <c r="L600" s="16" t="str">
        <f t="shared" si="112"/>
        <v>Target Not Met</v>
      </c>
      <c r="M600" s="2" t="s">
        <v>647</v>
      </c>
      <c r="N600" s="2" t="s">
        <v>652</v>
      </c>
      <c r="O600" s="2" t="s">
        <v>666</v>
      </c>
      <c r="P600" s="29" t="str">
        <f t="shared" si="113"/>
        <v>Asia→Japan→Osaka</v>
      </c>
      <c r="Q600" s="2" t="s">
        <v>701</v>
      </c>
      <c r="R600" s="2" t="s">
        <v>711</v>
      </c>
      <c r="S600" s="2" t="s">
        <v>722</v>
      </c>
      <c r="T600" s="2" t="s">
        <v>728</v>
      </c>
      <c r="U600" t="e">
        <f>(AE600/#REF!)*100</f>
        <v>#REF!</v>
      </c>
      <c r="V600" s="2" t="s">
        <v>1330</v>
      </c>
      <c r="W600" s="7">
        <v>783.72</v>
      </c>
      <c r="X600" s="7">
        <v>1355.94</v>
      </c>
      <c r="Y600" s="7">
        <f t="shared" si="114"/>
        <v>1355.94</v>
      </c>
      <c r="Z600" s="7" t="str">
        <f t="shared" si="115"/>
        <v>Medium</v>
      </c>
      <c r="AA600" s="13">
        <v>0.187</v>
      </c>
      <c r="AB600" s="13">
        <f t="shared" si="116"/>
        <v>0.187</v>
      </c>
      <c r="AC600" s="13" t="str">
        <f t="shared" si="117"/>
        <v>OK</v>
      </c>
      <c r="AD600" s="7">
        <v>4</v>
      </c>
      <c r="AE600" s="7">
        <f>Y600*AD600*(1-AB600)</f>
        <v>4409.5168800000001</v>
      </c>
      <c r="AF600" s="7">
        <f>W600*AD600</f>
        <v>3134.88</v>
      </c>
      <c r="AG600" s="7">
        <f t="shared" si="118"/>
        <v>1274.63688</v>
      </c>
      <c r="AH600" s="13">
        <f t="shared" si="119"/>
        <v>0.28906497348525856</v>
      </c>
    </row>
    <row r="601" spans="1:34" x14ac:dyDescent="0.35">
      <c r="A601" s="2" t="s">
        <v>613</v>
      </c>
      <c r="B601" s="5">
        <v>45521</v>
      </c>
      <c r="C601" s="5">
        <f>IF(H601&lt;B601,H601,B601)</f>
        <v>45519</v>
      </c>
      <c r="D601" s="5" t="str">
        <f t="shared" si="108"/>
        <v>Aug-2024</v>
      </c>
      <c r="E601" s="5" t="str">
        <f t="shared" si="109"/>
        <v>Aug</v>
      </c>
      <c r="F601" s="5" t="str">
        <f t="shared" si="110"/>
        <v>2024</v>
      </c>
      <c r="G601" s="5" t="str">
        <f t="shared" si="111"/>
        <v>Q3-2024</v>
      </c>
      <c r="H601" s="5">
        <v>45519</v>
      </c>
      <c r="I601" s="5">
        <f>IF(H601&lt;B601, B601+7, H601)</f>
        <v>45528</v>
      </c>
      <c r="J601" s="5" t="str">
        <f>IF(H601&lt;B601, "Invalid","Okay")</f>
        <v>Invalid</v>
      </c>
      <c r="K601" s="16">
        <f>I601-C601</f>
        <v>9</v>
      </c>
      <c r="L601" s="16" t="str">
        <f t="shared" si="112"/>
        <v>Target Not Met</v>
      </c>
      <c r="M601" s="2" t="s">
        <v>648</v>
      </c>
      <c r="N601" s="2" t="s">
        <v>655</v>
      </c>
      <c r="O601" s="2" t="s">
        <v>692</v>
      </c>
      <c r="P601" s="29" t="str">
        <f t="shared" si="113"/>
        <v>Americas→Brazil→Rio de Janeiro</v>
      </c>
      <c r="Q601" s="2" t="s">
        <v>704</v>
      </c>
      <c r="R601" s="2" t="s">
        <v>711</v>
      </c>
      <c r="S601" s="2" t="s">
        <v>724</v>
      </c>
      <c r="T601" s="2" t="s">
        <v>732</v>
      </c>
      <c r="U601" t="e">
        <f>(AE601/#REF!)*100</f>
        <v>#REF!</v>
      </c>
      <c r="V601" s="2" t="s">
        <v>1331</v>
      </c>
      <c r="W601" s="7">
        <v>165.3</v>
      </c>
      <c r="X601" s="7">
        <v>275.07</v>
      </c>
      <c r="Y601" s="7">
        <f t="shared" si="114"/>
        <v>275.07</v>
      </c>
      <c r="Z601" s="7" t="str">
        <f t="shared" si="115"/>
        <v>Low</v>
      </c>
      <c r="AA601" s="13">
        <v>0.13300000000000001</v>
      </c>
      <c r="AB601" s="13">
        <f t="shared" si="116"/>
        <v>0.13300000000000001</v>
      </c>
      <c r="AC601" s="13" t="str">
        <f t="shared" si="117"/>
        <v>OK</v>
      </c>
      <c r="AD601" s="7">
        <v>25</v>
      </c>
      <c r="AE601" s="7">
        <f>Y601*AD601*(1-AB601)</f>
        <v>5962.1422499999999</v>
      </c>
      <c r="AF601" s="7">
        <f>W601*AD601</f>
        <v>4132.5</v>
      </c>
      <c r="AG601" s="7">
        <f t="shared" si="118"/>
        <v>1829.6422499999999</v>
      </c>
      <c r="AH601" s="13">
        <f t="shared" si="119"/>
        <v>0.30687665159280625</v>
      </c>
    </row>
    <row r="602" spans="1:34" x14ac:dyDescent="0.35">
      <c r="A602" s="2" t="s">
        <v>614</v>
      </c>
      <c r="B602" s="5">
        <v>45360</v>
      </c>
      <c r="C602" s="5">
        <f>IF(H602&lt;B602,H602,B602)</f>
        <v>45360</v>
      </c>
      <c r="D602" s="5" t="str">
        <f t="shared" si="108"/>
        <v>Mar-2024</v>
      </c>
      <c r="E602" s="5" t="str">
        <f t="shared" si="109"/>
        <v>Mar</v>
      </c>
      <c r="F602" s="5" t="str">
        <f t="shared" si="110"/>
        <v>2024</v>
      </c>
      <c r="G602" s="5" t="str">
        <f t="shared" si="111"/>
        <v>Q1-2024</v>
      </c>
      <c r="H602" s="5">
        <v>45373</v>
      </c>
      <c r="I602" s="5">
        <f>IF(H602&lt;B602, B602+7, H602)</f>
        <v>45373</v>
      </c>
      <c r="J602" s="5" t="str">
        <f>IF(H602&lt;B602, "Invalid","Okay")</f>
        <v>Okay</v>
      </c>
      <c r="K602" s="16">
        <f>I602-C602</f>
        <v>13</v>
      </c>
      <c r="L602" s="16" t="str">
        <f t="shared" si="112"/>
        <v>Target Not Met</v>
      </c>
      <c r="M602" s="2" t="s">
        <v>649</v>
      </c>
      <c r="N602" s="2" t="s">
        <v>658</v>
      </c>
      <c r="O602" s="2" t="s">
        <v>693</v>
      </c>
      <c r="P602" s="29" t="str">
        <f t="shared" si="113"/>
        <v>Europe→United Kingdom→Manchester</v>
      </c>
      <c r="Q602" s="2" t="s">
        <v>704</v>
      </c>
      <c r="R602" s="2" t="s">
        <v>708</v>
      </c>
      <c r="S602" s="2" t="s">
        <v>718</v>
      </c>
      <c r="T602" s="2" t="s">
        <v>731</v>
      </c>
      <c r="U602" t="e">
        <f>(AE602/#REF!)*100</f>
        <v>#REF!</v>
      </c>
      <c r="V602" s="2" t="s">
        <v>1332</v>
      </c>
      <c r="W602" s="7">
        <v>985.45</v>
      </c>
      <c r="X602" s="7">
        <v>1802.44</v>
      </c>
      <c r="Y602" s="7">
        <f t="shared" si="114"/>
        <v>1802.44</v>
      </c>
      <c r="Z602" s="7" t="str">
        <f t="shared" si="115"/>
        <v>Medium</v>
      </c>
      <c r="AA602" s="13">
        <v>8.9999999999999993E-3</v>
      </c>
      <c r="AB602" s="13">
        <f t="shared" si="116"/>
        <v>8.9999999999999993E-3</v>
      </c>
      <c r="AC602" s="13" t="str">
        <f t="shared" si="117"/>
        <v>OK</v>
      </c>
      <c r="AD602" s="7">
        <v>19</v>
      </c>
      <c r="AE602" s="7">
        <f>Y602*AD602*(1-AB602)</f>
        <v>33938.142760000002</v>
      </c>
      <c r="AF602" s="7">
        <f>W602*AD602</f>
        <v>18723.55</v>
      </c>
      <c r="AG602" s="7">
        <f t="shared" si="118"/>
        <v>15214.592760000003</v>
      </c>
      <c r="AH602" s="13">
        <f t="shared" si="119"/>
        <v>0.44830363486867486</v>
      </c>
    </row>
    <row r="603" spans="1:34" x14ac:dyDescent="0.35">
      <c r="A603" s="2" t="s">
        <v>615</v>
      </c>
      <c r="B603" s="5">
        <v>45523</v>
      </c>
      <c r="C603" s="5">
        <f>IF(H603&lt;B603,H603,B603)</f>
        <v>45523</v>
      </c>
      <c r="D603" s="5" t="str">
        <f t="shared" si="108"/>
        <v>Aug-2024</v>
      </c>
      <c r="E603" s="5" t="str">
        <f t="shared" si="109"/>
        <v>Aug</v>
      </c>
      <c r="F603" s="5" t="str">
        <f t="shared" si="110"/>
        <v>2024</v>
      </c>
      <c r="G603" s="5" t="str">
        <f t="shared" si="111"/>
        <v>Q3-2024</v>
      </c>
      <c r="H603" s="5">
        <v>45537</v>
      </c>
      <c r="I603" s="5">
        <f>IF(H603&lt;B603, B603+7, H603)</f>
        <v>45537</v>
      </c>
      <c r="J603" s="5" t="str">
        <f>IF(H603&lt;B603, "Invalid","Okay")</f>
        <v>Okay</v>
      </c>
      <c r="K603" s="16">
        <f>I603-C603</f>
        <v>14</v>
      </c>
      <c r="L603" s="16" t="str">
        <f t="shared" si="112"/>
        <v>Target Not Met</v>
      </c>
      <c r="M603" s="2" t="s">
        <v>648</v>
      </c>
      <c r="N603" s="2" t="s">
        <v>653</v>
      </c>
      <c r="O603" s="2" t="s">
        <v>667</v>
      </c>
      <c r="P603" s="29" t="str">
        <f t="shared" si="113"/>
        <v>Americas→Canada→Toronto</v>
      </c>
      <c r="Q603" s="2" t="s">
        <v>704</v>
      </c>
      <c r="R603" s="2" t="s">
        <v>710</v>
      </c>
      <c r="S603" s="2" t="s">
        <v>712</v>
      </c>
      <c r="T603" s="2" t="s">
        <v>728</v>
      </c>
      <c r="U603" t="e">
        <f>(AE603/#REF!)*100</f>
        <v>#REF!</v>
      </c>
      <c r="V603" s="2" t="s">
        <v>1333</v>
      </c>
      <c r="W603" s="7">
        <v>1337.01</v>
      </c>
      <c r="X603" s="7">
        <v>1269.78</v>
      </c>
      <c r="Y603" s="7">
        <f t="shared" si="114"/>
        <v>1269.78</v>
      </c>
      <c r="Z603" s="7" t="str">
        <f t="shared" si="115"/>
        <v>Medium</v>
      </c>
      <c r="AA603" s="13">
        <v>0.16</v>
      </c>
      <c r="AB603" s="13">
        <f t="shared" si="116"/>
        <v>0.16</v>
      </c>
      <c r="AC603" s="13" t="str">
        <f t="shared" si="117"/>
        <v>OK</v>
      </c>
      <c r="AD603" s="7">
        <v>7</v>
      </c>
      <c r="AE603" s="7">
        <f>Y603*AD603*(1-AB603)</f>
        <v>7466.3063999999986</v>
      </c>
      <c r="AF603" s="7">
        <f>W603*AD603</f>
        <v>9359.07</v>
      </c>
      <c r="AG603" s="7">
        <f t="shared" si="118"/>
        <v>-1892.7636000000011</v>
      </c>
      <c r="AH603" s="13">
        <f t="shared" si="119"/>
        <v>-0.25350735672996244</v>
      </c>
    </row>
    <row r="604" spans="1:34" x14ac:dyDescent="0.35">
      <c r="A604" s="2" t="s">
        <v>616</v>
      </c>
      <c r="B604" s="5">
        <v>45880</v>
      </c>
      <c r="C604" s="5">
        <f>IF(H604&lt;B604,H604,B604)</f>
        <v>45880</v>
      </c>
      <c r="D604" s="5" t="str">
        <f t="shared" si="108"/>
        <v>Aug-2025</v>
      </c>
      <c r="E604" s="5" t="str">
        <f t="shared" si="109"/>
        <v>Aug</v>
      </c>
      <c r="F604" s="5" t="str">
        <f t="shared" si="110"/>
        <v>2025</v>
      </c>
      <c r="G604" s="5" t="str">
        <f t="shared" si="111"/>
        <v>Q3-2025</v>
      </c>
      <c r="H604" s="5">
        <v>45897</v>
      </c>
      <c r="I604" s="5">
        <f>IF(H604&lt;B604, B604+7, H604)</f>
        <v>45897</v>
      </c>
      <c r="J604" s="5" t="str">
        <f>IF(H604&lt;B604, "Invalid","Okay")</f>
        <v>Okay</v>
      </c>
      <c r="K604" s="16">
        <f>I604-C604</f>
        <v>17</v>
      </c>
      <c r="L604" s="16" t="str">
        <f t="shared" si="112"/>
        <v>Target Not Met</v>
      </c>
      <c r="M604" s="2" t="s">
        <v>649</v>
      </c>
      <c r="N604" s="2" t="s">
        <v>657</v>
      </c>
      <c r="O604" s="2" t="s">
        <v>690</v>
      </c>
      <c r="P604" s="29" t="str">
        <f t="shared" si="113"/>
        <v>Europe→France→Paris</v>
      </c>
      <c r="Q604" s="2" t="s">
        <v>702</v>
      </c>
      <c r="R604" s="2" t="s">
        <v>708</v>
      </c>
      <c r="S604" s="2" t="s">
        <v>721</v>
      </c>
      <c r="T604" s="2" t="s">
        <v>729</v>
      </c>
      <c r="U604" t="e">
        <f>(AE604/#REF!)*100</f>
        <v>#REF!</v>
      </c>
      <c r="V604" s="2" t="s">
        <v>1334</v>
      </c>
      <c r="W604" s="7">
        <v>416.16</v>
      </c>
      <c r="X604" s="7">
        <v>571.9</v>
      </c>
      <c r="Y604" s="7">
        <f t="shared" si="114"/>
        <v>571.9</v>
      </c>
      <c r="Z604" s="7" t="str">
        <f t="shared" si="115"/>
        <v>Low</v>
      </c>
      <c r="AA604" s="13">
        <v>7.0999999999999994E-2</v>
      </c>
      <c r="AB604" s="13">
        <f t="shared" si="116"/>
        <v>7.0999999999999994E-2</v>
      </c>
      <c r="AC604" s="13" t="str">
        <f t="shared" si="117"/>
        <v>OK</v>
      </c>
      <c r="AD604" s="7">
        <v>2</v>
      </c>
      <c r="AE604" s="7">
        <f>Y604*AD604*(1-AB604)</f>
        <v>1062.5902000000001</v>
      </c>
      <c r="AF604" s="7">
        <f>W604*AD604</f>
        <v>832.32</v>
      </c>
      <c r="AG604" s="7">
        <f t="shared" si="118"/>
        <v>230.27020000000005</v>
      </c>
      <c r="AH604" s="13">
        <f t="shared" si="119"/>
        <v>0.21670649701079497</v>
      </c>
    </row>
    <row r="605" spans="1:34" x14ac:dyDescent="0.35">
      <c r="A605" s="2" t="s">
        <v>617</v>
      </c>
      <c r="B605" s="5">
        <v>45793</v>
      </c>
      <c r="C605" s="5">
        <f>IF(H605&lt;B605,H605,B605)</f>
        <v>45793</v>
      </c>
      <c r="D605" s="5" t="str">
        <f t="shared" si="108"/>
        <v>May-2025</v>
      </c>
      <c r="E605" s="5" t="str">
        <f t="shared" si="109"/>
        <v>May</v>
      </c>
      <c r="F605" s="5" t="str">
        <f t="shared" si="110"/>
        <v>2025</v>
      </c>
      <c r="G605" s="5" t="str">
        <f t="shared" si="111"/>
        <v>Q2-2025</v>
      </c>
      <c r="H605" s="5">
        <v>45795</v>
      </c>
      <c r="I605" s="5">
        <f>IF(H605&lt;B605, B605+7, H605)</f>
        <v>45795</v>
      </c>
      <c r="J605" s="5" t="str">
        <f>IF(H605&lt;B605, "Invalid","Okay")</f>
        <v>Okay</v>
      </c>
      <c r="K605" s="16">
        <f>I605-C605</f>
        <v>2</v>
      </c>
      <c r="L605" s="16" t="str">
        <f t="shared" si="112"/>
        <v>Target Met</v>
      </c>
      <c r="M605" s="2" t="s">
        <v>647</v>
      </c>
      <c r="N605" s="2" t="s">
        <v>652</v>
      </c>
      <c r="O605" s="2" t="s">
        <v>689</v>
      </c>
      <c r="P605" s="29" t="str">
        <f t="shared" si="113"/>
        <v>Asia→Japan→Tokyo</v>
      </c>
      <c r="Q605" s="2" t="s">
        <v>706</v>
      </c>
      <c r="R605" s="2" t="s">
        <v>707</v>
      </c>
      <c r="S605" s="2" t="s">
        <v>713</v>
      </c>
      <c r="T605" s="2" t="s">
        <v>728</v>
      </c>
      <c r="U605" t="e">
        <f>(AE605/#REF!)*100</f>
        <v>#REF!</v>
      </c>
      <c r="V605" s="2" t="s">
        <v>1335</v>
      </c>
      <c r="W605" s="7">
        <v>1144.3800000000001</v>
      </c>
      <c r="X605" s="7">
        <v>2755.04</v>
      </c>
      <c r="Y605" s="7">
        <f t="shared" si="114"/>
        <v>2755.04</v>
      </c>
      <c r="Z605" s="7" t="str">
        <f t="shared" si="115"/>
        <v>High</v>
      </c>
      <c r="AA605" s="13">
        <v>0.15</v>
      </c>
      <c r="AB605" s="13">
        <f t="shared" si="116"/>
        <v>0.15</v>
      </c>
      <c r="AC605" s="13" t="str">
        <f t="shared" si="117"/>
        <v>OK</v>
      </c>
      <c r="AD605" s="7">
        <v>17</v>
      </c>
      <c r="AE605" s="7">
        <f>Y605*AD605*(1-AB605)</f>
        <v>39810.328000000001</v>
      </c>
      <c r="AF605" s="7">
        <f>W605*AD605</f>
        <v>19454.460000000003</v>
      </c>
      <c r="AG605" s="7">
        <f t="shared" si="118"/>
        <v>20355.867999999999</v>
      </c>
      <c r="AH605" s="13">
        <f t="shared" si="119"/>
        <v>0.51132128326096682</v>
      </c>
    </row>
    <row r="606" spans="1:34" x14ac:dyDescent="0.35">
      <c r="A606" s="2" t="s">
        <v>618</v>
      </c>
      <c r="B606" s="5">
        <v>45026</v>
      </c>
      <c r="C606" s="5">
        <f>IF(H606&lt;B606,H606,B606)</f>
        <v>45026</v>
      </c>
      <c r="D606" s="5" t="str">
        <f t="shared" si="108"/>
        <v>Apr-2023</v>
      </c>
      <c r="E606" s="5" t="str">
        <f t="shared" si="109"/>
        <v>Apr</v>
      </c>
      <c r="F606" s="5" t="str">
        <f t="shared" si="110"/>
        <v>2023</v>
      </c>
      <c r="G606" s="5" t="str">
        <f t="shared" si="111"/>
        <v>Q2-2023</v>
      </c>
      <c r="H606" s="5">
        <v>45041</v>
      </c>
      <c r="I606" s="5">
        <f>IF(H606&lt;B606, B606+7, H606)</f>
        <v>45041</v>
      </c>
      <c r="J606" s="5" t="str">
        <f>IF(H606&lt;B606, "Invalid","Okay")</f>
        <v>Okay</v>
      </c>
      <c r="K606" s="16">
        <f>I606-C606</f>
        <v>15</v>
      </c>
      <c r="L606" s="16" t="str">
        <f t="shared" si="112"/>
        <v>Target Not Met</v>
      </c>
      <c r="M606" s="2" t="s">
        <v>649</v>
      </c>
      <c r="N606" s="2" t="s">
        <v>658</v>
      </c>
      <c r="O606" s="2" t="s">
        <v>683</v>
      </c>
      <c r="P606" s="29" t="str">
        <f t="shared" si="113"/>
        <v>Europe→United Kingdom→London</v>
      </c>
      <c r="Q606" s="2" t="s">
        <v>705</v>
      </c>
      <c r="R606" s="2" t="s">
        <v>707</v>
      </c>
      <c r="S606" s="2" t="s">
        <v>726</v>
      </c>
      <c r="T606" s="2" t="s">
        <v>728</v>
      </c>
      <c r="U606" t="e">
        <f>(AE606/#REF!)*100</f>
        <v>#REF!</v>
      </c>
      <c r="V606" s="2" t="s">
        <v>1336</v>
      </c>
      <c r="W606" s="7">
        <v>405.66</v>
      </c>
      <c r="X606" s="7">
        <v>962.51</v>
      </c>
      <c r="Y606" s="7">
        <f t="shared" si="114"/>
        <v>962.51</v>
      </c>
      <c r="Z606" s="7" t="str">
        <f t="shared" si="115"/>
        <v>Low</v>
      </c>
      <c r="AA606" s="13">
        <v>0.19</v>
      </c>
      <c r="AB606" s="13">
        <f t="shared" si="116"/>
        <v>0.19</v>
      </c>
      <c r="AC606" s="13" t="str">
        <f t="shared" si="117"/>
        <v>OK</v>
      </c>
      <c r="AD606" s="7">
        <v>7</v>
      </c>
      <c r="AE606" s="7">
        <f>Y606*AD606*(1-AB606)</f>
        <v>5457.4317000000001</v>
      </c>
      <c r="AF606" s="7">
        <f>W606*AD606</f>
        <v>2839.6200000000003</v>
      </c>
      <c r="AG606" s="7">
        <f t="shared" si="118"/>
        <v>2617.8116999999997</v>
      </c>
      <c r="AH606" s="13">
        <f t="shared" si="119"/>
        <v>0.47967832561239376</v>
      </c>
    </row>
    <row r="607" spans="1:34" x14ac:dyDescent="0.35">
      <c r="A607" s="2" t="s">
        <v>619</v>
      </c>
      <c r="B607" s="5">
        <v>45186</v>
      </c>
      <c r="C607" s="5">
        <f>IF(H607&lt;B607,H607,B607)</f>
        <v>45186</v>
      </c>
      <c r="D607" s="5" t="str">
        <f t="shared" si="108"/>
        <v>Sep-2023</v>
      </c>
      <c r="E607" s="5" t="str">
        <f t="shared" si="109"/>
        <v>Sep</v>
      </c>
      <c r="F607" s="5" t="str">
        <f t="shared" si="110"/>
        <v>2023</v>
      </c>
      <c r="G607" s="5" t="str">
        <f t="shared" si="111"/>
        <v>Q3-2023</v>
      </c>
      <c r="H607" s="5">
        <v>45201</v>
      </c>
      <c r="I607" s="5">
        <f>IF(H607&lt;B607, B607+7, H607)</f>
        <v>45201</v>
      </c>
      <c r="J607" s="5" t="str">
        <f>IF(H607&lt;B607, "Invalid","Okay")</f>
        <v>Okay</v>
      </c>
      <c r="K607" s="16">
        <f>I607-C607</f>
        <v>15</v>
      </c>
      <c r="L607" s="16" t="str">
        <f t="shared" si="112"/>
        <v>Target Not Met</v>
      </c>
      <c r="M607" s="2" t="s">
        <v>648</v>
      </c>
      <c r="N607" s="2" t="s">
        <v>655</v>
      </c>
      <c r="O607" s="2" t="s">
        <v>692</v>
      </c>
      <c r="P607" s="29" t="str">
        <f t="shared" si="113"/>
        <v>Americas→Brazil→Rio de Janeiro</v>
      </c>
      <c r="Q607" s="2" t="s">
        <v>705</v>
      </c>
      <c r="R607" s="2" t="s">
        <v>707</v>
      </c>
      <c r="S607" s="2" t="s">
        <v>717</v>
      </c>
      <c r="T607" s="2" t="s">
        <v>731</v>
      </c>
      <c r="U607" t="e">
        <f>(AE607/#REF!)*100</f>
        <v>#REF!</v>
      </c>
      <c r="V607" s="2" t="s">
        <v>1337</v>
      </c>
      <c r="W607" s="7">
        <v>689.33</v>
      </c>
      <c r="X607" s="7">
        <v>668.27</v>
      </c>
      <c r="Y607" s="7">
        <f t="shared" si="114"/>
        <v>668.27</v>
      </c>
      <c r="Z607" s="7" t="str">
        <f t="shared" si="115"/>
        <v>Low</v>
      </c>
      <c r="AA607" s="13">
        <v>0.186</v>
      </c>
      <c r="AB607" s="13">
        <f t="shared" si="116"/>
        <v>0.186</v>
      </c>
      <c r="AC607" s="13" t="str">
        <f t="shared" si="117"/>
        <v>OK</v>
      </c>
      <c r="AD607" s="7">
        <v>13</v>
      </c>
      <c r="AE607" s="7">
        <f>Y607*AD607*(1-AB607)</f>
        <v>7071.6331400000008</v>
      </c>
      <c r="AF607" s="7">
        <f>W607*AD607</f>
        <v>8961.2900000000009</v>
      </c>
      <c r="AG607" s="7">
        <f t="shared" si="118"/>
        <v>-1889.6568600000001</v>
      </c>
      <c r="AH607" s="13">
        <f t="shared" si="119"/>
        <v>-0.26721647214861033</v>
      </c>
    </row>
    <row r="608" spans="1:34" x14ac:dyDescent="0.35">
      <c r="A608" s="2" t="s">
        <v>620</v>
      </c>
      <c r="B608" s="5">
        <v>45038</v>
      </c>
      <c r="C608" s="5">
        <f>IF(H608&lt;B608,H608,B608)</f>
        <v>45038</v>
      </c>
      <c r="D608" s="5" t="str">
        <f t="shared" si="108"/>
        <v>Apr-2023</v>
      </c>
      <c r="E608" s="5" t="str">
        <f t="shared" si="109"/>
        <v>Apr</v>
      </c>
      <c r="F608" s="5" t="str">
        <f t="shared" si="110"/>
        <v>2023</v>
      </c>
      <c r="G608" s="5" t="str">
        <f t="shared" si="111"/>
        <v>Q2-2023</v>
      </c>
      <c r="H608" s="5">
        <v>45060</v>
      </c>
      <c r="I608" s="5">
        <f>IF(H608&lt;B608, B608+7, H608)</f>
        <v>45060</v>
      </c>
      <c r="J608" s="5" t="str">
        <f>IF(H608&lt;B608, "Invalid","Okay")</f>
        <v>Okay</v>
      </c>
      <c r="K608" s="16">
        <f>I608-C608</f>
        <v>22</v>
      </c>
      <c r="L608" s="16" t="str">
        <f t="shared" si="112"/>
        <v>Target Not Met</v>
      </c>
      <c r="M608" s="2" t="s">
        <v>647</v>
      </c>
      <c r="N608" s="2" t="s">
        <v>652</v>
      </c>
      <c r="O608" s="2" t="s">
        <v>694</v>
      </c>
      <c r="P608" s="29" t="str">
        <f t="shared" si="113"/>
        <v>Asia→Japan→Nagoya</v>
      </c>
      <c r="Q608" s="2" t="s">
        <v>706</v>
      </c>
      <c r="R608" s="2" t="s">
        <v>707</v>
      </c>
      <c r="S608" s="2" t="s">
        <v>720</v>
      </c>
      <c r="T608" s="2" t="s">
        <v>733</v>
      </c>
      <c r="U608" t="e">
        <f>(AE608/#REF!)*100</f>
        <v>#REF!</v>
      </c>
      <c r="V608" s="2" t="s">
        <v>1338</v>
      </c>
      <c r="W608" s="7">
        <v>1209.22</v>
      </c>
      <c r="X608" s="7">
        <v>1404.33</v>
      </c>
      <c r="Y608" s="7">
        <f t="shared" si="114"/>
        <v>1404.33</v>
      </c>
      <c r="Z608" s="7" t="str">
        <f t="shared" si="115"/>
        <v>Medium</v>
      </c>
      <c r="AA608" s="13">
        <v>0.10299999999999999</v>
      </c>
      <c r="AB608" s="13">
        <f t="shared" si="116"/>
        <v>0.10299999999999999</v>
      </c>
      <c r="AC608" s="13" t="str">
        <f t="shared" si="117"/>
        <v>OK</v>
      </c>
      <c r="AD608" s="7">
        <v>11</v>
      </c>
      <c r="AE608" s="7">
        <f>Y608*AD608*(1-AB608)</f>
        <v>13856.52411</v>
      </c>
      <c r="AF608" s="7">
        <f>W608*AD608</f>
        <v>13301.42</v>
      </c>
      <c r="AG608" s="7">
        <f t="shared" si="118"/>
        <v>555.10411000000022</v>
      </c>
      <c r="AH608" s="13">
        <f t="shared" si="119"/>
        <v>4.0060848275751328E-2</v>
      </c>
    </row>
    <row r="609" spans="1:34" x14ac:dyDescent="0.35">
      <c r="A609" s="2" t="s">
        <v>621</v>
      </c>
      <c r="B609" s="5">
        <v>45827</v>
      </c>
      <c r="C609" s="5">
        <f>IF(H609&lt;B609,H609,B609)</f>
        <v>45827</v>
      </c>
      <c r="D609" s="5" t="str">
        <f t="shared" si="108"/>
        <v>Jun-2025</v>
      </c>
      <c r="E609" s="5" t="str">
        <f t="shared" si="109"/>
        <v>Jun</v>
      </c>
      <c r="F609" s="5" t="str">
        <f t="shared" si="110"/>
        <v>2025</v>
      </c>
      <c r="G609" s="5" t="str">
        <f t="shared" si="111"/>
        <v>Q2-2025</v>
      </c>
      <c r="H609" s="5">
        <v>45829</v>
      </c>
      <c r="I609" s="5">
        <f>IF(H609&lt;B609, B609+7, H609)</f>
        <v>45829</v>
      </c>
      <c r="J609" s="5" t="str">
        <f>IF(H609&lt;B609, "Invalid","Okay")</f>
        <v>Okay</v>
      </c>
      <c r="K609" s="16">
        <f>I609-C609</f>
        <v>2</v>
      </c>
      <c r="L609" s="16" t="str">
        <f t="shared" si="112"/>
        <v>Target Met</v>
      </c>
      <c r="M609" s="2" t="s">
        <v>646</v>
      </c>
      <c r="N609" s="2" t="s">
        <v>661</v>
      </c>
      <c r="O609" s="2" t="s">
        <v>682</v>
      </c>
      <c r="P609" s="29" t="str">
        <f t="shared" si="113"/>
        <v>Africa→South Africa→Johannesburg</v>
      </c>
      <c r="Q609" s="2" t="s">
        <v>705</v>
      </c>
      <c r="R609" s="2" t="s">
        <v>1423</v>
      </c>
      <c r="S609" s="2" t="s">
        <v>722</v>
      </c>
      <c r="T609" s="2" t="s">
        <v>730</v>
      </c>
      <c r="U609" t="e">
        <f>(AE609/#REF!)*100</f>
        <v>#REF!</v>
      </c>
      <c r="V609" s="2" t="s">
        <v>1339</v>
      </c>
      <c r="W609" s="7">
        <v>1466.27</v>
      </c>
      <c r="X609" s="7">
        <v>3589.89</v>
      </c>
      <c r="Y609" s="7">
        <f t="shared" si="114"/>
        <v>3589.89</v>
      </c>
      <c r="Z609" s="7" t="str">
        <f t="shared" si="115"/>
        <v>High</v>
      </c>
      <c r="AA609" s="13">
        <v>9.7000000000000003E-2</v>
      </c>
      <c r="AB609" s="13">
        <f t="shared" si="116"/>
        <v>9.7000000000000003E-2</v>
      </c>
      <c r="AC609" s="13" t="str">
        <f t="shared" si="117"/>
        <v>OK</v>
      </c>
      <c r="AD609" s="7">
        <v>9</v>
      </c>
      <c r="AE609" s="7">
        <f>Y609*AD609*(1-AB609)</f>
        <v>29175.036029999999</v>
      </c>
      <c r="AF609" s="7">
        <f>W609*AD609</f>
        <v>13196.43</v>
      </c>
      <c r="AG609" s="7">
        <f t="shared" si="118"/>
        <v>15978.606029999999</v>
      </c>
      <c r="AH609" s="13">
        <f t="shared" si="119"/>
        <v>0.54768076425234147</v>
      </c>
    </row>
    <row r="610" spans="1:34" x14ac:dyDescent="0.35">
      <c r="A610" s="2" t="s">
        <v>622</v>
      </c>
      <c r="B610" s="5">
        <v>45623</v>
      </c>
      <c r="C610" s="5">
        <f>IF(H610&lt;B610,H610,B610)</f>
        <v>45623</v>
      </c>
      <c r="D610" s="5" t="str">
        <f t="shared" si="108"/>
        <v>Nov-2024</v>
      </c>
      <c r="E610" s="5" t="str">
        <f t="shared" si="109"/>
        <v>Nov</v>
      </c>
      <c r="F610" s="5" t="str">
        <f t="shared" si="110"/>
        <v>2024</v>
      </c>
      <c r="G610" s="5" t="str">
        <f t="shared" si="111"/>
        <v>Q4-2024</v>
      </c>
      <c r="H610" s="5">
        <v>45650</v>
      </c>
      <c r="I610" s="5">
        <f>IF(H610&lt;B610, B610+7, H610)</f>
        <v>45650</v>
      </c>
      <c r="J610" s="5" t="str">
        <f>IF(H610&lt;B610, "Invalid","Okay")</f>
        <v>Okay</v>
      </c>
      <c r="K610" s="16">
        <f>I610-C610</f>
        <v>27</v>
      </c>
      <c r="L610" s="16" t="str">
        <f t="shared" si="112"/>
        <v>Target Not Met</v>
      </c>
      <c r="M610" s="2" t="s">
        <v>646</v>
      </c>
      <c r="N610" s="2" t="s">
        <v>650</v>
      </c>
      <c r="O610" s="2" t="s">
        <v>675</v>
      </c>
      <c r="P610" s="29" t="str">
        <f t="shared" si="113"/>
        <v>Africa→Kenya→Mombasa</v>
      </c>
      <c r="Q610" s="2" t="s">
        <v>701</v>
      </c>
      <c r="R610" s="2" t="s">
        <v>710</v>
      </c>
      <c r="S610" s="2" t="s">
        <v>717</v>
      </c>
      <c r="T610" s="2" t="s">
        <v>728</v>
      </c>
      <c r="U610" t="e">
        <f>(AE610/#REF!)*100</f>
        <v>#REF!</v>
      </c>
      <c r="V610" s="2" t="s">
        <v>1340</v>
      </c>
      <c r="W610" s="7">
        <v>143.33000000000001</v>
      </c>
      <c r="X610" s="7">
        <v>233.51</v>
      </c>
      <c r="Y610" s="7">
        <f t="shared" si="114"/>
        <v>233.51</v>
      </c>
      <c r="Z610" s="7" t="str">
        <f t="shared" si="115"/>
        <v>Low</v>
      </c>
      <c r="AA610" s="13">
        <v>0.16300000000000001</v>
      </c>
      <c r="AB610" s="13">
        <f t="shared" si="116"/>
        <v>0.16300000000000001</v>
      </c>
      <c r="AC610" s="13" t="str">
        <f t="shared" si="117"/>
        <v>OK</v>
      </c>
      <c r="AD610" s="7">
        <v>14</v>
      </c>
      <c r="AE610" s="7">
        <f>Y610*AD610*(1-AB610)</f>
        <v>2736.27018</v>
      </c>
      <c r="AF610" s="7">
        <f>W610*AD610</f>
        <v>2006.6200000000001</v>
      </c>
      <c r="AG610" s="7">
        <f t="shared" si="118"/>
        <v>729.65017999999986</v>
      </c>
      <c r="AH610" s="13">
        <f t="shared" si="119"/>
        <v>0.26665867476580835</v>
      </c>
    </row>
    <row r="611" spans="1:34" x14ac:dyDescent="0.35">
      <c r="A611" s="2" t="s">
        <v>623</v>
      </c>
      <c r="B611" s="5">
        <v>45319</v>
      </c>
      <c r="C611" s="5">
        <f>IF(H611&lt;B611,H611,B611)</f>
        <v>45318</v>
      </c>
      <c r="D611" s="5" t="str">
        <f t="shared" si="108"/>
        <v>Jan-2024</v>
      </c>
      <c r="E611" s="5" t="str">
        <f t="shared" si="109"/>
        <v>Jan</v>
      </c>
      <c r="F611" s="5" t="str">
        <f t="shared" si="110"/>
        <v>2024</v>
      </c>
      <c r="G611" s="5" t="str">
        <f t="shared" si="111"/>
        <v>Q1-2024</v>
      </c>
      <c r="H611" s="5">
        <v>45318</v>
      </c>
      <c r="I611" s="5">
        <f>IF(H611&lt;B611, B611+7, H611)</f>
        <v>45326</v>
      </c>
      <c r="J611" s="5" t="str">
        <f>IF(H611&lt;B611, "Invalid","Okay")</f>
        <v>Invalid</v>
      </c>
      <c r="K611" s="16">
        <f>I611-C611</f>
        <v>8</v>
      </c>
      <c r="L611" s="16" t="str">
        <f t="shared" si="112"/>
        <v>Target Not Met</v>
      </c>
      <c r="M611" s="2" t="s">
        <v>646</v>
      </c>
      <c r="N611" s="2" t="s">
        <v>661</v>
      </c>
      <c r="O611" s="2" t="s">
        <v>695</v>
      </c>
      <c r="P611" s="29" t="str">
        <f t="shared" si="113"/>
        <v>Africa→South Africa→Cape Town</v>
      </c>
      <c r="Q611" s="2" t="s">
        <v>706</v>
      </c>
      <c r="R611" s="2" t="s">
        <v>711</v>
      </c>
      <c r="S611" s="2" t="s">
        <v>719</v>
      </c>
      <c r="T611" s="2" t="s">
        <v>727</v>
      </c>
      <c r="U611" t="e">
        <f>(AE611/#REF!)*100</f>
        <v>#REF!</v>
      </c>
      <c r="V611" s="2" t="s">
        <v>1341</v>
      </c>
      <c r="W611" s="7">
        <v>109.75</v>
      </c>
      <c r="X611" s="7">
        <v>124.25</v>
      </c>
      <c r="Y611" s="7">
        <f t="shared" si="114"/>
        <v>124.25</v>
      </c>
      <c r="Z611" s="7" t="str">
        <f t="shared" si="115"/>
        <v>Low</v>
      </c>
      <c r="AA611" s="13">
        <v>0.12</v>
      </c>
      <c r="AB611" s="13">
        <f t="shared" si="116"/>
        <v>0.12</v>
      </c>
      <c r="AC611" s="13" t="str">
        <f t="shared" si="117"/>
        <v>OK</v>
      </c>
      <c r="AD611" s="7">
        <v>19</v>
      </c>
      <c r="AE611" s="7">
        <f>Y611*AD611*(1-AB611)</f>
        <v>2077.46</v>
      </c>
      <c r="AF611" s="7">
        <f>W611*AD611</f>
        <v>2085.25</v>
      </c>
      <c r="AG611" s="7">
        <f t="shared" si="118"/>
        <v>-7.7899999999999636</v>
      </c>
      <c r="AH611" s="13">
        <f t="shared" si="119"/>
        <v>-3.7497713554051405E-3</v>
      </c>
    </row>
    <row r="612" spans="1:34" x14ac:dyDescent="0.35">
      <c r="A612" s="2" t="s">
        <v>624</v>
      </c>
      <c r="B612" s="5">
        <v>45032</v>
      </c>
      <c r="C612" s="5">
        <f>IF(H612&lt;B612,H612,B612)</f>
        <v>45032</v>
      </c>
      <c r="D612" s="5" t="str">
        <f t="shared" si="108"/>
        <v>Apr-2023</v>
      </c>
      <c r="E612" s="5" t="str">
        <f t="shared" si="109"/>
        <v>Apr</v>
      </c>
      <c r="F612" s="5" t="str">
        <f t="shared" si="110"/>
        <v>2023</v>
      </c>
      <c r="G612" s="5" t="str">
        <f t="shared" si="111"/>
        <v>Q2-2023</v>
      </c>
      <c r="H612" s="5">
        <v>45039</v>
      </c>
      <c r="I612" s="5">
        <f>IF(H612&lt;B612, B612+7, H612)</f>
        <v>45039</v>
      </c>
      <c r="J612" s="5" t="str">
        <f>IF(H612&lt;B612, "Invalid","Okay")</f>
        <v>Okay</v>
      </c>
      <c r="K612" s="16">
        <f>I612-C612</f>
        <v>7</v>
      </c>
      <c r="L612" s="16" t="str">
        <f t="shared" si="112"/>
        <v>Target Met</v>
      </c>
      <c r="M612" s="2" t="s">
        <v>648</v>
      </c>
      <c r="N612" s="2" t="s">
        <v>660</v>
      </c>
      <c r="O612" s="2" t="s">
        <v>697</v>
      </c>
      <c r="P612" s="29" t="str">
        <f t="shared" si="113"/>
        <v>Americas→USA→Austin</v>
      </c>
      <c r="Q612" s="2" t="s">
        <v>701</v>
      </c>
      <c r="R612" s="2" t="s">
        <v>710</v>
      </c>
      <c r="S612" s="2" t="s">
        <v>719</v>
      </c>
      <c r="T612" s="2" t="s">
        <v>728</v>
      </c>
      <c r="U612" t="e">
        <f>(AE612/#REF!)*100</f>
        <v>#REF!</v>
      </c>
      <c r="V612" s="2" t="s">
        <v>1342</v>
      </c>
      <c r="W612" s="7">
        <v>1099.1500000000001</v>
      </c>
      <c r="X612" s="7">
        <v>1431.37</v>
      </c>
      <c r="Y612" s="7">
        <f t="shared" si="114"/>
        <v>1431.37</v>
      </c>
      <c r="Z612" s="7" t="str">
        <f t="shared" si="115"/>
        <v>Medium</v>
      </c>
      <c r="AA612" s="13">
        <v>0.104</v>
      </c>
      <c r="AB612" s="13">
        <f t="shared" si="116"/>
        <v>0.104</v>
      </c>
      <c r="AC612" s="13" t="str">
        <f t="shared" si="117"/>
        <v>OK</v>
      </c>
      <c r="AD612" s="7">
        <v>8</v>
      </c>
      <c r="AE612" s="7">
        <f>Y612*AD612*(1-AB612)</f>
        <v>10260.060159999999</v>
      </c>
      <c r="AF612" s="7">
        <f>W612*AD612</f>
        <v>8793.2000000000007</v>
      </c>
      <c r="AG612" s="7">
        <f t="shared" si="118"/>
        <v>1466.8601599999984</v>
      </c>
      <c r="AH612" s="13">
        <f t="shared" si="119"/>
        <v>0.14296798821109433</v>
      </c>
    </row>
    <row r="613" spans="1:34" x14ac:dyDescent="0.35">
      <c r="A613" s="2" t="s">
        <v>625</v>
      </c>
      <c r="B613" s="5">
        <v>45323</v>
      </c>
      <c r="C613" s="5">
        <f>IF(H613&lt;B613,H613,B613)</f>
        <v>45323</v>
      </c>
      <c r="D613" s="5" t="str">
        <f t="shared" si="108"/>
        <v>Feb-2024</v>
      </c>
      <c r="E613" s="5" t="str">
        <f t="shared" si="109"/>
        <v>Feb</v>
      </c>
      <c r="F613" s="5" t="str">
        <f t="shared" si="110"/>
        <v>2024</v>
      </c>
      <c r="G613" s="5" t="str">
        <f t="shared" si="111"/>
        <v>Q1-2024</v>
      </c>
      <c r="H613" s="5">
        <v>45323</v>
      </c>
      <c r="I613" s="5">
        <f>IF(H613&lt;B613, B613+7, H613)</f>
        <v>45323</v>
      </c>
      <c r="J613" s="5" t="str">
        <f>IF(H613&lt;B613, "Invalid","Okay")</f>
        <v>Okay</v>
      </c>
      <c r="K613" s="16">
        <f>I613-C613</f>
        <v>0</v>
      </c>
      <c r="L613" s="16" t="str">
        <f t="shared" si="112"/>
        <v>Target Met</v>
      </c>
      <c r="M613" s="2" t="s">
        <v>648</v>
      </c>
      <c r="N613" s="2" t="s">
        <v>660</v>
      </c>
      <c r="O613" s="2" t="s">
        <v>697</v>
      </c>
      <c r="P613" s="29" t="str">
        <f t="shared" si="113"/>
        <v>Americas→USA→Austin</v>
      </c>
      <c r="Q613" s="2" t="s">
        <v>704</v>
      </c>
      <c r="R613" s="2" t="s">
        <v>710</v>
      </c>
      <c r="S613" s="2" t="s">
        <v>722</v>
      </c>
      <c r="T613" s="2" t="s">
        <v>728</v>
      </c>
      <c r="U613" t="e">
        <f>(AE613/#REF!)*100</f>
        <v>#REF!</v>
      </c>
      <c r="V613" s="2" t="s">
        <v>1343</v>
      </c>
      <c r="W613" s="7">
        <v>714.43</v>
      </c>
      <c r="X613" s="7">
        <v>1595.52</v>
      </c>
      <c r="Y613" s="7">
        <f t="shared" si="114"/>
        <v>1595.52</v>
      </c>
      <c r="Z613" s="7" t="str">
        <f t="shared" si="115"/>
        <v>Medium</v>
      </c>
      <c r="AA613" s="13">
        <v>0.19400000000000001</v>
      </c>
      <c r="AB613" s="13">
        <f t="shared" si="116"/>
        <v>0.19400000000000001</v>
      </c>
      <c r="AC613" s="13" t="str">
        <f t="shared" si="117"/>
        <v>OK</v>
      </c>
      <c r="AD613" s="7">
        <v>14</v>
      </c>
      <c r="AE613" s="7">
        <f>Y613*AD613*(1-AB613)</f>
        <v>18003.847679999999</v>
      </c>
      <c r="AF613" s="7">
        <f>W613*AD613</f>
        <v>10002.019999999999</v>
      </c>
      <c r="AG613" s="7">
        <f t="shared" si="118"/>
        <v>8001.8276800000003</v>
      </c>
      <c r="AH613" s="13">
        <f t="shared" si="119"/>
        <v>0.44445097638151093</v>
      </c>
    </row>
    <row r="614" spans="1:34" x14ac:dyDescent="0.35">
      <c r="A614" s="2" t="s">
        <v>626</v>
      </c>
      <c r="B614" s="5">
        <v>45584</v>
      </c>
      <c r="C614" s="5">
        <f>IF(H614&lt;B614,H614,B614)</f>
        <v>45584</v>
      </c>
      <c r="D614" s="5" t="str">
        <f t="shared" si="108"/>
        <v>Oct-2024</v>
      </c>
      <c r="E614" s="5" t="str">
        <f t="shared" si="109"/>
        <v>Oct</v>
      </c>
      <c r="F614" s="5" t="str">
        <f t="shared" si="110"/>
        <v>2024</v>
      </c>
      <c r="G614" s="5" t="str">
        <f t="shared" si="111"/>
        <v>Q4-2024</v>
      </c>
      <c r="H614" s="5">
        <v>45602</v>
      </c>
      <c r="I614" s="5">
        <f>IF(H614&lt;B614, B614+7, H614)</f>
        <v>45602</v>
      </c>
      <c r="J614" s="5" t="str">
        <f>IF(H614&lt;B614, "Invalid","Okay")</f>
        <v>Okay</v>
      </c>
      <c r="K614" s="16">
        <f>I614-C614</f>
        <v>18</v>
      </c>
      <c r="L614" s="16" t="str">
        <f t="shared" si="112"/>
        <v>Target Not Met</v>
      </c>
      <c r="M614" s="2" t="s">
        <v>648</v>
      </c>
      <c r="N614" s="2" t="s">
        <v>660</v>
      </c>
      <c r="O614" s="2" t="s">
        <v>677</v>
      </c>
      <c r="P614" s="29" t="str">
        <f t="shared" si="113"/>
        <v>Americas→USA→Chicago</v>
      </c>
      <c r="Q614" s="2" t="s">
        <v>702</v>
      </c>
      <c r="R614" s="2" t="s">
        <v>1423</v>
      </c>
      <c r="S614" s="2" t="s">
        <v>712</v>
      </c>
      <c r="T614" s="2" t="s">
        <v>732</v>
      </c>
      <c r="U614" t="e">
        <f>(AE614/#REF!)*100</f>
        <v>#REF!</v>
      </c>
      <c r="V614" s="2" t="s">
        <v>1344</v>
      </c>
      <c r="W614" s="7">
        <v>942.02</v>
      </c>
      <c r="X614" s="7">
        <v>1028.46</v>
      </c>
      <c r="Y614" s="7">
        <f t="shared" si="114"/>
        <v>1028.46</v>
      </c>
      <c r="Z614" s="7" t="str">
        <f t="shared" si="115"/>
        <v>Low</v>
      </c>
      <c r="AA614" s="13">
        <v>0</v>
      </c>
      <c r="AB614" s="13">
        <f t="shared" si="116"/>
        <v>0</v>
      </c>
      <c r="AC614" s="13" t="str">
        <f t="shared" si="117"/>
        <v>OK</v>
      </c>
      <c r="AD614" s="7">
        <v>9</v>
      </c>
      <c r="AE614" s="7">
        <f>Y614*AD614*(1-AB614)</f>
        <v>9256.14</v>
      </c>
      <c r="AF614" s="7">
        <f>W614*AD614</f>
        <v>8478.18</v>
      </c>
      <c r="AG614" s="7">
        <f t="shared" si="118"/>
        <v>777.95999999999913</v>
      </c>
      <c r="AH614" s="13">
        <f t="shared" si="119"/>
        <v>8.4047994088248354E-2</v>
      </c>
    </row>
    <row r="615" spans="1:34" x14ac:dyDescent="0.35">
      <c r="A615" s="2" t="s">
        <v>627</v>
      </c>
      <c r="B615" s="5">
        <v>45468</v>
      </c>
      <c r="C615" s="5">
        <f>IF(H615&lt;B615,H615,B615)</f>
        <v>45468</v>
      </c>
      <c r="D615" s="5" t="str">
        <f t="shared" si="108"/>
        <v>Jun-2024</v>
      </c>
      <c r="E615" s="5" t="str">
        <f t="shared" si="109"/>
        <v>Jun</v>
      </c>
      <c r="F615" s="5" t="str">
        <f t="shared" si="110"/>
        <v>2024</v>
      </c>
      <c r="G615" s="5" t="str">
        <f t="shared" si="111"/>
        <v>Q2-2024</v>
      </c>
      <c r="H615" s="5">
        <v>45473</v>
      </c>
      <c r="I615" s="5">
        <f>IF(H615&lt;B615, B615+7, H615)</f>
        <v>45473</v>
      </c>
      <c r="J615" s="5" t="str">
        <f>IF(H615&lt;B615, "Invalid","Okay")</f>
        <v>Okay</v>
      </c>
      <c r="K615" s="16">
        <f>I615-C615</f>
        <v>5</v>
      </c>
      <c r="L615" s="16" t="str">
        <f t="shared" si="112"/>
        <v>Target Met</v>
      </c>
      <c r="M615" s="2" t="s">
        <v>646</v>
      </c>
      <c r="N615" s="2" t="s">
        <v>650</v>
      </c>
      <c r="O615" s="2" t="s">
        <v>662</v>
      </c>
      <c r="P615" s="29" t="str">
        <f t="shared" si="113"/>
        <v>Africa→Kenya→Kisumu</v>
      </c>
      <c r="Q615" s="2" t="s">
        <v>702</v>
      </c>
      <c r="R615" s="2" t="s">
        <v>711</v>
      </c>
      <c r="S615" s="2" t="s">
        <v>724</v>
      </c>
      <c r="T615" s="2" t="s">
        <v>729</v>
      </c>
      <c r="U615" t="e">
        <f>(AE615/#REF!)*100</f>
        <v>#REF!</v>
      </c>
      <c r="V615" s="2" t="s">
        <v>1345</v>
      </c>
      <c r="W615" s="7">
        <v>1323.55</v>
      </c>
      <c r="X615" s="7">
        <v>3230.35</v>
      </c>
      <c r="Y615" s="7">
        <f t="shared" si="114"/>
        <v>3230.35</v>
      </c>
      <c r="Z615" s="7" t="str">
        <f t="shared" si="115"/>
        <v>High</v>
      </c>
      <c r="AA615" s="13">
        <v>2.1999999999999999E-2</v>
      </c>
      <c r="AB615" s="13">
        <f t="shared" si="116"/>
        <v>2.1999999999999999E-2</v>
      </c>
      <c r="AC615" s="13" t="str">
        <f t="shared" si="117"/>
        <v>OK</v>
      </c>
      <c r="AD615" s="7">
        <v>26</v>
      </c>
      <c r="AE615" s="7">
        <f>Y615*AD615*(1-AB615)</f>
        <v>82141.339799999987</v>
      </c>
      <c r="AF615" s="7">
        <f>W615*AD615</f>
        <v>34412.299999999996</v>
      </c>
      <c r="AG615" s="7">
        <f t="shared" si="118"/>
        <v>47729.039799999991</v>
      </c>
      <c r="AH615" s="13">
        <f t="shared" si="119"/>
        <v>0.58105991351263542</v>
      </c>
    </row>
    <row r="616" spans="1:34" x14ac:dyDescent="0.35">
      <c r="A616" s="2" t="s">
        <v>628</v>
      </c>
      <c r="B616" s="5">
        <v>45137</v>
      </c>
      <c r="C616" s="5">
        <f>IF(H616&lt;B616,H616,B616)</f>
        <v>45137</v>
      </c>
      <c r="D616" s="5" t="str">
        <f t="shared" si="108"/>
        <v>Jul-2023</v>
      </c>
      <c r="E616" s="5" t="str">
        <f t="shared" si="109"/>
        <v>Jul</v>
      </c>
      <c r="F616" s="5" t="str">
        <f t="shared" si="110"/>
        <v>2023</v>
      </c>
      <c r="G616" s="5" t="str">
        <f t="shared" si="111"/>
        <v>Q3-2023</v>
      </c>
      <c r="H616" s="5">
        <v>45157</v>
      </c>
      <c r="I616" s="5">
        <f>IF(H616&lt;B616, B616+7, H616)</f>
        <v>45157</v>
      </c>
      <c r="J616" s="5" t="str">
        <f>IF(H616&lt;B616, "Invalid","Okay")</f>
        <v>Okay</v>
      </c>
      <c r="K616" s="16">
        <f>I616-C616</f>
        <v>20</v>
      </c>
      <c r="L616" s="16" t="str">
        <f t="shared" si="112"/>
        <v>Target Not Met</v>
      </c>
      <c r="M616" s="2" t="s">
        <v>649</v>
      </c>
      <c r="N616" s="2" t="s">
        <v>657</v>
      </c>
      <c r="O616" s="2" t="s">
        <v>690</v>
      </c>
      <c r="P616" s="29" t="str">
        <f t="shared" si="113"/>
        <v>Europe→France→Paris</v>
      </c>
      <c r="Q616" s="2" t="s">
        <v>706</v>
      </c>
      <c r="R616" s="2" t="s">
        <v>709</v>
      </c>
      <c r="S616" s="2" t="s">
        <v>715</v>
      </c>
      <c r="T616" s="2" t="s">
        <v>729</v>
      </c>
      <c r="U616" t="e">
        <f>(AE616/#REF!)*100</f>
        <v>#REF!</v>
      </c>
      <c r="V616" s="2" t="s">
        <v>1346</v>
      </c>
      <c r="W616" s="7">
        <v>1418.51</v>
      </c>
      <c r="X616" s="7">
        <v>2789.61</v>
      </c>
      <c r="Y616" s="7">
        <f t="shared" si="114"/>
        <v>2789.61</v>
      </c>
      <c r="Z616" s="7" t="str">
        <f t="shared" si="115"/>
        <v>High</v>
      </c>
      <c r="AA616" s="13">
        <v>0.17100000000000001</v>
      </c>
      <c r="AB616" s="13">
        <f t="shared" si="116"/>
        <v>0.17100000000000001</v>
      </c>
      <c r="AC616" s="13" t="str">
        <f t="shared" si="117"/>
        <v>OK</v>
      </c>
      <c r="AD616" s="7">
        <v>8</v>
      </c>
      <c r="AE616" s="7">
        <f>Y616*AD616*(1-AB616)</f>
        <v>18500.693520000001</v>
      </c>
      <c r="AF616" s="7">
        <f>W616*AD616</f>
        <v>11348.08</v>
      </c>
      <c r="AG616" s="7">
        <f t="shared" si="118"/>
        <v>7152.6135200000008</v>
      </c>
      <c r="AH616" s="13">
        <f t="shared" si="119"/>
        <v>0.38661326464695689</v>
      </c>
    </row>
    <row r="617" spans="1:34" x14ac:dyDescent="0.35">
      <c r="A617" s="2" t="s">
        <v>629</v>
      </c>
      <c r="B617" s="5">
        <v>45727</v>
      </c>
      <c r="C617" s="5">
        <f>IF(H617&lt;B617,H617,B617)</f>
        <v>45727</v>
      </c>
      <c r="D617" s="5" t="str">
        <f t="shared" si="108"/>
        <v>Mar-2025</v>
      </c>
      <c r="E617" s="5" t="str">
        <f t="shared" si="109"/>
        <v>Mar</v>
      </c>
      <c r="F617" s="5" t="str">
        <f t="shared" si="110"/>
        <v>2025</v>
      </c>
      <c r="G617" s="5" t="str">
        <f t="shared" si="111"/>
        <v>Q1-2025</v>
      </c>
      <c r="H617" s="5">
        <v>45743</v>
      </c>
      <c r="I617" s="5">
        <f>IF(H617&lt;B617, B617+7, H617)</f>
        <v>45743</v>
      </c>
      <c r="J617" s="5" t="str">
        <f>IF(H617&lt;B617, "Invalid","Okay")</f>
        <v>Okay</v>
      </c>
      <c r="K617" s="16">
        <f>I617-C617</f>
        <v>16</v>
      </c>
      <c r="L617" s="16" t="str">
        <f t="shared" si="112"/>
        <v>Target Not Met</v>
      </c>
      <c r="M617" s="2" t="s">
        <v>647</v>
      </c>
      <c r="N617" s="2" t="s">
        <v>652</v>
      </c>
      <c r="O617" s="2" t="s">
        <v>689</v>
      </c>
      <c r="P617" s="29" t="str">
        <f t="shared" si="113"/>
        <v>Asia→Japan→Tokyo</v>
      </c>
      <c r="Q617" s="2" t="s">
        <v>706</v>
      </c>
      <c r="R617" s="2" t="s">
        <v>710</v>
      </c>
      <c r="S617" s="2" t="s">
        <v>717</v>
      </c>
      <c r="T617" s="2" t="s">
        <v>728</v>
      </c>
      <c r="U617" t="e">
        <f>(AE617/#REF!)*100</f>
        <v>#REF!</v>
      </c>
      <c r="V617" s="2" t="s">
        <v>1347</v>
      </c>
      <c r="W617" s="7">
        <v>1317.58</v>
      </c>
      <c r="X617" s="7">
        <v>1897.74</v>
      </c>
      <c r="Y617" s="7">
        <f t="shared" si="114"/>
        <v>1897.74</v>
      </c>
      <c r="Z617" s="7" t="str">
        <f t="shared" si="115"/>
        <v>Medium</v>
      </c>
      <c r="AA617" s="13">
        <v>8.1000000000000003E-2</v>
      </c>
      <c r="AB617" s="13">
        <f t="shared" si="116"/>
        <v>8.1000000000000003E-2</v>
      </c>
      <c r="AC617" s="13" t="str">
        <f t="shared" si="117"/>
        <v>OK</v>
      </c>
      <c r="AD617" s="7">
        <v>6</v>
      </c>
      <c r="AE617" s="7">
        <f>Y617*AD617*(1-AB617)</f>
        <v>10464.138360000001</v>
      </c>
      <c r="AF617" s="7">
        <f>W617*AD617</f>
        <v>7905.48</v>
      </c>
      <c r="AG617" s="7">
        <f t="shared" si="118"/>
        <v>2558.6583600000013</v>
      </c>
      <c r="AH617" s="13">
        <f t="shared" si="119"/>
        <v>0.24451687009230266</v>
      </c>
    </row>
    <row r="618" spans="1:34" x14ac:dyDescent="0.35">
      <c r="A618" s="2" t="s">
        <v>630</v>
      </c>
      <c r="B618" s="5">
        <v>45208</v>
      </c>
      <c r="C618" s="5">
        <f>IF(H618&lt;B618,H618,B618)</f>
        <v>45208</v>
      </c>
      <c r="D618" s="5" t="str">
        <f t="shared" si="108"/>
        <v>Oct-2023</v>
      </c>
      <c r="E618" s="5" t="str">
        <f t="shared" si="109"/>
        <v>Oct</v>
      </c>
      <c r="F618" s="5" t="str">
        <f t="shared" si="110"/>
        <v>2023</v>
      </c>
      <c r="G618" s="5" t="str">
        <f t="shared" si="111"/>
        <v>Q4-2023</v>
      </c>
      <c r="H618" s="5">
        <v>45210</v>
      </c>
      <c r="I618" s="5">
        <f>IF(H618&lt;B618, B618+7, H618)</f>
        <v>45210</v>
      </c>
      <c r="J618" s="5" t="str">
        <f>IF(H618&lt;B618, "Invalid","Okay")</f>
        <v>Okay</v>
      </c>
      <c r="K618" s="16">
        <f>I618-C618</f>
        <v>2</v>
      </c>
      <c r="L618" s="16" t="str">
        <f t="shared" si="112"/>
        <v>Target Met</v>
      </c>
      <c r="M618" s="2" t="s">
        <v>646</v>
      </c>
      <c r="N618" s="2" t="s">
        <v>651</v>
      </c>
      <c r="O618" s="2" t="s">
        <v>663</v>
      </c>
      <c r="P618" s="29" t="str">
        <f t="shared" si="113"/>
        <v>Africa→Nigeria→Port Harcourt</v>
      </c>
      <c r="Q618" s="2" t="s">
        <v>702</v>
      </c>
      <c r="R618" s="2" t="s">
        <v>709</v>
      </c>
      <c r="S618" s="2" t="s">
        <v>723</v>
      </c>
      <c r="T618" s="2" t="s">
        <v>729</v>
      </c>
      <c r="U618" t="e">
        <f>(AE618/#REF!)*100</f>
        <v>#REF!</v>
      </c>
      <c r="V618" s="2" t="s">
        <v>1348</v>
      </c>
      <c r="W618" s="7">
        <v>391.16</v>
      </c>
      <c r="X618" s="7">
        <v>902.47</v>
      </c>
      <c r="Y618" s="7">
        <f t="shared" si="114"/>
        <v>902.47</v>
      </c>
      <c r="Z618" s="7" t="str">
        <f t="shared" si="115"/>
        <v>Low</v>
      </c>
      <c r="AA618" s="13">
        <v>4.0000000000000001E-3</v>
      </c>
      <c r="AB618" s="13">
        <f t="shared" si="116"/>
        <v>4.0000000000000001E-3</v>
      </c>
      <c r="AC618" s="13" t="str">
        <f t="shared" si="117"/>
        <v>OK</v>
      </c>
      <c r="AD618" s="7">
        <v>12</v>
      </c>
      <c r="AE618" s="7">
        <f>Y618*AD618*(1-AB618)</f>
        <v>10786.32144</v>
      </c>
      <c r="AF618" s="7">
        <f>W618*AD618</f>
        <v>4693.92</v>
      </c>
      <c r="AG618" s="7">
        <f t="shared" si="118"/>
        <v>6092.4014399999996</v>
      </c>
      <c r="AH618" s="13">
        <f t="shared" si="119"/>
        <v>0.56482661618139207</v>
      </c>
    </row>
    <row r="619" spans="1:34" x14ac:dyDescent="0.35">
      <c r="A619" s="2" t="s">
        <v>631</v>
      </c>
      <c r="B619" s="5">
        <v>45643</v>
      </c>
      <c r="C619" s="5">
        <f>IF(H619&lt;B619,H619,B619)</f>
        <v>45643</v>
      </c>
      <c r="D619" s="5" t="str">
        <f t="shared" si="108"/>
        <v>Dec-2024</v>
      </c>
      <c r="E619" s="5" t="str">
        <f t="shared" si="109"/>
        <v>Dec</v>
      </c>
      <c r="F619" s="5" t="str">
        <f t="shared" si="110"/>
        <v>2024</v>
      </c>
      <c r="G619" s="5" t="str">
        <f t="shared" si="111"/>
        <v>Q4-2024</v>
      </c>
      <c r="H619" s="5">
        <v>45673</v>
      </c>
      <c r="I619" s="5">
        <f>IF(H619&lt;B619, B619+7, H619)</f>
        <v>45673</v>
      </c>
      <c r="J619" s="5" t="str">
        <f>IF(H619&lt;B619, "Invalid","Okay")</f>
        <v>Okay</v>
      </c>
      <c r="K619" s="16">
        <f>I619-C619</f>
        <v>30</v>
      </c>
      <c r="L619" s="16" t="str">
        <f t="shared" si="112"/>
        <v>Target Not Met</v>
      </c>
      <c r="M619" s="2" t="s">
        <v>649</v>
      </c>
      <c r="N619" s="2" t="s">
        <v>658</v>
      </c>
      <c r="O619" s="2" t="s">
        <v>693</v>
      </c>
      <c r="P619" s="29" t="str">
        <f t="shared" si="113"/>
        <v>Europe→United Kingdom→Manchester</v>
      </c>
      <c r="Q619" s="2" t="s">
        <v>701</v>
      </c>
      <c r="R619" s="2" t="s">
        <v>707</v>
      </c>
      <c r="S619" s="2" t="s">
        <v>726</v>
      </c>
      <c r="T619" s="2" t="s">
        <v>732</v>
      </c>
      <c r="U619" t="e">
        <f>(AE619/#REF!)*100</f>
        <v>#REF!</v>
      </c>
      <c r="V619" s="2" t="s">
        <v>1349</v>
      </c>
      <c r="W619" s="7">
        <v>722.87</v>
      </c>
      <c r="X619" s="7">
        <v>-33.659999999999997</v>
      </c>
      <c r="Y619" s="7">
        <f t="shared" si="114"/>
        <v>33.659999999999997</v>
      </c>
      <c r="Z619" s="7" t="str">
        <f t="shared" si="115"/>
        <v>Low</v>
      </c>
      <c r="AA619" s="13">
        <v>0.10199999999999999</v>
      </c>
      <c r="AB619" s="13">
        <f t="shared" si="116"/>
        <v>0.10199999999999999</v>
      </c>
      <c r="AC619" s="13" t="str">
        <f t="shared" si="117"/>
        <v>OK</v>
      </c>
      <c r="AD619" s="7">
        <v>28</v>
      </c>
      <c r="AE619" s="7">
        <f>Y619*AD619*(1-AB619)</f>
        <v>846.34703999999988</v>
      </c>
      <c r="AF619" s="7">
        <f>W619*AD619</f>
        <v>20240.36</v>
      </c>
      <c r="AG619" s="7">
        <f t="shared" si="118"/>
        <v>-19394.01296</v>
      </c>
      <c r="AH619" s="13">
        <f t="shared" si="119"/>
        <v>-22.914965189693348</v>
      </c>
    </row>
    <row r="620" spans="1:34" x14ac:dyDescent="0.35">
      <c r="A620" s="2" t="s">
        <v>632</v>
      </c>
      <c r="B620" s="5">
        <v>45849</v>
      </c>
      <c r="C620" s="5">
        <f>IF(H620&lt;B620,H620,B620)</f>
        <v>45849</v>
      </c>
      <c r="D620" s="5" t="str">
        <f t="shared" si="108"/>
        <v>Jul-2025</v>
      </c>
      <c r="E620" s="5" t="str">
        <f t="shared" si="109"/>
        <v>Jul</v>
      </c>
      <c r="F620" s="5" t="str">
        <f t="shared" si="110"/>
        <v>2025</v>
      </c>
      <c r="G620" s="5" t="str">
        <f t="shared" si="111"/>
        <v>Q3-2025</v>
      </c>
      <c r="H620" s="5">
        <v>45854</v>
      </c>
      <c r="I620" s="5">
        <f>IF(H620&lt;B620, B620+7, H620)</f>
        <v>45854</v>
      </c>
      <c r="J620" s="5" t="str">
        <f>IF(H620&lt;B620, "Invalid","Okay")</f>
        <v>Okay</v>
      </c>
      <c r="K620" s="16">
        <f>I620-C620</f>
        <v>5</v>
      </c>
      <c r="L620" s="16" t="str">
        <f t="shared" si="112"/>
        <v>Target Met</v>
      </c>
      <c r="M620" s="2" t="s">
        <v>649</v>
      </c>
      <c r="N620" s="2" t="s">
        <v>658</v>
      </c>
      <c r="O620" s="2" t="s">
        <v>683</v>
      </c>
      <c r="P620" s="29" t="str">
        <f t="shared" si="113"/>
        <v>Europe→United Kingdom→London</v>
      </c>
      <c r="Q620" s="2" t="s">
        <v>706</v>
      </c>
      <c r="R620" s="2" t="s">
        <v>708</v>
      </c>
      <c r="S620" s="2" t="s">
        <v>723</v>
      </c>
      <c r="T620" s="2" t="s">
        <v>728</v>
      </c>
      <c r="U620" t="e">
        <f>(AE620/#REF!)*100</f>
        <v>#REF!</v>
      </c>
      <c r="V620" s="2" t="s">
        <v>1350</v>
      </c>
      <c r="W620" s="7">
        <v>930.03</v>
      </c>
      <c r="X620" s="7">
        <v>1086.68</v>
      </c>
      <c r="Y620" s="7">
        <f t="shared" si="114"/>
        <v>1086.68</v>
      </c>
      <c r="Z620" s="7" t="str">
        <f t="shared" si="115"/>
        <v>Low</v>
      </c>
      <c r="AA620" s="13">
        <v>0.109</v>
      </c>
      <c r="AB620" s="13">
        <f t="shared" si="116"/>
        <v>0.109</v>
      </c>
      <c r="AC620" s="13" t="str">
        <f t="shared" si="117"/>
        <v>OK</v>
      </c>
      <c r="AD620" s="7">
        <v>26</v>
      </c>
      <c r="AE620" s="7">
        <f>Y620*AD620*(1-AB620)</f>
        <v>25174.028880000002</v>
      </c>
      <c r="AF620" s="7">
        <f>W620*AD620</f>
        <v>24180.78</v>
      </c>
      <c r="AG620" s="7">
        <f t="shared" si="118"/>
        <v>993.24888000000283</v>
      </c>
      <c r="AH620" s="13">
        <f t="shared" si="119"/>
        <v>3.9455300728168656E-2</v>
      </c>
    </row>
    <row r="621" spans="1:34" x14ac:dyDescent="0.35">
      <c r="A621" s="2" t="s">
        <v>633</v>
      </c>
      <c r="B621" s="5">
        <v>45578</v>
      </c>
      <c r="C621" s="5">
        <f>IF(H621&lt;B621,H621,B621)</f>
        <v>45578</v>
      </c>
      <c r="D621" s="5" t="str">
        <f t="shared" si="108"/>
        <v>Oct-2024</v>
      </c>
      <c r="E621" s="5" t="str">
        <f t="shared" si="109"/>
        <v>Oct</v>
      </c>
      <c r="F621" s="5" t="str">
        <f t="shared" si="110"/>
        <v>2024</v>
      </c>
      <c r="G621" s="5" t="str">
        <f t="shared" si="111"/>
        <v>Q4-2024</v>
      </c>
      <c r="H621" s="5">
        <v>45589</v>
      </c>
      <c r="I621" s="5">
        <f>IF(H621&lt;B621, B621+7, H621)</f>
        <v>45589</v>
      </c>
      <c r="J621" s="5" t="str">
        <f>IF(H621&lt;B621, "Invalid","Okay")</f>
        <v>Okay</v>
      </c>
      <c r="K621" s="16">
        <f>I621-C621</f>
        <v>11</v>
      </c>
      <c r="L621" s="16" t="str">
        <f t="shared" si="112"/>
        <v>Target Not Met</v>
      </c>
      <c r="M621" s="2" t="s">
        <v>649</v>
      </c>
      <c r="N621" s="2" t="s">
        <v>657</v>
      </c>
      <c r="O621" s="2" t="s">
        <v>690</v>
      </c>
      <c r="P621" s="29" t="str">
        <f t="shared" si="113"/>
        <v>Europe→France→Paris</v>
      </c>
      <c r="Q621" s="2" t="s">
        <v>702</v>
      </c>
      <c r="R621" s="2" t="s">
        <v>710</v>
      </c>
      <c r="S621" s="2" t="s">
        <v>721</v>
      </c>
      <c r="T621" s="2" t="s">
        <v>727</v>
      </c>
      <c r="U621" t="e">
        <f>(AE621/#REF!)*100</f>
        <v>#REF!</v>
      </c>
      <c r="V621" s="2" t="s">
        <v>1351</v>
      </c>
      <c r="W621" s="7">
        <v>816.7</v>
      </c>
      <c r="X621" s="7">
        <v>1010.75</v>
      </c>
      <c r="Y621" s="7">
        <f t="shared" si="114"/>
        <v>1010.75</v>
      </c>
      <c r="Z621" s="7" t="str">
        <f t="shared" si="115"/>
        <v>Low</v>
      </c>
      <c r="AA621" s="13">
        <v>4.7E-2</v>
      </c>
      <c r="AB621" s="13">
        <f t="shared" si="116"/>
        <v>4.7E-2</v>
      </c>
      <c r="AC621" s="13" t="str">
        <f t="shared" si="117"/>
        <v>OK</v>
      </c>
      <c r="AD621" s="7">
        <v>43</v>
      </c>
      <c r="AE621" s="7">
        <f>Y621*AD621*(1-AB621)</f>
        <v>41419.524249999995</v>
      </c>
      <c r="AF621" s="7">
        <f>W621*AD621</f>
        <v>35118.1</v>
      </c>
      <c r="AG621" s="7">
        <f t="shared" si="118"/>
        <v>6301.4242499999964</v>
      </c>
      <c r="AH621" s="13">
        <f t="shared" si="119"/>
        <v>0.15213656757537472</v>
      </c>
    </row>
    <row r="622" spans="1:34" x14ac:dyDescent="0.35">
      <c r="A622" s="2" t="s">
        <v>634</v>
      </c>
      <c r="B622" s="5">
        <v>45177</v>
      </c>
      <c r="C622" s="5">
        <f>IF(H622&lt;B622,H622,B622)</f>
        <v>45177</v>
      </c>
      <c r="D622" s="5" t="str">
        <f t="shared" si="108"/>
        <v>Sep-2023</v>
      </c>
      <c r="E622" s="5" t="str">
        <f t="shared" si="109"/>
        <v>Sep</v>
      </c>
      <c r="F622" s="5" t="str">
        <f t="shared" si="110"/>
        <v>2023</v>
      </c>
      <c r="G622" s="5" t="str">
        <f t="shared" si="111"/>
        <v>Q3-2023</v>
      </c>
      <c r="H622" s="5">
        <v>45183</v>
      </c>
      <c r="I622" s="5">
        <f>IF(H622&lt;B622, B622+7, H622)</f>
        <v>45183</v>
      </c>
      <c r="J622" s="5" t="str">
        <f>IF(H622&lt;B622, "Invalid","Okay")</f>
        <v>Okay</v>
      </c>
      <c r="K622" s="16">
        <f>I622-C622</f>
        <v>6</v>
      </c>
      <c r="L622" s="16" t="str">
        <f t="shared" si="112"/>
        <v>Target Met</v>
      </c>
      <c r="M622" s="2" t="s">
        <v>646</v>
      </c>
      <c r="N622" s="2" t="s">
        <v>650</v>
      </c>
      <c r="O622" s="2" t="s">
        <v>678</v>
      </c>
      <c r="P622" s="29" t="str">
        <f t="shared" si="113"/>
        <v>Africa→Kenya→Nakuru</v>
      </c>
      <c r="Q622" s="2" t="s">
        <v>702</v>
      </c>
      <c r="R622" s="2" t="s">
        <v>711</v>
      </c>
      <c r="S622" s="2" t="s">
        <v>714</v>
      </c>
      <c r="T622" s="2" t="s">
        <v>733</v>
      </c>
      <c r="U622" t="e">
        <f>(AE622/#REF!)*100</f>
        <v>#REF!</v>
      </c>
      <c r="V622" s="2" t="s">
        <v>1352</v>
      </c>
      <c r="W622" s="7">
        <v>251.03</v>
      </c>
      <c r="X622" s="7">
        <v>411.48</v>
      </c>
      <c r="Y622" s="7">
        <f t="shared" si="114"/>
        <v>411.48</v>
      </c>
      <c r="Z622" s="7" t="str">
        <f t="shared" si="115"/>
        <v>Low</v>
      </c>
      <c r="AA622" s="13">
        <v>0.16500000000000001</v>
      </c>
      <c r="AB622" s="13">
        <f t="shared" si="116"/>
        <v>0.16500000000000001</v>
      </c>
      <c r="AC622" s="13" t="str">
        <f t="shared" si="117"/>
        <v>OK</v>
      </c>
      <c r="AD622" s="7">
        <v>3</v>
      </c>
      <c r="AE622" s="7">
        <f>Y622*AD622*(1-AB622)</f>
        <v>1030.7574</v>
      </c>
      <c r="AF622" s="7">
        <f>W622*AD622</f>
        <v>753.09</v>
      </c>
      <c r="AG622" s="7">
        <f t="shared" si="118"/>
        <v>277.66739999999993</v>
      </c>
      <c r="AH622" s="13">
        <f t="shared" si="119"/>
        <v>0.26938191275658069</v>
      </c>
    </row>
    <row r="623" spans="1:34" x14ac:dyDescent="0.35">
      <c r="A623" s="2" t="s">
        <v>635</v>
      </c>
      <c r="B623" s="5">
        <v>45764</v>
      </c>
      <c r="C623" s="5">
        <f>IF(H623&lt;B623,H623,B623)</f>
        <v>45764</v>
      </c>
      <c r="D623" s="5" t="str">
        <f t="shared" si="108"/>
        <v>Apr-2025</v>
      </c>
      <c r="E623" s="5" t="str">
        <f t="shared" si="109"/>
        <v>Apr</v>
      </c>
      <c r="F623" s="5" t="str">
        <f t="shared" si="110"/>
        <v>2025</v>
      </c>
      <c r="G623" s="5" t="str">
        <f t="shared" si="111"/>
        <v>Q2-2025</v>
      </c>
      <c r="H623" s="5">
        <v>45780</v>
      </c>
      <c r="I623" s="5">
        <f>IF(H623&lt;B623, B623+7, H623)</f>
        <v>45780</v>
      </c>
      <c r="J623" s="5" t="str">
        <f>IF(H623&lt;B623, "Invalid","Okay")</f>
        <v>Okay</v>
      </c>
      <c r="K623" s="16">
        <f>I623-C623</f>
        <v>16</v>
      </c>
      <c r="L623" s="16" t="str">
        <f t="shared" si="112"/>
        <v>Target Not Met</v>
      </c>
      <c r="M623" s="2" t="s">
        <v>648</v>
      </c>
      <c r="N623" s="2" t="s">
        <v>655</v>
      </c>
      <c r="O623" s="2" t="s">
        <v>692</v>
      </c>
      <c r="P623" s="29" t="str">
        <f t="shared" si="113"/>
        <v>Americas→Brazil→Rio de Janeiro</v>
      </c>
      <c r="Q623" s="2" t="s">
        <v>704</v>
      </c>
      <c r="R623" s="2" t="s">
        <v>709</v>
      </c>
      <c r="S623" s="2" t="s">
        <v>713</v>
      </c>
      <c r="T623" s="2" t="s">
        <v>729</v>
      </c>
      <c r="U623" t="e">
        <f>(AE623/#REF!)*100</f>
        <v>#REF!</v>
      </c>
      <c r="V623" s="2" t="s">
        <v>1353</v>
      </c>
      <c r="W623" s="7">
        <v>168.68</v>
      </c>
      <c r="X623" s="7">
        <v>413.34</v>
      </c>
      <c r="Y623" s="7">
        <f t="shared" si="114"/>
        <v>413.34</v>
      </c>
      <c r="Z623" s="7" t="str">
        <f t="shared" si="115"/>
        <v>Low</v>
      </c>
      <c r="AA623" s="13">
        <v>0.186</v>
      </c>
      <c r="AB623" s="13">
        <f t="shared" si="116"/>
        <v>0.186</v>
      </c>
      <c r="AC623" s="13" t="str">
        <f t="shared" si="117"/>
        <v>OK</v>
      </c>
      <c r="AD623" s="7">
        <v>7</v>
      </c>
      <c r="AE623" s="7">
        <f>Y623*AD623*(1-AB623)</f>
        <v>2355.2113199999999</v>
      </c>
      <c r="AF623" s="7">
        <f>W623*AD623</f>
        <v>1180.76</v>
      </c>
      <c r="AG623" s="7">
        <f t="shared" si="118"/>
        <v>1174.4513199999999</v>
      </c>
      <c r="AH623" s="13">
        <f t="shared" si="119"/>
        <v>0.49866069767361682</v>
      </c>
    </row>
    <row r="624" spans="1:34" x14ac:dyDescent="0.35">
      <c r="A624" s="2" t="s">
        <v>636</v>
      </c>
      <c r="B624" s="5">
        <v>45501</v>
      </c>
      <c r="C624" s="5">
        <f>IF(H624&lt;B624,H624,B624)</f>
        <v>45501</v>
      </c>
      <c r="D624" s="5" t="str">
        <f t="shared" si="108"/>
        <v>Jul-2024</v>
      </c>
      <c r="E624" s="5" t="str">
        <f t="shared" si="109"/>
        <v>Jul</v>
      </c>
      <c r="F624" s="5" t="str">
        <f t="shared" si="110"/>
        <v>2024</v>
      </c>
      <c r="G624" s="5" t="str">
        <f t="shared" si="111"/>
        <v>Q3-2024</v>
      </c>
      <c r="H624" s="5">
        <v>45527</v>
      </c>
      <c r="I624" s="5">
        <f>IF(H624&lt;B624, B624+7, H624)</f>
        <v>45527</v>
      </c>
      <c r="J624" s="5" t="str">
        <f>IF(H624&lt;B624, "Invalid","Okay")</f>
        <v>Okay</v>
      </c>
      <c r="K624" s="16">
        <f>I624-C624</f>
        <v>26</v>
      </c>
      <c r="L624" s="16" t="str">
        <f t="shared" si="112"/>
        <v>Target Not Met</v>
      </c>
      <c r="M624" s="2" t="s">
        <v>647</v>
      </c>
      <c r="N624" s="2" t="s">
        <v>654</v>
      </c>
      <c r="O624" s="2" t="s">
        <v>696</v>
      </c>
      <c r="P624" s="29" t="str">
        <f t="shared" si="113"/>
        <v>Asia→India→Hyderabad</v>
      </c>
      <c r="Q624" s="2" t="s">
        <v>701</v>
      </c>
      <c r="R624" s="2" t="s">
        <v>707</v>
      </c>
      <c r="S624" s="2" t="s">
        <v>713</v>
      </c>
      <c r="T624" s="2" t="s">
        <v>729</v>
      </c>
      <c r="U624" t="e">
        <f>(AE624/#REF!)*100</f>
        <v>#REF!</v>
      </c>
      <c r="V624" s="2" t="s">
        <v>1354</v>
      </c>
      <c r="W624" s="7">
        <v>1339.24</v>
      </c>
      <c r="X624" s="7">
        <v>1558.89</v>
      </c>
      <c r="Y624" s="7">
        <f t="shared" si="114"/>
        <v>1558.89</v>
      </c>
      <c r="Z624" s="7" t="str">
        <f t="shared" si="115"/>
        <v>Medium</v>
      </c>
      <c r="AA624" s="13">
        <v>0.192</v>
      </c>
      <c r="AB624" s="13">
        <f t="shared" si="116"/>
        <v>0.192</v>
      </c>
      <c r="AC624" s="13" t="str">
        <f t="shared" si="117"/>
        <v>OK</v>
      </c>
      <c r="AD624" s="7">
        <v>24</v>
      </c>
      <c r="AE624" s="7">
        <f>Y624*AD624*(1-AB624)</f>
        <v>30229.994880000002</v>
      </c>
      <c r="AF624" s="7">
        <f>W624*AD624</f>
        <v>32141.760000000002</v>
      </c>
      <c r="AG624" s="7">
        <f t="shared" si="118"/>
        <v>-1911.76512</v>
      </c>
      <c r="AH624" s="13">
        <f t="shared" si="119"/>
        <v>-6.3240669659021781E-2</v>
      </c>
    </row>
    <row r="625" spans="1:34" x14ac:dyDescent="0.35">
      <c r="A625" s="2" t="s">
        <v>637</v>
      </c>
      <c r="B625" s="5">
        <v>45857</v>
      </c>
      <c r="C625" s="5">
        <f>IF(H625&lt;B625,H625,B625)</f>
        <v>45857</v>
      </c>
      <c r="D625" s="5" t="str">
        <f t="shared" si="108"/>
        <v>Jul-2025</v>
      </c>
      <c r="E625" s="5" t="str">
        <f t="shared" si="109"/>
        <v>Jul</v>
      </c>
      <c r="F625" s="5" t="str">
        <f t="shared" si="110"/>
        <v>2025</v>
      </c>
      <c r="G625" s="5" t="str">
        <f t="shared" si="111"/>
        <v>Q3-2025</v>
      </c>
      <c r="H625" s="5">
        <v>45869</v>
      </c>
      <c r="I625" s="5">
        <f>IF(H625&lt;B625, B625+7, H625)</f>
        <v>45869</v>
      </c>
      <c r="J625" s="5" t="str">
        <f>IF(H625&lt;B625, "Invalid","Okay")</f>
        <v>Okay</v>
      </c>
      <c r="K625" s="16">
        <f>I625-C625</f>
        <v>12</v>
      </c>
      <c r="L625" s="16" t="str">
        <f t="shared" si="112"/>
        <v>Target Not Met</v>
      </c>
      <c r="M625" s="2" t="s">
        <v>646</v>
      </c>
      <c r="N625" s="2" t="s">
        <v>650</v>
      </c>
      <c r="O625" s="2" t="s">
        <v>664</v>
      </c>
      <c r="P625" s="29" t="str">
        <f t="shared" si="113"/>
        <v>Africa→Kenya→Nairobi</v>
      </c>
      <c r="Q625" s="2" t="s">
        <v>705</v>
      </c>
      <c r="R625" s="2" t="s">
        <v>709</v>
      </c>
      <c r="S625" s="2" t="s">
        <v>719</v>
      </c>
      <c r="T625" s="2" t="s">
        <v>733</v>
      </c>
      <c r="U625" t="e">
        <f>(AE625/#REF!)*100</f>
        <v>#REF!</v>
      </c>
      <c r="V625" s="2" t="s">
        <v>1355</v>
      </c>
      <c r="W625" s="7">
        <v>619.64</v>
      </c>
      <c r="X625" s="7">
        <v>861.16</v>
      </c>
      <c r="Y625" s="7">
        <f t="shared" si="114"/>
        <v>861.16</v>
      </c>
      <c r="Z625" s="7" t="str">
        <f t="shared" si="115"/>
        <v>Low</v>
      </c>
      <c r="AA625" s="13">
        <v>0.113</v>
      </c>
      <c r="AB625" s="13">
        <f t="shared" si="116"/>
        <v>0.113</v>
      </c>
      <c r="AC625" s="13" t="str">
        <f t="shared" si="117"/>
        <v>OK</v>
      </c>
      <c r="AD625" s="7">
        <v>14</v>
      </c>
      <c r="AE625" s="7">
        <f>Y625*AD625*(1-AB625)</f>
        <v>10693.88488</v>
      </c>
      <c r="AF625" s="7">
        <f>W625*AD625</f>
        <v>8674.9599999999991</v>
      </c>
      <c r="AG625" s="7">
        <f t="shared" si="118"/>
        <v>2018.9248800000005</v>
      </c>
      <c r="AH625" s="13">
        <f t="shared" si="119"/>
        <v>0.18879246435276761</v>
      </c>
    </row>
    <row r="626" spans="1:34" x14ac:dyDescent="0.35">
      <c r="A626" s="2" t="s">
        <v>638</v>
      </c>
      <c r="B626" s="5">
        <v>45141</v>
      </c>
      <c r="C626" s="5">
        <f>IF(H626&lt;B626,H626,B626)</f>
        <v>45140</v>
      </c>
      <c r="D626" s="5" t="str">
        <f t="shared" si="108"/>
        <v>Aug-2023</v>
      </c>
      <c r="E626" s="5" t="str">
        <f t="shared" si="109"/>
        <v>Aug</v>
      </c>
      <c r="F626" s="5" t="str">
        <f t="shared" si="110"/>
        <v>2023</v>
      </c>
      <c r="G626" s="5" t="str">
        <f t="shared" si="111"/>
        <v>Q3-2023</v>
      </c>
      <c r="H626" s="5">
        <v>45140</v>
      </c>
      <c r="I626" s="5">
        <f>IF(H626&lt;B626, B626+7, H626)</f>
        <v>45148</v>
      </c>
      <c r="J626" s="5" t="str">
        <f>IF(H626&lt;B626, "Invalid","Okay")</f>
        <v>Invalid</v>
      </c>
      <c r="K626" s="16">
        <f>I626-C626</f>
        <v>8</v>
      </c>
      <c r="L626" s="16" t="str">
        <f t="shared" si="112"/>
        <v>Target Not Met</v>
      </c>
      <c r="M626" s="2" t="s">
        <v>647</v>
      </c>
      <c r="N626" s="2" t="s">
        <v>659</v>
      </c>
      <c r="O626" s="2" t="s">
        <v>685</v>
      </c>
      <c r="P626" s="29" t="str">
        <f t="shared" si="113"/>
        <v>Asia→China→Shanghai</v>
      </c>
      <c r="Q626" s="2" t="s">
        <v>703</v>
      </c>
      <c r="R626" s="2" t="s">
        <v>711</v>
      </c>
      <c r="S626" s="2" t="s">
        <v>713</v>
      </c>
      <c r="T626" s="2" t="s">
        <v>729</v>
      </c>
      <c r="U626" t="e">
        <f>(AE626/#REF!)*100</f>
        <v>#REF!</v>
      </c>
      <c r="V626" s="2" t="s">
        <v>1356</v>
      </c>
      <c r="W626" s="7">
        <v>1021.97</v>
      </c>
      <c r="X626" s="7">
        <v>2296.25</v>
      </c>
      <c r="Y626" s="7">
        <f t="shared" si="114"/>
        <v>2296.25</v>
      </c>
      <c r="Z626" s="7" t="str">
        <f t="shared" si="115"/>
        <v>High</v>
      </c>
      <c r="AA626" s="13">
        <v>0.161</v>
      </c>
      <c r="AB626" s="13">
        <f t="shared" si="116"/>
        <v>0.161</v>
      </c>
      <c r="AC626" s="13" t="str">
        <f t="shared" si="117"/>
        <v>OK</v>
      </c>
      <c r="AD626" s="7">
        <v>26</v>
      </c>
      <c r="AE626" s="7">
        <f>Y626*AD626*(1-AB626)</f>
        <v>50090.397499999999</v>
      </c>
      <c r="AF626" s="7">
        <f>W626*AD626</f>
        <v>26571.22</v>
      </c>
      <c r="AG626" s="7">
        <f t="shared" si="118"/>
        <v>23519.177499999998</v>
      </c>
      <c r="AH626" s="13">
        <f t="shared" si="119"/>
        <v>0.46953465482081669</v>
      </c>
    </row>
    <row r="627" spans="1:34" x14ac:dyDescent="0.35">
      <c r="A627" s="2" t="s">
        <v>639</v>
      </c>
      <c r="B627" s="5">
        <v>45249</v>
      </c>
      <c r="C627" s="5">
        <f>IF(H627&lt;B627,H627,B627)</f>
        <v>45249</v>
      </c>
      <c r="D627" s="5" t="str">
        <f t="shared" si="108"/>
        <v>Nov-2023</v>
      </c>
      <c r="E627" s="5" t="str">
        <f t="shared" si="109"/>
        <v>Nov</v>
      </c>
      <c r="F627" s="5" t="str">
        <f t="shared" si="110"/>
        <v>2023</v>
      </c>
      <c r="G627" s="5" t="str">
        <f t="shared" si="111"/>
        <v>Q4-2023</v>
      </c>
      <c r="H627" s="5">
        <v>45272</v>
      </c>
      <c r="I627" s="5">
        <f>IF(H627&lt;B627, B627+7, H627)</f>
        <v>45272</v>
      </c>
      <c r="J627" s="5" t="str">
        <f>IF(H627&lt;B627, "Invalid","Okay")</f>
        <v>Okay</v>
      </c>
      <c r="K627" s="16">
        <f>I627-C627</f>
        <v>23</v>
      </c>
      <c r="L627" s="16" t="str">
        <f t="shared" si="112"/>
        <v>Target Not Met</v>
      </c>
      <c r="M627" s="2" t="s">
        <v>647</v>
      </c>
      <c r="N627" s="2" t="s">
        <v>654</v>
      </c>
      <c r="O627" s="2" t="s">
        <v>680</v>
      </c>
      <c r="P627" s="29" t="str">
        <f t="shared" si="113"/>
        <v>Asia→India→Delhi</v>
      </c>
      <c r="Q627" s="2" t="s">
        <v>705</v>
      </c>
      <c r="R627" s="2" t="s">
        <v>711</v>
      </c>
      <c r="S627" s="2" t="s">
        <v>712</v>
      </c>
      <c r="T627" s="2" t="s">
        <v>729</v>
      </c>
      <c r="U627" t="e">
        <f>(AE627/#REF!)*100</f>
        <v>#REF!</v>
      </c>
      <c r="V627" s="2" t="s">
        <v>1357</v>
      </c>
      <c r="W627" s="7">
        <v>1349.04</v>
      </c>
      <c r="X627" s="7">
        <v>2636.6</v>
      </c>
      <c r="Y627" s="7">
        <f t="shared" si="114"/>
        <v>2636.6</v>
      </c>
      <c r="Z627" s="7" t="str">
        <f t="shared" si="115"/>
        <v>High</v>
      </c>
      <c r="AA627" s="13">
        <v>0.114</v>
      </c>
      <c r="AB627" s="13">
        <f t="shared" si="116"/>
        <v>0.114</v>
      </c>
      <c r="AC627" s="13" t="str">
        <f t="shared" si="117"/>
        <v>OK</v>
      </c>
      <c r="AD627" s="7">
        <v>14</v>
      </c>
      <c r="AE627" s="7">
        <f>Y627*AD627*(1-AB627)</f>
        <v>32704.386400000003</v>
      </c>
      <c r="AF627" s="7">
        <f>W627*AD627</f>
        <v>18886.559999999998</v>
      </c>
      <c r="AG627" s="7">
        <f t="shared" si="118"/>
        <v>13817.826400000005</v>
      </c>
      <c r="AH627" s="13">
        <f t="shared" si="119"/>
        <v>0.42250682312143928</v>
      </c>
    </row>
    <row r="628" spans="1:34" x14ac:dyDescent="0.35">
      <c r="A628" s="2" t="s">
        <v>640</v>
      </c>
      <c r="B628" s="5">
        <v>45282</v>
      </c>
      <c r="C628" s="5">
        <f>IF(H628&lt;B628,H628,B628)</f>
        <v>45282</v>
      </c>
      <c r="D628" s="5" t="str">
        <f t="shared" si="108"/>
        <v>Dec-2023</v>
      </c>
      <c r="E628" s="5" t="str">
        <f t="shared" si="109"/>
        <v>Dec</v>
      </c>
      <c r="F628" s="5" t="str">
        <f t="shared" si="110"/>
        <v>2023</v>
      </c>
      <c r="G628" s="5" t="str">
        <f t="shared" si="111"/>
        <v>Q4-2023</v>
      </c>
      <c r="H628" s="5">
        <v>45307</v>
      </c>
      <c r="I628" s="5">
        <f>IF(H628&lt;B628, B628+7, H628)</f>
        <v>45307</v>
      </c>
      <c r="J628" s="5" t="str">
        <f>IF(H628&lt;B628, "Invalid","Okay")</f>
        <v>Okay</v>
      </c>
      <c r="K628" s="16">
        <f>I628-C628</f>
        <v>25</v>
      </c>
      <c r="L628" s="16" t="str">
        <f t="shared" si="112"/>
        <v>Target Not Met</v>
      </c>
      <c r="M628" s="2" t="s">
        <v>647</v>
      </c>
      <c r="N628" s="2" t="s">
        <v>654</v>
      </c>
      <c r="O628" s="2" t="s">
        <v>696</v>
      </c>
      <c r="P628" s="29" t="str">
        <f t="shared" si="113"/>
        <v>Asia→India→Hyderabad</v>
      </c>
      <c r="Q628" s="2" t="s">
        <v>705</v>
      </c>
      <c r="R628" s="2" t="s">
        <v>707</v>
      </c>
      <c r="S628" s="2" t="s">
        <v>720</v>
      </c>
      <c r="T628" s="2" t="s">
        <v>727</v>
      </c>
      <c r="U628" t="e">
        <f>(AE628/#REF!)*100</f>
        <v>#REF!</v>
      </c>
      <c r="V628" s="2" t="s">
        <v>1358</v>
      </c>
      <c r="W628" s="7">
        <v>1346.81</v>
      </c>
      <c r="X628" s="7">
        <v>978.09</v>
      </c>
      <c r="Y628" s="7">
        <f t="shared" si="114"/>
        <v>978.09</v>
      </c>
      <c r="Z628" s="7" t="str">
        <f t="shared" si="115"/>
        <v>Low</v>
      </c>
      <c r="AA628" s="13">
        <v>0.159</v>
      </c>
      <c r="AB628" s="13">
        <f t="shared" si="116"/>
        <v>0.159</v>
      </c>
      <c r="AC628" s="13" t="str">
        <f t="shared" si="117"/>
        <v>OK</v>
      </c>
      <c r="AD628" s="7">
        <v>17</v>
      </c>
      <c r="AE628" s="7">
        <f>Y628*AD628*(1-AB628)</f>
        <v>13983.752729999998</v>
      </c>
      <c r="AF628" s="7">
        <f>W628*AD628</f>
        <v>22895.77</v>
      </c>
      <c r="AG628" s="7">
        <f t="shared" si="118"/>
        <v>-8912.0172700000021</v>
      </c>
      <c r="AH628" s="13">
        <f t="shared" si="119"/>
        <v>-0.6373122753293996</v>
      </c>
    </row>
    <row r="629" spans="1:34" x14ac:dyDescent="0.35">
      <c r="A629" s="2" t="s">
        <v>641</v>
      </c>
      <c r="B629" s="5">
        <v>45141</v>
      </c>
      <c r="C629" s="5">
        <f>IF(H629&lt;B629,H629,B629)</f>
        <v>45141</v>
      </c>
      <c r="D629" s="5" t="str">
        <f t="shared" si="108"/>
        <v>Aug-2023</v>
      </c>
      <c r="E629" s="5" t="str">
        <f t="shared" si="109"/>
        <v>Aug</v>
      </c>
      <c r="F629" s="5" t="str">
        <f t="shared" si="110"/>
        <v>2023</v>
      </c>
      <c r="G629" s="5" t="str">
        <f t="shared" si="111"/>
        <v>Q3-2023</v>
      </c>
      <c r="H629" s="5">
        <v>45168</v>
      </c>
      <c r="I629" s="5">
        <f>IF(H629&lt;B629, B629+7, H629)</f>
        <v>45168</v>
      </c>
      <c r="J629" s="5" t="str">
        <f>IF(H629&lt;B629, "Invalid","Okay")</f>
        <v>Okay</v>
      </c>
      <c r="K629" s="16">
        <f>I629-C629</f>
        <v>27</v>
      </c>
      <c r="L629" s="16" t="str">
        <f t="shared" si="112"/>
        <v>Target Not Met</v>
      </c>
      <c r="M629" s="2" t="s">
        <v>647</v>
      </c>
      <c r="N629" s="2" t="s">
        <v>659</v>
      </c>
      <c r="O629" s="2" t="s">
        <v>685</v>
      </c>
      <c r="P629" s="29" t="str">
        <f t="shared" si="113"/>
        <v>Asia→China→Shanghai</v>
      </c>
      <c r="Q629" s="2" t="s">
        <v>704</v>
      </c>
      <c r="R629" s="2" t="s">
        <v>710</v>
      </c>
      <c r="S629" s="2" t="s">
        <v>725</v>
      </c>
      <c r="T629" s="2" t="s">
        <v>732</v>
      </c>
      <c r="U629" t="e">
        <f>(AE629/#REF!)*100</f>
        <v>#REF!</v>
      </c>
      <c r="V629" s="2" t="s">
        <v>1359</v>
      </c>
      <c r="W629" s="7">
        <v>226.04</v>
      </c>
      <c r="X629" s="7">
        <v>545.72</v>
      </c>
      <c r="Y629" s="7">
        <f t="shared" si="114"/>
        <v>545.72</v>
      </c>
      <c r="Z629" s="7" t="str">
        <f t="shared" si="115"/>
        <v>Low</v>
      </c>
      <c r="AA629" s="13">
        <v>0.151</v>
      </c>
      <c r="AB629" s="13">
        <f t="shared" si="116"/>
        <v>0.151</v>
      </c>
      <c r="AC629" s="13" t="str">
        <f t="shared" si="117"/>
        <v>OK</v>
      </c>
      <c r="AD629" s="7">
        <v>11</v>
      </c>
      <c r="AE629" s="7">
        <f>Y629*AD629*(1-AB629)</f>
        <v>5096.4790800000001</v>
      </c>
      <c r="AF629" s="7">
        <f>W629*AD629</f>
        <v>2486.44</v>
      </c>
      <c r="AG629" s="7">
        <f t="shared" si="118"/>
        <v>2610.03908</v>
      </c>
      <c r="AH629" s="13">
        <f t="shared" si="119"/>
        <v>0.51212592831834014</v>
      </c>
    </row>
    <row r="630" spans="1:34" x14ac:dyDescent="0.35">
      <c r="A630" s="2" t="s">
        <v>642</v>
      </c>
      <c r="B630" s="5">
        <v>45100</v>
      </c>
      <c r="C630" s="5">
        <f>IF(H630&lt;B630,H630,B630)</f>
        <v>45100</v>
      </c>
      <c r="D630" s="5" t="str">
        <f t="shared" si="108"/>
        <v>Jun-2023</v>
      </c>
      <c r="E630" s="5" t="str">
        <f t="shared" si="109"/>
        <v>Jun</v>
      </c>
      <c r="F630" s="5" t="str">
        <f t="shared" si="110"/>
        <v>2023</v>
      </c>
      <c r="G630" s="5" t="str">
        <f t="shared" si="111"/>
        <v>Q2-2023</v>
      </c>
      <c r="H630" s="5">
        <v>45125</v>
      </c>
      <c r="I630" s="5">
        <f>IF(H630&lt;B630, B630+7, H630)</f>
        <v>45125</v>
      </c>
      <c r="J630" s="5" t="str">
        <f>IF(H630&lt;B630, "Invalid","Okay")</f>
        <v>Okay</v>
      </c>
      <c r="K630" s="16">
        <f>I630-C630</f>
        <v>25</v>
      </c>
      <c r="L630" s="16" t="str">
        <f t="shared" si="112"/>
        <v>Target Not Met</v>
      </c>
      <c r="M630" s="2" t="s">
        <v>648</v>
      </c>
      <c r="N630" s="2" t="s">
        <v>653</v>
      </c>
      <c r="O630" s="2" t="s">
        <v>688</v>
      </c>
      <c r="P630" s="29" t="str">
        <f t="shared" si="113"/>
        <v>Americas→Canada→Vancouver</v>
      </c>
      <c r="Q630" s="2" t="s">
        <v>706</v>
      </c>
      <c r="R630" s="2" t="s">
        <v>708</v>
      </c>
      <c r="S630" s="2" t="s">
        <v>725</v>
      </c>
      <c r="T630" s="2" t="s">
        <v>730</v>
      </c>
      <c r="U630" t="e">
        <f>(AE630/#REF!)*100</f>
        <v>#REF!</v>
      </c>
      <c r="V630" s="2" t="s">
        <v>1360</v>
      </c>
      <c r="W630" s="7">
        <v>807.02</v>
      </c>
      <c r="X630" s="7">
        <v>1435.54</v>
      </c>
      <c r="Y630" s="7">
        <f t="shared" si="114"/>
        <v>1435.54</v>
      </c>
      <c r="Z630" s="7" t="str">
        <f t="shared" si="115"/>
        <v>Medium</v>
      </c>
      <c r="AA630" s="13">
        <v>0</v>
      </c>
      <c r="AB630" s="13">
        <f t="shared" si="116"/>
        <v>0</v>
      </c>
      <c r="AC630" s="13" t="str">
        <f t="shared" si="117"/>
        <v>OK</v>
      </c>
      <c r="AD630" s="7">
        <v>23</v>
      </c>
      <c r="AE630" s="7">
        <f>Y630*AD630*(1-AB630)</f>
        <v>33017.42</v>
      </c>
      <c r="AF630" s="7">
        <f>W630*AD630</f>
        <v>18561.46</v>
      </c>
      <c r="AG630" s="7">
        <f t="shared" si="118"/>
        <v>14455.96</v>
      </c>
      <c r="AH630" s="13">
        <f t="shared" si="119"/>
        <v>0.43782827368098415</v>
      </c>
    </row>
    <row r="631" spans="1:34" x14ac:dyDescent="0.35">
      <c r="A631" s="2" t="s">
        <v>643</v>
      </c>
      <c r="B631" s="5">
        <v>45267</v>
      </c>
      <c r="C631" s="5">
        <f>IF(H631&lt;B631,H631,B631)</f>
        <v>45267</v>
      </c>
      <c r="D631" s="5" t="str">
        <f t="shared" si="108"/>
        <v>Dec-2023</v>
      </c>
      <c r="E631" s="5" t="str">
        <f t="shared" si="109"/>
        <v>Dec</v>
      </c>
      <c r="F631" s="5" t="str">
        <f t="shared" si="110"/>
        <v>2023</v>
      </c>
      <c r="G631" s="5" t="str">
        <f t="shared" si="111"/>
        <v>Q4-2023</v>
      </c>
      <c r="H631" s="5">
        <v>45293</v>
      </c>
      <c r="I631" s="5">
        <f>IF(H631&lt;B631, B631+7, H631)</f>
        <v>45293</v>
      </c>
      <c r="J631" s="5" t="str">
        <f>IF(H631&lt;B631, "Invalid","Okay")</f>
        <v>Okay</v>
      </c>
      <c r="K631" s="16">
        <f>I631-C631</f>
        <v>26</v>
      </c>
      <c r="L631" s="16" t="str">
        <f t="shared" si="112"/>
        <v>Target Not Met</v>
      </c>
      <c r="M631" s="2" t="s">
        <v>649</v>
      </c>
      <c r="N631" s="2" t="s">
        <v>656</v>
      </c>
      <c r="O631" s="2" t="s">
        <v>698</v>
      </c>
      <c r="P631" s="29" t="str">
        <f t="shared" si="113"/>
        <v>Europe→Germany→Frankfurt</v>
      </c>
      <c r="Q631" s="2" t="s">
        <v>706</v>
      </c>
      <c r="R631" s="2" t="s">
        <v>710</v>
      </c>
      <c r="S631" s="2" t="s">
        <v>718</v>
      </c>
      <c r="T631" s="2" t="s">
        <v>727</v>
      </c>
      <c r="U631" t="e">
        <f>(AE631/#REF!)*100</f>
        <v>#REF!</v>
      </c>
      <c r="V631" s="2" t="s">
        <v>1361</v>
      </c>
      <c r="W631" s="7">
        <v>1071.99</v>
      </c>
      <c r="X631" s="7">
        <v>2397.3000000000002</v>
      </c>
      <c r="Y631" s="7">
        <f t="shared" si="114"/>
        <v>2397.3000000000002</v>
      </c>
      <c r="Z631" s="7" t="str">
        <f t="shared" si="115"/>
        <v>High</v>
      </c>
      <c r="AA631" s="13">
        <v>6.2E-2</v>
      </c>
      <c r="AB631" s="13">
        <f t="shared" si="116"/>
        <v>6.2E-2</v>
      </c>
      <c r="AC631" s="13" t="str">
        <f t="shared" si="117"/>
        <v>OK</v>
      </c>
      <c r="AD631" s="7">
        <v>18</v>
      </c>
      <c r="AE631" s="7">
        <f>Y631*AD631*(1-AB631)</f>
        <v>40476.013200000001</v>
      </c>
      <c r="AF631" s="7">
        <f>W631*AD631</f>
        <v>19295.82</v>
      </c>
      <c r="AG631" s="7">
        <f t="shared" si="118"/>
        <v>21180.193200000002</v>
      </c>
      <c r="AH631" s="13">
        <f t="shared" si="119"/>
        <v>0.52327765324476183</v>
      </c>
    </row>
    <row r="632" spans="1:34" x14ac:dyDescent="0.35">
      <c r="A632" s="2" t="s">
        <v>644</v>
      </c>
      <c r="B632" s="5">
        <v>45249</v>
      </c>
      <c r="C632" s="5">
        <f>IF(H632&lt;B632,H632,B632)</f>
        <v>45249</v>
      </c>
      <c r="D632" s="5" t="str">
        <f t="shared" si="108"/>
        <v>Nov-2023</v>
      </c>
      <c r="E632" s="5" t="str">
        <f t="shared" si="109"/>
        <v>Nov</v>
      </c>
      <c r="F632" s="5" t="str">
        <f t="shared" si="110"/>
        <v>2023</v>
      </c>
      <c r="G632" s="5" t="str">
        <f t="shared" si="111"/>
        <v>Q4-2023</v>
      </c>
      <c r="H632" s="5">
        <v>45279</v>
      </c>
      <c r="I632" s="5">
        <f>IF(H632&lt;B632, B632+7, H632)</f>
        <v>45279</v>
      </c>
      <c r="J632" s="5" t="str">
        <f>IF(H632&lt;B632, "Invalid","Okay")</f>
        <v>Okay</v>
      </c>
      <c r="K632" s="16">
        <f>I632-C632</f>
        <v>30</v>
      </c>
      <c r="L632" s="16" t="str">
        <f t="shared" si="112"/>
        <v>Target Not Met</v>
      </c>
      <c r="M632" s="2" t="s">
        <v>647</v>
      </c>
      <c r="N632" s="2" t="s">
        <v>652</v>
      </c>
      <c r="O632" s="2" t="s">
        <v>694</v>
      </c>
      <c r="P632" s="29" t="str">
        <f t="shared" si="113"/>
        <v>Asia→Japan→Nagoya</v>
      </c>
      <c r="Q632" s="2" t="s">
        <v>704</v>
      </c>
      <c r="R632" s="2" t="s">
        <v>707</v>
      </c>
      <c r="S632" s="2" t="s">
        <v>1423</v>
      </c>
      <c r="T632" s="2" t="s">
        <v>730</v>
      </c>
      <c r="U632" t="e">
        <f>(AE632/#REF!)*100</f>
        <v>#REF!</v>
      </c>
      <c r="V632" s="2" t="s">
        <v>1362</v>
      </c>
      <c r="W632" s="7">
        <v>807.11</v>
      </c>
      <c r="X632" s="7">
        <v>1853.86</v>
      </c>
      <c r="Y632" s="7">
        <f t="shared" si="114"/>
        <v>1853.86</v>
      </c>
      <c r="Z632" s="7" t="str">
        <f t="shared" si="115"/>
        <v>Medium</v>
      </c>
      <c r="AA632" s="13">
        <v>0.13900000000000001</v>
      </c>
      <c r="AB632" s="13">
        <f t="shared" si="116"/>
        <v>0.13900000000000001</v>
      </c>
      <c r="AC632" s="13" t="str">
        <f t="shared" si="117"/>
        <v>OK</v>
      </c>
      <c r="AD632" s="7">
        <v>8</v>
      </c>
      <c r="AE632" s="7">
        <f>Y632*AD632*(1-AB632)</f>
        <v>12769.38768</v>
      </c>
      <c r="AF632" s="7">
        <f>W632*AD632</f>
        <v>6456.88</v>
      </c>
      <c r="AG632" s="7">
        <f t="shared" si="118"/>
        <v>6312.5076799999997</v>
      </c>
      <c r="AH632" s="13">
        <f t="shared" si="119"/>
        <v>0.49434693645388639</v>
      </c>
    </row>
    <row r="633" spans="1:34" x14ac:dyDescent="0.35">
      <c r="A633" s="2" t="s">
        <v>645</v>
      </c>
      <c r="B633" s="5">
        <v>45716</v>
      </c>
      <c r="C633" s="5">
        <f>IF(H633&lt;B633,H633,B633)</f>
        <v>45716</v>
      </c>
      <c r="D633" s="5" t="str">
        <f t="shared" si="108"/>
        <v>Feb-2025</v>
      </c>
      <c r="E633" s="5" t="str">
        <f t="shared" si="109"/>
        <v>Feb</v>
      </c>
      <c r="F633" s="5" t="str">
        <f t="shared" si="110"/>
        <v>2025</v>
      </c>
      <c r="G633" s="5" t="str">
        <f t="shared" si="111"/>
        <v>Q1-2025</v>
      </c>
      <c r="H633" s="5">
        <v>45726</v>
      </c>
      <c r="I633" s="5">
        <f>IF(H633&lt;B633, B633+7, H633)</f>
        <v>45726</v>
      </c>
      <c r="J633" s="5" t="str">
        <f>IF(H633&lt;B633, "Invalid","Okay")</f>
        <v>Okay</v>
      </c>
      <c r="K633" s="16">
        <f>I633-C633</f>
        <v>10</v>
      </c>
      <c r="L633" s="16" t="str">
        <f t="shared" si="112"/>
        <v>Target Not Met</v>
      </c>
      <c r="M633" s="2" t="s">
        <v>647</v>
      </c>
      <c r="N633" s="2" t="s">
        <v>652</v>
      </c>
      <c r="O633" s="2" t="s">
        <v>666</v>
      </c>
      <c r="P633" s="29" t="str">
        <f t="shared" si="113"/>
        <v>Asia→Japan→Osaka</v>
      </c>
      <c r="Q633" s="2" t="s">
        <v>702</v>
      </c>
      <c r="R633" s="2" t="s">
        <v>710</v>
      </c>
      <c r="S633" s="2" t="s">
        <v>725</v>
      </c>
      <c r="T633" s="2" t="s">
        <v>731</v>
      </c>
      <c r="U633" t="e">
        <f>(AE633/#REF!)*100</f>
        <v>#REF!</v>
      </c>
      <c r="V633" s="2" t="s">
        <v>1363</v>
      </c>
      <c r="W633" s="7">
        <v>51.86</v>
      </c>
      <c r="X633" s="7">
        <v>45.98</v>
      </c>
      <c r="Y633" s="7">
        <f t="shared" si="114"/>
        <v>45.98</v>
      </c>
      <c r="Z633" s="7" t="str">
        <f t="shared" si="115"/>
        <v>Low</v>
      </c>
      <c r="AA633" s="13">
        <v>0.17299999999999999</v>
      </c>
      <c r="AB633" s="13">
        <f t="shared" si="116"/>
        <v>0.17299999999999999</v>
      </c>
      <c r="AC633" s="13" t="str">
        <f t="shared" si="117"/>
        <v>OK</v>
      </c>
      <c r="AD633" s="7">
        <v>7</v>
      </c>
      <c r="AE633" s="7">
        <f>Y633*AD633*(1-AB633)</f>
        <v>266.17821999999995</v>
      </c>
      <c r="AF633" s="7">
        <f>W633*AD633</f>
        <v>363.02</v>
      </c>
      <c r="AG633" s="7">
        <f t="shared" si="118"/>
        <v>-96.841780000000028</v>
      </c>
      <c r="AH633" s="13">
        <f t="shared" si="119"/>
        <v>-0.3638230806412337</v>
      </c>
    </row>
  </sheetData>
  <autoFilter ref="A1:AD633" xr:uid="{E5633436-6C45-4D32-AA56-1C01DCD16B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3592-C721-44A6-90AD-6159BB79EE89}">
  <dimension ref="A3:B16"/>
  <sheetViews>
    <sheetView workbookViewId="0">
      <selection activeCell="D16" sqref="D16"/>
    </sheetView>
  </sheetViews>
  <sheetFormatPr defaultRowHeight="14.5" x14ac:dyDescent="0.35"/>
  <cols>
    <col min="1" max="1" width="12.36328125" bestFit="1" customWidth="1"/>
    <col min="2" max="2" width="16.6328125" bestFit="1" customWidth="1"/>
  </cols>
  <sheetData>
    <row r="3" spans="1:2" x14ac:dyDescent="0.35">
      <c r="A3" s="19" t="s">
        <v>1463</v>
      </c>
      <c r="B3" t="s">
        <v>1520</v>
      </c>
    </row>
    <row r="4" spans="1:2" x14ac:dyDescent="0.35">
      <c r="A4" s="20" t="s">
        <v>646</v>
      </c>
      <c r="B4" s="29">
        <v>286625.03093999997</v>
      </c>
    </row>
    <row r="5" spans="1:2" x14ac:dyDescent="0.35">
      <c r="A5" s="21" t="s">
        <v>708</v>
      </c>
      <c r="B5" s="29">
        <v>145453.94626999996</v>
      </c>
    </row>
    <row r="6" spans="1:2" x14ac:dyDescent="0.35">
      <c r="A6" s="21" t="s">
        <v>707</v>
      </c>
      <c r="B6" s="29">
        <v>141171.08466999998</v>
      </c>
    </row>
    <row r="7" spans="1:2" x14ac:dyDescent="0.35">
      <c r="A7" s="20" t="s">
        <v>648</v>
      </c>
      <c r="B7" s="29">
        <v>330979.55358999997</v>
      </c>
    </row>
    <row r="8" spans="1:2" x14ac:dyDescent="0.35">
      <c r="A8" s="21" t="s">
        <v>708</v>
      </c>
      <c r="B8" s="29">
        <v>261943.84436999998</v>
      </c>
    </row>
    <row r="9" spans="1:2" x14ac:dyDescent="0.35">
      <c r="A9" s="21" t="s">
        <v>707</v>
      </c>
      <c r="B9" s="29">
        <v>69035.709220000004</v>
      </c>
    </row>
    <row r="10" spans="1:2" x14ac:dyDescent="0.35">
      <c r="A10" s="20" t="s">
        <v>647</v>
      </c>
      <c r="B10" s="29">
        <v>302300.94952999998</v>
      </c>
    </row>
    <row r="11" spans="1:2" x14ac:dyDescent="0.35">
      <c r="A11" s="21" t="s">
        <v>708</v>
      </c>
      <c r="B11" s="29">
        <v>149042.38968999995</v>
      </c>
    </row>
    <row r="12" spans="1:2" x14ac:dyDescent="0.35">
      <c r="A12" s="21" t="s">
        <v>707</v>
      </c>
      <c r="B12" s="29">
        <v>153258.55984</v>
      </c>
    </row>
    <row r="13" spans="1:2" x14ac:dyDescent="0.35">
      <c r="A13" s="20" t="s">
        <v>649</v>
      </c>
      <c r="B13" s="29">
        <v>351846.33506000001</v>
      </c>
    </row>
    <row r="14" spans="1:2" x14ac:dyDescent="0.35">
      <c r="A14" s="21" t="s">
        <v>708</v>
      </c>
      <c r="B14" s="29">
        <v>200067.16277</v>
      </c>
    </row>
    <row r="15" spans="1:2" x14ac:dyDescent="0.35">
      <c r="A15" s="21" t="s">
        <v>707</v>
      </c>
      <c r="B15" s="29">
        <v>151779.17229000002</v>
      </c>
    </row>
    <row r="16" spans="1:2" x14ac:dyDescent="0.35">
      <c r="A16" s="20" t="s">
        <v>1464</v>
      </c>
      <c r="B16" s="29">
        <v>1271751.8691199999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824B-AAB2-44F5-8903-C765E41E3E87}">
  <dimension ref="A3:B14"/>
  <sheetViews>
    <sheetView workbookViewId="0">
      <selection activeCell="E17" sqref="E17"/>
    </sheetView>
  </sheetViews>
  <sheetFormatPr defaultRowHeight="14.5" x14ac:dyDescent="0.35"/>
  <cols>
    <col min="1" max="1" width="12.36328125" bestFit="1" customWidth="1"/>
    <col min="2" max="2" width="19.1796875" bestFit="1" customWidth="1"/>
  </cols>
  <sheetData>
    <row r="3" spans="1:2" x14ac:dyDescent="0.35">
      <c r="A3" s="19" t="s">
        <v>1463</v>
      </c>
      <c r="B3" t="s">
        <v>1471</v>
      </c>
    </row>
    <row r="4" spans="1:2" x14ac:dyDescent="0.35">
      <c r="A4" s="20" t="s">
        <v>1053</v>
      </c>
      <c r="B4" s="29">
        <v>53034.364139999991</v>
      </c>
    </row>
    <row r="5" spans="1:2" x14ac:dyDescent="0.35">
      <c r="A5" s="20" t="s">
        <v>743</v>
      </c>
      <c r="B5" s="29">
        <v>60928.502359999999</v>
      </c>
    </row>
    <row r="6" spans="1:2" x14ac:dyDescent="0.35">
      <c r="A6" s="20" t="s">
        <v>971</v>
      </c>
      <c r="B6" s="29">
        <v>139277.83032000001</v>
      </c>
    </row>
    <row r="7" spans="1:2" x14ac:dyDescent="0.35">
      <c r="A7" s="20" t="s">
        <v>1096</v>
      </c>
      <c r="B7" s="29">
        <v>82514.711519999997</v>
      </c>
    </row>
    <row r="8" spans="1:2" x14ac:dyDescent="0.35">
      <c r="A8" s="20" t="s">
        <v>1254</v>
      </c>
      <c r="B8" s="29">
        <v>64192.976999999999</v>
      </c>
    </row>
    <row r="9" spans="1:2" x14ac:dyDescent="0.35">
      <c r="A9" s="20" t="s">
        <v>1164</v>
      </c>
      <c r="B9" s="29">
        <v>58057.65</v>
      </c>
    </row>
    <row r="10" spans="1:2" x14ac:dyDescent="0.35">
      <c r="A10" s="20" t="s">
        <v>1155</v>
      </c>
      <c r="B10" s="29">
        <v>102122.94203999999</v>
      </c>
    </row>
    <row r="11" spans="1:2" x14ac:dyDescent="0.35">
      <c r="A11" s="20" t="s">
        <v>1129</v>
      </c>
      <c r="B11" s="29">
        <v>56176.777799999996</v>
      </c>
    </row>
    <row r="12" spans="1:2" x14ac:dyDescent="0.35">
      <c r="A12" s="20" t="s">
        <v>1324</v>
      </c>
      <c r="B12" s="29">
        <v>51768.181920000003</v>
      </c>
    </row>
    <row r="13" spans="1:2" x14ac:dyDescent="0.35">
      <c r="A13" s="20" t="s">
        <v>781</v>
      </c>
      <c r="B13" s="29">
        <v>109244</v>
      </c>
    </row>
    <row r="14" spans="1:2" x14ac:dyDescent="0.35">
      <c r="A14" s="20" t="s">
        <v>1464</v>
      </c>
      <c r="B14" s="29">
        <v>777317.9371000001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513E0-4DD4-4949-9606-9B069E4D81A4}">
  <dimension ref="A1"/>
  <sheetViews>
    <sheetView workbookViewId="0">
      <selection activeCell="P45" sqref="P45"/>
    </sheetView>
  </sheetViews>
  <sheetFormatPr defaultRowHeight="14.5" x14ac:dyDescent="0.35"/>
  <cols>
    <col min="1" max="16384" width="8.726562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2911-B0BC-40DF-82D4-4A1D5D7738ED}">
  <dimension ref="A1:H30"/>
  <sheetViews>
    <sheetView workbookViewId="0">
      <selection activeCell="C34" sqref="C34"/>
    </sheetView>
  </sheetViews>
  <sheetFormatPr defaultRowHeight="14.5" x14ac:dyDescent="0.35"/>
  <sheetData>
    <row r="1" spans="1:8" x14ac:dyDescent="0.35">
      <c r="A1" s="9" t="s">
        <v>1424</v>
      </c>
    </row>
    <row r="2" spans="1:8" x14ac:dyDescent="0.35">
      <c r="A2" s="10" t="s">
        <v>1425</v>
      </c>
      <c r="B2" s="10"/>
      <c r="C2" s="10"/>
      <c r="D2" s="10"/>
      <c r="E2" s="10"/>
      <c r="F2" s="10"/>
      <c r="G2" s="10"/>
    </row>
    <row r="3" spans="1:8" x14ac:dyDescent="0.35">
      <c r="A3" s="10" t="s">
        <v>1426</v>
      </c>
      <c r="B3" s="10"/>
      <c r="C3" s="10"/>
      <c r="D3" s="10"/>
      <c r="E3" s="10"/>
      <c r="F3" s="10"/>
      <c r="G3" s="10"/>
    </row>
    <row r="4" spans="1:8" x14ac:dyDescent="0.35">
      <c r="A4" t="s">
        <v>1429</v>
      </c>
    </row>
    <row r="5" spans="1:8" x14ac:dyDescent="0.35">
      <c r="A5" s="10" t="s">
        <v>1427</v>
      </c>
      <c r="B5" s="10"/>
      <c r="C5" s="10"/>
      <c r="D5" s="10"/>
      <c r="E5" s="10"/>
      <c r="F5" s="10"/>
      <c r="G5" s="10"/>
      <c r="H5" s="10"/>
    </row>
    <row r="6" spans="1:8" x14ac:dyDescent="0.35">
      <c r="A6" s="5" t="s">
        <v>1428</v>
      </c>
    </row>
    <row r="7" spans="1:8" x14ac:dyDescent="0.35">
      <c r="A7" s="11" t="s">
        <v>1430</v>
      </c>
      <c r="B7" s="10"/>
    </row>
    <row r="8" spans="1:8" x14ac:dyDescent="0.35">
      <c r="A8" t="s">
        <v>1431</v>
      </c>
    </row>
    <row r="9" spans="1:8" x14ac:dyDescent="0.35">
      <c r="A9" t="s">
        <v>1432</v>
      </c>
    </row>
    <row r="10" spans="1:8" x14ac:dyDescent="0.35">
      <c r="A10" t="s">
        <v>1433</v>
      </c>
      <c r="D10" s="2"/>
    </row>
    <row r="11" spans="1:8" x14ac:dyDescent="0.35">
      <c r="A11" s="10" t="s">
        <v>1434</v>
      </c>
      <c r="B11" s="10"/>
      <c r="C11" s="10"/>
      <c r="D11" s="10"/>
    </row>
    <row r="12" spans="1:8" x14ac:dyDescent="0.35">
      <c r="A12" s="14" t="s">
        <v>1435</v>
      </c>
    </row>
    <row r="13" spans="1:8" x14ac:dyDescent="0.35">
      <c r="A13" t="s">
        <v>1437</v>
      </c>
    </row>
    <row r="14" spans="1:8" x14ac:dyDescent="0.35">
      <c r="A14" s="14" t="s">
        <v>1439</v>
      </c>
    </row>
    <row r="15" spans="1:8" x14ac:dyDescent="0.35">
      <c r="A15" t="s">
        <v>1438</v>
      </c>
    </row>
    <row r="16" spans="1:8" x14ac:dyDescent="0.35">
      <c r="A16" t="s">
        <v>1448</v>
      </c>
    </row>
    <row r="17" spans="1:1" x14ac:dyDescent="0.35">
      <c r="A17" t="s">
        <v>1443</v>
      </c>
    </row>
    <row r="18" spans="1:1" x14ac:dyDescent="0.35">
      <c r="A18" t="s">
        <v>1447</v>
      </c>
    </row>
    <row r="19" spans="1:1" x14ac:dyDescent="0.35">
      <c r="A19" s="10" t="s">
        <v>1442</v>
      </c>
    </row>
    <row r="20" spans="1:1" x14ac:dyDescent="0.35">
      <c r="A20" t="s">
        <v>1446</v>
      </c>
    </row>
    <row r="21" spans="1:1" x14ac:dyDescent="0.35">
      <c r="A21" t="s">
        <v>1445</v>
      </c>
    </row>
    <row r="22" spans="1:1" x14ac:dyDescent="0.35">
      <c r="A22" t="s">
        <v>1449</v>
      </c>
    </row>
    <row r="23" spans="1:1" x14ac:dyDescent="0.35">
      <c r="A23" s="10" t="s">
        <v>1450</v>
      </c>
    </row>
    <row r="24" spans="1:1" x14ac:dyDescent="0.35">
      <c r="A24" t="s">
        <v>1451</v>
      </c>
    </row>
    <row r="25" spans="1:1" x14ac:dyDescent="0.35">
      <c r="A25" t="s">
        <v>1453</v>
      </c>
    </row>
    <row r="27" spans="1:1" x14ac:dyDescent="0.35">
      <c r="A27" t="s">
        <v>1458</v>
      </c>
    </row>
    <row r="28" spans="1:1" x14ac:dyDescent="0.35">
      <c r="A28" t="s">
        <v>1459</v>
      </c>
    </row>
    <row r="29" spans="1:1" x14ac:dyDescent="0.35">
      <c r="A29" t="s">
        <v>1460</v>
      </c>
    </row>
    <row r="30" spans="1:1" x14ac:dyDescent="0.35">
      <c r="A30" t="s">
        <v>1461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7"/>
  <sheetViews>
    <sheetView topLeftCell="A50" workbookViewId="0">
      <selection activeCell="N9" sqref="N9"/>
    </sheetView>
  </sheetViews>
  <sheetFormatPr defaultRowHeight="14.5" x14ac:dyDescent="0.35"/>
  <sheetData>
    <row r="1" spans="1:14" x14ac:dyDescent="0.35">
      <c r="A1" s="1" t="s">
        <v>1364</v>
      </c>
    </row>
    <row r="2" spans="1:14" x14ac:dyDescent="0.35">
      <c r="A2" t="s">
        <v>1365</v>
      </c>
    </row>
    <row r="4" spans="1:14" x14ac:dyDescent="0.35">
      <c r="A4" t="s">
        <v>1366</v>
      </c>
    </row>
    <row r="5" spans="1:14" x14ac:dyDescent="0.35">
      <c r="A5" t="s">
        <v>1367</v>
      </c>
    </row>
    <row r="6" spans="1:14" x14ac:dyDescent="0.35">
      <c r="A6" t="s">
        <v>1368</v>
      </c>
    </row>
    <row r="8" spans="1:14" x14ac:dyDescent="0.35">
      <c r="A8" t="s">
        <v>1369</v>
      </c>
    </row>
    <row r="9" spans="1:14" x14ac:dyDescent="0.35">
      <c r="A9" t="s">
        <v>1370</v>
      </c>
      <c r="N9" t="s">
        <v>1422</v>
      </c>
    </row>
    <row r="10" spans="1:14" x14ac:dyDescent="0.35">
      <c r="A10" t="s">
        <v>1371</v>
      </c>
      <c r="I10" t="s">
        <v>1422</v>
      </c>
    </row>
    <row r="11" spans="1:14" x14ac:dyDescent="0.35">
      <c r="A11" t="s">
        <v>1372</v>
      </c>
      <c r="G11" t="s">
        <v>1422</v>
      </c>
    </row>
    <row r="12" spans="1:14" x14ac:dyDescent="0.35">
      <c r="A12" t="s">
        <v>1373</v>
      </c>
      <c r="M12" t="s">
        <v>1422</v>
      </c>
    </row>
    <row r="13" spans="1:14" x14ac:dyDescent="0.35">
      <c r="A13" t="s">
        <v>1374</v>
      </c>
    </row>
    <row r="14" spans="1:14" x14ac:dyDescent="0.35">
      <c r="A14" t="s">
        <v>1375</v>
      </c>
    </row>
    <row r="15" spans="1:14" x14ac:dyDescent="0.35">
      <c r="A15" t="s">
        <v>1376</v>
      </c>
    </row>
    <row r="17" spans="1:1" x14ac:dyDescent="0.35">
      <c r="A17" t="s">
        <v>1377</v>
      </c>
    </row>
    <row r="18" spans="1:1" x14ac:dyDescent="0.35">
      <c r="A18" t="s">
        <v>1378</v>
      </c>
    </row>
    <row r="19" spans="1:1" x14ac:dyDescent="0.35">
      <c r="A19" t="s">
        <v>1379</v>
      </c>
    </row>
    <row r="20" spans="1:1" x14ac:dyDescent="0.35">
      <c r="A20" t="s">
        <v>1380</v>
      </c>
    </row>
    <row r="21" spans="1:1" x14ac:dyDescent="0.35">
      <c r="A21" t="s">
        <v>1381</v>
      </c>
    </row>
    <row r="23" spans="1:1" x14ac:dyDescent="0.35">
      <c r="A23" t="s">
        <v>1382</v>
      </c>
    </row>
    <row r="24" spans="1:1" x14ac:dyDescent="0.35">
      <c r="A24" t="s">
        <v>1383</v>
      </c>
    </row>
    <row r="25" spans="1:1" x14ac:dyDescent="0.35">
      <c r="A25" t="s">
        <v>1384</v>
      </c>
    </row>
    <row r="26" spans="1:1" x14ac:dyDescent="0.35">
      <c r="A26" t="s">
        <v>1385</v>
      </c>
    </row>
    <row r="27" spans="1:1" x14ac:dyDescent="0.35">
      <c r="A27" t="s">
        <v>1386</v>
      </c>
    </row>
    <row r="29" spans="1:1" x14ac:dyDescent="0.35">
      <c r="A29" t="s">
        <v>1387</v>
      </c>
    </row>
    <row r="30" spans="1:1" x14ac:dyDescent="0.35">
      <c r="A30" t="s">
        <v>1388</v>
      </c>
    </row>
    <row r="31" spans="1:1" x14ac:dyDescent="0.35">
      <c r="A31" t="s">
        <v>1389</v>
      </c>
    </row>
    <row r="32" spans="1:1" x14ac:dyDescent="0.35">
      <c r="A32" t="s">
        <v>1390</v>
      </c>
    </row>
    <row r="33" spans="1:1" x14ac:dyDescent="0.35">
      <c r="A33" t="s">
        <v>1391</v>
      </c>
    </row>
    <row r="34" spans="1:1" x14ac:dyDescent="0.35">
      <c r="A34" t="s">
        <v>1392</v>
      </c>
    </row>
    <row r="35" spans="1:1" x14ac:dyDescent="0.35">
      <c r="A35" t="s">
        <v>1393</v>
      </c>
    </row>
    <row r="36" spans="1:1" x14ac:dyDescent="0.35">
      <c r="A36" t="s">
        <v>1394</v>
      </c>
    </row>
    <row r="37" spans="1:1" x14ac:dyDescent="0.35">
      <c r="A37" t="s">
        <v>1395</v>
      </c>
    </row>
    <row r="38" spans="1:1" x14ac:dyDescent="0.35">
      <c r="A38" t="s">
        <v>1396</v>
      </c>
    </row>
    <row r="39" spans="1:1" x14ac:dyDescent="0.35">
      <c r="A39" t="s">
        <v>1397</v>
      </c>
    </row>
    <row r="40" spans="1:1" x14ac:dyDescent="0.35">
      <c r="A40" t="s">
        <v>1398</v>
      </c>
    </row>
    <row r="41" spans="1:1" x14ac:dyDescent="0.35">
      <c r="A41" t="s">
        <v>1399</v>
      </c>
    </row>
    <row r="43" spans="1:1" x14ac:dyDescent="0.35">
      <c r="A43" t="s">
        <v>1400</v>
      </c>
    </row>
    <row r="44" spans="1:1" x14ac:dyDescent="0.35">
      <c r="A44" t="s">
        <v>1401</v>
      </c>
    </row>
    <row r="45" spans="1:1" x14ac:dyDescent="0.35">
      <c r="A45" t="s">
        <v>1402</v>
      </c>
    </row>
    <row r="46" spans="1:1" x14ac:dyDescent="0.35">
      <c r="A46" t="s">
        <v>1403</v>
      </c>
    </row>
    <row r="47" spans="1:1" x14ac:dyDescent="0.35">
      <c r="A47" t="s">
        <v>1404</v>
      </c>
    </row>
    <row r="48" spans="1:1" x14ac:dyDescent="0.35">
      <c r="A48" t="s">
        <v>1405</v>
      </c>
    </row>
    <row r="50" spans="1:1" x14ac:dyDescent="0.35">
      <c r="A50" t="s">
        <v>1406</v>
      </c>
    </row>
    <row r="51" spans="1:1" x14ac:dyDescent="0.35">
      <c r="A51" t="s">
        <v>1407</v>
      </c>
    </row>
    <row r="52" spans="1:1" x14ac:dyDescent="0.35">
      <c r="A52" t="s">
        <v>1408</v>
      </c>
    </row>
    <row r="53" spans="1:1" x14ac:dyDescent="0.35">
      <c r="A53" t="s">
        <v>1409</v>
      </c>
    </row>
    <row r="54" spans="1:1" x14ac:dyDescent="0.35">
      <c r="A54" t="s">
        <v>1410</v>
      </c>
    </row>
    <row r="55" spans="1:1" x14ac:dyDescent="0.35">
      <c r="A55" t="s">
        <v>1411</v>
      </c>
    </row>
    <row r="56" spans="1:1" x14ac:dyDescent="0.35">
      <c r="A56" t="s">
        <v>1412</v>
      </c>
    </row>
    <row r="57" spans="1:1" x14ac:dyDescent="0.35">
      <c r="A57" t="s">
        <v>1413</v>
      </c>
    </row>
    <row r="58" spans="1:1" x14ac:dyDescent="0.35">
      <c r="A58" t="s">
        <v>1414</v>
      </c>
    </row>
    <row r="59" spans="1:1" x14ac:dyDescent="0.35">
      <c r="A59" t="s">
        <v>1415</v>
      </c>
    </row>
    <row r="61" spans="1:1" x14ac:dyDescent="0.35">
      <c r="A61" t="s">
        <v>1416</v>
      </c>
    </row>
    <row r="62" spans="1:1" x14ac:dyDescent="0.35">
      <c r="A62" t="s">
        <v>1417</v>
      </c>
    </row>
    <row r="64" spans="1:1" x14ac:dyDescent="0.35">
      <c r="A64" t="s">
        <v>1418</v>
      </c>
    </row>
    <row r="65" spans="1:1" x14ac:dyDescent="0.35">
      <c r="A65" t="s">
        <v>1419</v>
      </c>
    </row>
    <row r="66" spans="1:1" x14ac:dyDescent="0.35">
      <c r="A66" t="s">
        <v>1420</v>
      </c>
    </row>
    <row r="67" spans="1:1" x14ac:dyDescent="0.35">
      <c r="A67" t="s">
        <v>1421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Original Data</vt:lpstr>
      <vt:lpstr>FirstTimeSalesByCounty&amp;Month</vt:lpstr>
      <vt:lpstr>ABC.AnalysisBySKU</vt:lpstr>
      <vt:lpstr>SalespersonProductivity</vt:lpstr>
      <vt:lpstr>ChannelMix&amp;Cannibalization</vt:lpstr>
      <vt:lpstr>ServiceLevelProxy</vt:lpstr>
      <vt:lpstr>PriceCompliance</vt:lpstr>
      <vt:lpstr>KPI's</vt:lpstr>
      <vt:lpstr>RevenueByMonth</vt:lpstr>
      <vt:lpstr>Staging_table</vt:lpstr>
      <vt:lpstr>Region&amp;ChannelProfit</vt:lpstr>
      <vt:lpstr>SKUsByRevenue</vt:lpstr>
      <vt:lpstr>Dashboard</vt:lpstr>
      <vt:lpstr>ReadMe</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Rachel Muriuki</cp:lastModifiedBy>
  <dcterms:created xsi:type="dcterms:W3CDTF">2025-09-28T10:49:35Z</dcterms:created>
  <dcterms:modified xsi:type="dcterms:W3CDTF">2026-02-02T10:46:49Z</dcterms:modified>
</cp:coreProperties>
</file>