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documents.LD\2026 Projects\"/>
    </mc:Choice>
  </mc:AlternateContent>
  <xr:revisionPtr revIDLastSave="0" documentId="13_ncr:1_{6F29EE85-22BD-4D26-A859-E923AC419B59}" xr6:coauthVersionLast="47" xr6:coauthVersionMax="47" xr10:uidLastSave="{00000000-0000-0000-0000-000000000000}"/>
  <bookViews>
    <workbookView xWindow="-110" yWindow="-110" windowWidth="19420" windowHeight="10300" activeTab="9" xr2:uid="{FF148AE7-B992-408E-BB5F-BD39ADA5560E}"/>
  </bookViews>
  <sheets>
    <sheet name="Discount category average" sheetId="2" r:id="rId1"/>
    <sheet name="ProductRatingsCount" sheetId="3" r:id="rId2"/>
    <sheet name="Review+CustomerEngagement" sheetId="8" r:id="rId3"/>
    <sheet name="ProductRatings+Reviews" sheetId="10" r:id="rId4"/>
    <sheet name="RatingComparison" sheetId="14" r:id="rId5"/>
    <sheet name="ProductsByDiscountCategory" sheetId="17" r:id="rId6"/>
    <sheet name="Staging Data" sheetId="1" r:id="rId7"/>
    <sheet name="Top5Bottom5RatedProducts" sheetId="13" r:id="rId8"/>
    <sheet name="Top10ReviewedProducts" sheetId="12" r:id="rId9"/>
    <sheet name="Dashboard" sheetId="15" r:id="rId10"/>
    <sheet name="Top10DiscountedProducts" sheetId="11" r:id="rId11"/>
    <sheet name="Rating+Review" sheetId="7" r:id="rId12"/>
    <sheet name="Discount%+Review" sheetId="6" r:id="rId13"/>
  </sheets>
  <definedNames>
    <definedName name="_xlnm._FilterDatabase" localSheetId="11" hidden="1">'Rating+Review'!$B$1:$B$110</definedName>
    <definedName name="_xlnm._FilterDatabase" localSheetId="6" hidden="1">'Staging Data'!$A$1:$F$110</definedName>
    <definedName name="_xlnm._FilterDatabase" localSheetId="10" hidden="1">Top10DiscountedProducts!$A$1:$C$111</definedName>
    <definedName name="_xlnm._FilterDatabase" localSheetId="8" hidden="1">Top10ReviewedProducts!$A$1:$E$111</definedName>
    <definedName name="_xlnm._FilterDatabase" localSheetId="7" hidden="1">Top5Bottom5RatedProducts!$B$1:$B$110</definedName>
    <definedName name="Slicer_Discount_Category">#N/A</definedName>
    <definedName name="Slicer_Rating_Category">#N/A</definedName>
  </definedNames>
  <calcPr calcId="191029"/>
  <pivotCaches>
    <pivotCache cacheId="27"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12" i="1" l="1"/>
  <c r="A113" i="7"/>
  <c r="A112" i="7"/>
  <c r="B113" i="7"/>
  <c r="B112" i="7"/>
  <c r="A113" i="6"/>
  <c r="A112" i="6"/>
  <c r="G3" i="6"/>
  <c r="C113" i="6"/>
  <c r="C112" i="6"/>
  <c r="B118" i="1"/>
  <c r="B116" i="1"/>
  <c r="F113" i="1"/>
  <c r="D113" i="1"/>
  <c r="C113" i="1"/>
  <c r="B113"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2" i="1"/>
</calcChain>
</file>

<file path=xl/sharedStrings.xml><?xml version="1.0" encoding="utf-8"?>
<sst xmlns="http://schemas.openxmlformats.org/spreadsheetml/2006/main" count="738" uniqueCount="210">
  <si>
    <t>Product</t>
  </si>
  <si>
    <t>Current price</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</si>
  <si>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</si>
  <si>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</si>
  <si>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</si>
  <si>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</si>
  <si>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</si>
  <si>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</si>
  <si>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</si>
  <si>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</si>
  <si>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</si>
  <si>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</si>
  <si>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</si>
  <si>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</si>
  <si>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</si>
  <si>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</si>
  <si>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</si>
  <si>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</si>
  <si>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</si>
  <si>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</si>
  <si>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</si>
  <si>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</si>
  <si>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</si>
  <si>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</si>
  <si>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</si>
  <si>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</si>
  <si>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</si>
  <si>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</si>
  <si>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</si>
  <si>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</si>
  <si>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</si>
  <si>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</si>
  <si>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</si>
  <si>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</si>
  <si>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</si>
  <si>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</si>
  <si>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</si>
  <si>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</si>
  <si>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</si>
  <si>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</si>
  <si>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</si>
  <si>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</si>
  <si>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</si>
  <si>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</si>
  <si>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</si>
  <si>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</si>
  <si>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</si>
  <si>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</si>
  <si>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</si>
  <si>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</si>
  <si>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</si>
  <si>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</si>
  <si>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</si>
  <si>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</si>
  <si>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</si>
  <si>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</si>
  <si>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</si>
  <si>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</si>
  <si>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</si>
  <si>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</si>
  <si>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</si>
  <si>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</si>
  <si>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</si>
  <si>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</si>
  <si>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</si>
  <si>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</si>
  <si>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</si>
  <si>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</si>
  <si>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</si>
  <si>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</si>
  <si>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</si>
  <si>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</si>
  <si>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</si>
  <si>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</si>
  <si>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</si>
  <si>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</si>
  <si>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</si>
  <si>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</si>
  <si>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</si>
  <si>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</si>
  <si>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</si>
  <si>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</si>
  <si>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</si>
  <si>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</si>
  <si>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</si>
  <si>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</si>
  <si>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</si>
  <si>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</si>
  <si>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</si>
  <si>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</si>
  <si>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</si>
  <si>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</si>
  <si>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</si>
  <si>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</si>
  <si>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</si>
  <si>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</si>
  <si>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</si>
  <si>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</si>
  <si>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</si>
  <si>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</si>
  <si>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</si>
  <si>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</si>
  <si>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</si>
  <si>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</si>
  <si>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</si>
  <si>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</si>
  <si>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</si>
  <si>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</si>
  <si>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</si>
  <si>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</si>
  <si>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</si>
  <si>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</si>
  <si>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</si>
  <si>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</si>
  <si>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Handle missing values in Review &amp; Rating columns;</t>
  </si>
  <si>
    <t>0 reviews doesn't mean 0 rating</t>
  </si>
  <si>
    <t>The review can also be filled with average mean/average</t>
  </si>
  <si>
    <t>Not Provided</t>
  </si>
  <si>
    <t xml:space="preserve">Ctrl+A,  Data, Remove duplicates, My data has headers, OK </t>
  </si>
  <si>
    <t>Ways to know if they're blanks;</t>
  </si>
  <si>
    <t>Ctrl+A/Select column, Ctrl+G, Special, Blanks, OK</t>
  </si>
  <si>
    <t>Home,Sort &amp; Filter, Enable Filter, Click on drop-down, Unselect all, Select blanks, OK</t>
  </si>
  <si>
    <t>Removing duplicates;</t>
  </si>
  <si>
    <t>Ctrl+A,Home,Conditional formatting,Highlight cell rules,duplicate values, Fill with color</t>
  </si>
  <si>
    <t>Filtering out the duplicate values in the sheet;</t>
  </si>
  <si>
    <t>After removing duplicates &amp; doing conditional formatting, Enable filter, click on the drop-down, filter by color. (This displays rows that have entries similar in one column but different entries in another column)</t>
  </si>
  <si>
    <t>Converting 4.5 out of 5 to 4.5(Rating);</t>
  </si>
  <si>
    <t>Select column, Ctrl+F/Ctrl+H, replace 'blank' with Not provided(for rating) &amp; 'blank' with 0(for review)</t>
  </si>
  <si>
    <t>Fill blank reviews with 0 in Review &amp; Not provided in Rating</t>
  </si>
  <si>
    <t>Select column, Ctrl+F/Ctrl+H,replace 'out of 5' with blank(to change text to number) OR</t>
  </si>
  <si>
    <t>Use LEFT function: LEFT(F2,3)</t>
  </si>
  <si>
    <t>For B40 &amp; C40, which have ranges;</t>
  </si>
  <si>
    <t>Add the two numbers together &amp; divide by two</t>
  </si>
  <si>
    <t>For Old Price &amp; Current Price, removing the KSh then format as currency;</t>
  </si>
  <si>
    <t>Split the column: Copy column to new column, Data, Text to column, delimited, space, finish, Paste the new values to the old column OR</t>
  </si>
  <si>
    <t>Use find &amp; Replace</t>
  </si>
  <si>
    <t>Removing the -ve from Review to +ve;</t>
  </si>
  <si>
    <t>Use ABS(A2). (This changes -ve numbers to +ve &amp; +ve numbers remain +ve</t>
  </si>
  <si>
    <t>Use find &amp; Replace. Find -ve &amp; Replace with blank.</t>
  </si>
  <si>
    <t>Using IF(E2&lt;0, -E2,E2). 2nd condition returns if true, 3rd condition returns if false</t>
  </si>
  <si>
    <t>Data Cleaning &amp; Preparation</t>
  </si>
  <si>
    <t>Data Enrichment</t>
  </si>
  <si>
    <t>Discount Amount</t>
  </si>
  <si>
    <t>Rating Category</t>
  </si>
  <si>
    <t>Discount Category</t>
  </si>
  <si>
    <t xml:space="preserve">Rating Category: </t>
  </si>
  <si>
    <t>Poor for ratings below 3</t>
  </si>
  <si>
    <t>Average for ratings between 3 and 4.4</t>
  </si>
  <si>
    <t>Excellent for ratings of 4.5 and above</t>
  </si>
  <si>
    <t>IF(F2="Not Provided", "N/A", IF(F2&lt;3, "Poor", IF(F2&lt;=4.4, "Average", "Excellent")))</t>
  </si>
  <si>
    <t>Discount Category:</t>
  </si>
  <si>
    <t>Low discount for discounts below 20%</t>
  </si>
  <si>
    <t>Medium Discount for discounts between 20% and 40%</t>
  </si>
  <si>
    <t>High discount for discounts above 40%</t>
  </si>
  <si>
    <t>IF(D2&lt;20%, "Low Discount", IF(D2&lt;=40, "Medium Discount", "High Discount"))</t>
  </si>
  <si>
    <t>Data Analysis</t>
  </si>
  <si>
    <t>Average</t>
  </si>
  <si>
    <t>MAX</t>
  </si>
  <si>
    <t>MIN</t>
  </si>
  <si>
    <t>Or Go to Home, Use Autosum</t>
  </si>
  <si>
    <t>Rating(out of 5)</t>
  </si>
  <si>
    <t>Which products are most expensive and least expensive?</t>
  </si>
  <si>
    <t>Find max and min of the product column, use conditional formatting equal to</t>
  </si>
  <si>
    <t>Or Sort column from largest to smallest &amp; VS</t>
  </si>
  <si>
    <t>What's the average rating and discount by discount category</t>
  </si>
  <si>
    <t>Create a pivot table</t>
  </si>
  <si>
    <t>Row Labels</t>
  </si>
  <si>
    <t>Grand Total</t>
  </si>
  <si>
    <t>High Discount</t>
  </si>
  <si>
    <t>Low Discount</t>
  </si>
  <si>
    <t>Medium Discount</t>
  </si>
  <si>
    <t>Average of Discount</t>
  </si>
  <si>
    <t>Average of Rating(out of 5)</t>
  </si>
  <si>
    <t>Average of Discount Amount</t>
  </si>
  <si>
    <t>How are products distributed across rating categories</t>
  </si>
  <si>
    <t>Excellent</t>
  </si>
  <si>
    <t>N/A</t>
  </si>
  <si>
    <t>Poor</t>
  </si>
  <si>
    <t>Count of Product</t>
  </si>
  <si>
    <t>Average Rating</t>
  </si>
  <si>
    <t>How products are distributed across rating categories</t>
  </si>
  <si>
    <t xml:space="preserve">The relationship between discount and number of reviews </t>
  </si>
  <si>
    <t>To Calculate Correlation</t>
  </si>
  <si>
    <t>The correlation between discount percentage and number of reviews is 0.0259 suggesting that discount levels don't influnce how many reviews a product receives.</t>
  </si>
  <si>
    <t>Offering higher discounts does not lead to more customer engagement through reviews</t>
  </si>
  <si>
    <t>Trend &amp; Relationship analysis</t>
  </si>
  <si>
    <t>The relationship between discount percentage  no. of reviews</t>
  </si>
  <si>
    <t>selected both discount % &amp; reviews column, insert, scatter plot, copy paste to a new column</t>
  </si>
  <si>
    <t>Double-click on the scatter plot, add chart element, trendline, linear, adjust color and width</t>
  </si>
  <si>
    <t>To calculate correlation: CORREL(discount % range, reviews range)</t>
  </si>
  <si>
    <t>Positive correlation(+0.6)-Indicated as discount increases, number of reviews tend to increase, by attracting more buyers &amp; reviewers</t>
  </si>
  <si>
    <t>Negative correlation(-0.3)-Indicates discounts might not be leading to more reviews, since maybe higher discounts are on less popular items</t>
  </si>
  <si>
    <t>No strong correlation(near 0)-Indicates discount level doesn't strongly affect review count</t>
  </si>
  <si>
    <t>Not provided</t>
  </si>
  <si>
    <t>The relationship between rating and number of review</t>
  </si>
  <si>
    <t>Replace not provided with blanks in the rating column since scatter plot works with numerals</t>
  </si>
  <si>
    <t>Click on scatter plot, add treadline, choose linear, click display equation on chart and display r-squared value on chart</t>
  </si>
  <si>
    <t>Since my R^2 is closer to 0, it means the relationship between rating and review is weak</t>
  </si>
  <si>
    <t>Average of Review</t>
  </si>
  <si>
    <t>Whether higher discounts lead to increased customer engagement</t>
  </si>
  <si>
    <t>Since the line graph goes up and down, it shows that higher discounts don't always equal more reviews</t>
  </si>
  <si>
    <t>Used a line chart to plot average number of reviews which equals customer engagement and discount%</t>
  </si>
  <si>
    <t>Whether higher-rated products tend to have more reviews</t>
  </si>
  <si>
    <t>Rating</t>
  </si>
  <si>
    <t>This shows that high rated products don't neccesarily have many reviews</t>
  </si>
  <si>
    <t>Top 10 Products with the highest discounts</t>
  </si>
  <si>
    <t>Top 10 products with the most reviews</t>
  </si>
  <si>
    <t xml:space="preserve">Top 5 </t>
  </si>
  <si>
    <t>Bottom 5</t>
  </si>
  <si>
    <t>A comparison between high-discount and low-discount products based on average rating and number of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</si>
</sst>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KES]\ #,##0.00"/>
    <numFmt numFmtId="165" formatCode="[$KES]\ #,##0"/>
  </numFmts>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7">
    <xf numFmtId="0" fontId="0" fillId="0" borderId="0" xfId="0"/>
    <xf numFmtId="9" fontId="0" fillId="0" borderId="0" xfId="0" applyNumberFormat="1"/>
    <xf numFmtId="0" fontId="1" fillId="0" borderId="0" xfId="0" applyFont="1"/>
    <xf numFmtId="164" fontId="0" fillId="0" borderId="0" xfId="0" applyNumberFormat="1"/>
    <xf numFmtId="9" fontId="1" fillId="0" borderId="0" xfId="0" applyNumberFormat="1" applyFont="1"/>
    <xf numFmtId="165" fontId="1" fillId="0" borderId="0" xfId="0" applyNumberFormat="1" applyFont="1"/>
    <xf numFmtId="165" fontId="0" fillId="0" borderId="0" xfId="0" applyNumberFormat="1"/>
    <xf numFmtId="0" fontId="2" fillId="0" borderId="0" xfId="0" applyFont="1"/>
    <xf numFmtId="165" fontId="2" fillId="0" borderId="0" xfId="0" applyNumberFormat="1" applyFont="1"/>
    <xf numFmtId="0" fontId="0" fillId="0" borderId="0" xfId="0" pivotButton="1"/>
    <xf numFmtId="0" fontId="0" fillId="0" borderId="0" xfId="0" applyAlignment="1">
      <alignment horizontal="left"/>
    </xf>
    <xf numFmtId="9" fontId="0" fillId="0" borderId="0" xfId="0" applyNumberFormat="1" applyAlignment="1">
      <alignment horizontal="left"/>
    </xf>
    <xf numFmtId="0" fontId="0" fillId="0" borderId="0" xfId="0" applyNumberFormat="1"/>
    <xf numFmtId="0" fontId="0" fillId="2" borderId="0" xfId="0" applyFill="1"/>
    <xf numFmtId="49" fontId="1" fillId="0" borderId="0" xfId="0" applyNumberFormat="1" applyFont="1"/>
    <xf numFmtId="49" fontId="0" fillId="0" borderId="0" xfId="0" applyNumberFormat="1"/>
    <xf numFmtId="1" fontId="0" fillId="0" borderId="0" xfId="0" applyNumberFormat="1"/>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dataset Assignment.xlsx]ProductRatingsCount!PivotTable2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GB"/>
              <a:t>ProductsByRatingCategory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ProductRatingsCount!$B$3</c:f>
              <c:strCache>
                <c:ptCount val="1"/>
                <c:pt idx="0">
                  <c:v>Total</c:v>
                </c:pt>
              </c:strCache>
            </c:strRef>
          </c:tx>
          <c:dPt>
            <c:idx val="0"/>
            <c:bubble3D val="0"/>
            <c:spPr>
              <a:solidFill>
                <a:schemeClr val="accent2">
                  <a:shade val="58000"/>
                </a:schemeClr>
              </a:solidFill>
              <a:ln>
                <a:noFill/>
              </a:ln>
              <a:effectLst>
                <a:outerShdw blurRad="317500" algn="ctr" rotWithShape="0">
                  <a:prstClr val="black">
                    <a:alpha val="25000"/>
                  </a:prstClr>
                </a:outerShdw>
              </a:effectLst>
            </c:spPr>
          </c:dPt>
          <c:dPt>
            <c:idx val="1"/>
            <c:bubble3D val="0"/>
            <c:spPr>
              <a:solidFill>
                <a:schemeClr val="accent2">
                  <a:shade val="86000"/>
                </a:schemeClr>
              </a:solidFill>
              <a:ln>
                <a:noFill/>
              </a:ln>
              <a:effectLst>
                <a:outerShdw blurRad="317500" algn="ctr" rotWithShape="0">
                  <a:prstClr val="black">
                    <a:alpha val="25000"/>
                  </a:prstClr>
                </a:outerShdw>
              </a:effectLst>
            </c:spPr>
          </c:dPt>
          <c:dPt>
            <c:idx val="2"/>
            <c:bubble3D val="0"/>
            <c:spPr>
              <a:solidFill>
                <a:schemeClr val="accent2">
                  <a:tint val="86000"/>
                </a:schemeClr>
              </a:solidFill>
              <a:ln>
                <a:noFill/>
              </a:ln>
              <a:effectLst>
                <a:outerShdw blurRad="317500" algn="ctr" rotWithShape="0">
                  <a:prstClr val="black">
                    <a:alpha val="25000"/>
                  </a:prstClr>
                </a:outerShdw>
              </a:effectLst>
            </c:spPr>
          </c:dPt>
          <c:dPt>
            <c:idx val="3"/>
            <c:bubble3D val="0"/>
            <c:spPr>
              <a:solidFill>
                <a:schemeClr val="accent2">
                  <a:tint val="58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ProductRatingsCount!$A$4:$A$8</c:f>
              <c:strCache>
                <c:ptCount val="4"/>
                <c:pt idx="0">
                  <c:v>Average</c:v>
                </c:pt>
                <c:pt idx="1">
                  <c:v>Excellent</c:v>
                </c:pt>
                <c:pt idx="2">
                  <c:v>N/A</c:v>
                </c:pt>
                <c:pt idx="3">
                  <c:v>Poor</c:v>
                </c:pt>
              </c:strCache>
            </c:strRef>
          </c:cat>
          <c:val>
            <c:numRef>
              <c:f>ProductRatingsCount!$B$4:$B$8</c:f>
              <c:numCache>
                <c:formatCode>General</c:formatCode>
                <c:ptCount val="4"/>
                <c:pt idx="0">
                  <c:v>22</c:v>
                </c:pt>
                <c:pt idx="1">
                  <c:v>23</c:v>
                </c:pt>
                <c:pt idx="2">
                  <c:v>52</c:v>
                </c:pt>
                <c:pt idx="3">
                  <c:v>12</c:v>
                </c:pt>
              </c:numCache>
            </c:numRef>
          </c:val>
          <c:extLst>
            <c:ext xmlns:c16="http://schemas.microsoft.com/office/drawing/2014/chart" uri="{C3380CC4-5D6E-409C-BE32-E72D297353CC}">
              <c16:uniqueId val="{00000000-D812-46BB-8B3C-5DE3BF5F7053}"/>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dataset Assignment.xlsx]Review+CustomerEngagement!PivotTable2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Engagement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'Review+CustomerEngagement'!$B$3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'Review+CustomerEngagement'!$A$4:$A$50</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'Review+CustomerEngagement'!$B$4:$B$50</c:f>
              <c:numCache>
                <c:formatCode>General</c:formatCode>
                <c:ptCount val="46"/>
                <c:pt idx="0">
                  <c:v>0</c:v>
                </c:pt>
                <c:pt idx="1">
                  <c:v>0</c:v>
                </c:pt>
                <c:pt idx="2">
                  <c:v>0</c:v>
                </c:pt>
                <c:pt idx="3">
                  <c:v>0</c:v>
                </c:pt>
                <c:pt idx="4">
                  <c:v>0</c:v>
                </c:pt>
                <c:pt idx="5">
                  <c:v>15</c:v>
                </c:pt>
                <c:pt idx="6">
                  <c:v>0</c:v>
                </c:pt>
                <c:pt idx="7">
                  <c:v>6</c:v>
                </c:pt>
                <c:pt idx="8">
                  <c:v>0</c:v>
                </c:pt>
                <c:pt idx="9">
                  <c:v>12</c:v>
                </c:pt>
                <c:pt idx="10">
                  <c:v>5</c:v>
                </c:pt>
                <c:pt idx="11">
                  <c:v>12</c:v>
                </c:pt>
                <c:pt idx="12">
                  <c:v>1</c:v>
                </c:pt>
                <c:pt idx="13">
                  <c:v>8</c:v>
                </c:pt>
                <c:pt idx="14">
                  <c:v>14</c:v>
                </c:pt>
                <c:pt idx="15">
                  <c:v>27.5</c:v>
                </c:pt>
                <c:pt idx="16">
                  <c:v>24</c:v>
                </c:pt>
                <c:pt idx="17">
                  <c:v>5</c:v>
                </c:pt>
                <c:pt idx="18">
                  <c:v>17.333333333333332</c:v>
                </c:pt>
                <c:pt idx="19">
                  <c:v>5</c:v>
                </c:pt>
                <c:pt idx="20">
                  <c:v>20</c:v>
                </c:pt>
                <c:pt idx="21">
                  <c:v>13</c:v>
                </c:pt>
                <c:pt idx="22">
                  <c:v>4.5</c:v>
                </c:pt>
                <c:pt idx="23">
                  <c:v>12.75</c:v>
                </c:pt>
                <c:pt idx="24">
                  <c:v>27.5</c:v>
                </c:pt>
                <c:pt idx="25">
                  <c:v>0</c:v>
                </c:pt>
                <c:pt idx="26">
                  <c:v>4.5</c:v>
                </c:pt>
                <c:pt idx="27">
                  <c:v>1</c:v>
                </c:pt>
                <c:pt idx="28">
                  <c:v>5</c:v>
                </c:pt>
                <c:pt idx="29">
                  <c:v>1</c:v>
                </c:pt>
                <c:pt idx="30">
                  <c:v>12</c:v>
                </c:pt>
                <c:pt idx="31">
                  <c:v>1.5</c:v>
                </c:pt>
                <c:pt idx="32">
                  <c:v>2.75</c:v>
                </c:pt>
                <c:pt idx="33">
                  <c:v>7</c:v>
                </c:pt>
                <c:pt idx="34">
                  <c:v>1</c:v>
                </c:pt>
                <c:pt idx="35">
                  <c:v>5.5714285714285712</c:v>
                </c:pt>
                <c:pt idx="36">
                  <c:v>2.25</c:v>
                </c:pt>
                <c:pt idx="37">
                  <c:v>9.8333333333333339</c:v>
                </c:pt>
                <c:pt idx="38">
                  <c:v>1.1428571428571428</c:v>
                </c:pt>
                <c:pt idx="39">
                  <c:v>2</c:v>
                </c:pt>
                <c:pt idx="40">
                  <c:v>12</c:v>
                </c:pt>
                <c:pt idx="41">
                  <c:v>7.5</c:v>
                </c:pt>
                <c:pt idx="42">
                  <c:v>8.5</c:v>
                </c:pt>
                <c:pt idx="43">
                  <c:v>9</c:v>
                </c:pt>
                <c:pt idx="44">
                  <c:v>0</c:v>
                </c:pt>
                <c:pt idx="45">
                  <c:v>0</c:v>
                </c:pt>
              </c:numCache>
            </c:numRef>
          </c:val>
          <c:smooth val="0"/>
          <c:extLst>
            <c:ext xmlns:c16="http://schemas.microsoft.com/office/drawing/2014/chart" uri="{C3380CC4-5D6E-409C-BE32-E72D297353CC}">
              <c16:uniqueId val="{00000000-41F2-45EA-BF0F-530FEEBCCFC6}"/>
            </c:ext>
          </c:extLst>
        </c:ser>
        <c:dLbls>
          <c:showLegendKey val="0"/>
          <c:showVal val="0"/>
          <c:showCatName val="0"/>
          <c:showSerName val="0"/>
          <c:showPercent val="0"/>
          <c:showBubbleSize val="0"/>
        </c:dLbls>
        <c:marker val="1"/>
        <c:smooth val="0"/>
        <c:axId val="233192383"/>
        <c:axId val="233196223"/>
      </c:lineChart>
      <c:catAx>
        <c:axId val="233192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100" b="1"/>
                  <a:t>Discount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96223"/>
        <c:crosses val="autoZero"/>
        <c:auto val="1"/>
        <c:lblAlgn val="ctr"/>
        <c:lblOffset val="100"/>
        <c:noMultiLvlLbl val="0"/>
      </c:catAx>
      <c:valAx>
        <c:axId val="233196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100" b="1"/>
                  <a:t>Review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9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Product Ratings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95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cap="rnd">
                <a:solidFill>
                  <a:schemeClr val="accent6"/>
                </a:solidFill>
                <a:round/>
              </a:ln>
              <a:effectLst>
                <a:outerShdw blurRad="57150" dist="19050" dir="5400000" algn="ctr" rotWithShape="0">
                  <a:srgbClr val="000000">
                    <a:alpha val="63000"/>
                  </a:srgbClr>
                </a:outerShdw>
              </a:effectLst>
            </c:spPr>
          </c:marker>
          <c:trendline>
            <c:spPr>
              <a:ln w="19050" cap="rnd">
                <a:solidFill>
                  <a:schemeClr val="accent6"/>
                </a:solidFill>
              </a:ln>
              <a:effectLst/>
            </c:spPr>
            <c:trendlineType val="linear"/>
            <c:dispRSqr val="0"/>
            <c:dispEq val="0"/>
          </c:trendline>
          <c:trendline>
            <c:spPr>
              <a:ln w="19050" cap="rnd">
                <a:solidFill>
                  <a:schemeClr val="accent6"/>
                </a:solidFill>
              </a:ln>
              <a:effectLst/>
            </c:spPr>
            <c:trendlineType val="linear"/>
            <c:dispRSqr val="1"/>
            <c:dispEq val="1"/>
            <c:trendlineLbl>
              <c:layout>
                <c:manualLayout>
                  <c:x val="0.36982720909886263"/>
                  <c:y val="0.6503240740740741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'Staging Data'!$E$2:$E$110</c:f>
              <c:numCache>
                <c:formatCode>General</c:formatCode>
                <c:ptCount val="109"/>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6</c:v>
                </c:pt>
                <c:pt idx="59">
                  <c:v>10</c:v>
                </c:pt>
                <c:pt idx="60">
                  <c:v>13</c:v>
                </c:pt>
                <c:pt idx="61">
                  <c:v>69</c:v>
                </c:pt>
                <c:pt idx="62">
                  <c:v>15</c:v>
                </c:pt>
                <c:pt idx="63">
                  <c:v>16</c:v>
                </c:pt>
                <c:pt idx="64">
                  <c:v>6</c:v>
                </c:pt>
                <c:pt idx="65">
                  <c:v>7</c:v>
                </c:pt>
                <c:pt idx="66">
                  <c:v>5</c:v>
                </c:pt>
                <c:pt idx="67">
                  <c:v>17</c:v>
                </c:pt>
                <c:pt idx="68">
                  <c:v>5</c:v>
                </c:pt>
                <c:pt idx="69">
                  <c:v>6</c:v>
                </c:pt>
                <c:pt idx="70">
                  <c:v>5</c:v>
                </c:pt>
                <c:pt idx="71">
                  <c:v>6</c:v>
                </c:pt>
                <c:pt idx="72">
                  <c:v>7</c:v>
                </c:pt>
                <c:pt idx="73">
                  <c:v>0</c:v>
                </c:pt>
                <c:pt idx="74">
                  <c:v>0</c:v>
                </c:pt>
                <c:pt idx="75">
                  <c:v>0</c:v>
                </c:pt>
                <c:pt idx="76">
                  <c:v>0</c:v>
                </c:pt>
                <c:pt idx="77">
                  <c:v>1</c:v>
                </c:pt>
                <c:pt idx="78">
                  <c:v>1</c:v>
                </c:pt>
                <c:pt idx="79">
                  <c:v>0</c:v>
                </c:pt>
                <c:pt idx="80">
                  <c:v>0</c:v>
                </c:pt>
                <c:pt idx="81">
                  <c:v>1</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1</c:v>
                </c:pt>
                <c:pt idx="99">
                  <c:v>0</c:v>
                </c:pt>
                <c:pt idx="100">
                  <c:v>0</c:v>
                </c:pt>
                <c:pt idx="101">
                  <c:v>0</c:v>
                </c:pt>
                <c:pt idx="102">
                  <c:v>0</c:v>
                </c:pt>
                <c:pt idx="103">
                  <c:v>0</c:v>
                </c:pt>
                <c:pt idx="104">
                  <c:v>0</c:v>
                </c:pt>
                <c:pt idx="105">
                  <c:v>0</c:v>
                </c:pt>
                <c:pt idx="106">
                  <c:v>0</c:v>
                </c:pt>
                <c:pt idx="107">
                  <c:v>1</c:v>
                </c:pt>
                <c:pt idx="108">
                  <c:v>0</c:v>
                </c:pt>
              </c:numCache>
            </c:numRef>
          </c:xVal>
          <c:yVal>
            <c:numRef>
              <c:f>'Staging Data'!$F$2:$F$110</c:f>
              <c:numCache>
                <c:formatCode>General</c:formatCode>
                <c:ptCount val="109"/>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2.5</c:v>
                </c:pt>
                <c:pt idx="59">
                  <c:v>3</c:v>
                </c:pt>
                <c:pt idx="60">
                  <c:v>2.1</c:v>
                </c:pt>
                <c:pt idx="61">
                  <c:v>2.8</c:v>
                </c:pt>
                <c:pt idx="62">
                  <c:v>2.7</c:v>
                </c:pt>
                <c:pt idx="63">
                  <c:v>2.9</c:v>
                </c:pt>
                <c:pt idx="64">
                  <c:v>2.2000000000000002</c:v>
                </c:pt>
                <c:pt idx="65">
                  <c:v>2.2999999999999998</c:v>
                </c:pt>
                <c:pt idx="66">
                  <c:v>3</c:v>
                </c:pt>
                <c:pt idx="67">
                  <c:v>2.6</c:v>
                </c:pt>
                <c:pt idx="68">
                  <c:v>3</c:v>
                </c:pt>
                <c:pt idx="69">
                  <c:v>2.2999999999999998</c:v>
                </c:pt>
                <c:pt idx="70">
                  <c:v>3</c:v>
                </c:pt>
                <c:pt idx="71">
                  <c:v>2.2000000000000002</c:v>
                </c:pt>
                <c:pt idx="72">
                  <c:v>2.1</c:v>
                </c:pt>
                <c:pt idx="73">
                  <c:v>0</c:v>
                </c:pt>
                <c:pt idx="74">
                  <c:v>0</c:v>
                </c:pt>
                <c:pt idx="75">
                  <c:v>0</c:v>
                </c:pt>
                <c:pt idx="76">
                  <c:v>0</c:v>
                </c:pt>
                <c:pt idx="77">
                  <c:v>3</c:v>
                </c:pt>
                <c:pt idx="78">
                  <c:v>5</c:v>
                </c:pt>
                <c:pt idx="79">
                  <c:v>0</c:v>
                </c:pt>
                <c:pt idx="80">
                  <c:v>0</c:v>
                </c:pt>
                <c:pt idx="81">
                  <c:v>4</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5</c:v>
                </c:pt>
                <c:pt idx="99">
                  <c:v>0</c:v>
                </c:pt>
                <c:pt idx="100">
                  <c:v>0</c:v>
                </c:pt>
                <c:pt idx="101">
                  <c:v>0</c:v>
                </c:pt>
                <c:pt idx="102">
                  <c:v>0</c:v>
                </c:pt>
                <c:pt idx="103">
                  <c:v>0</c:v>
                </c:pt>
                <c:pt idx="104">
                  <c:v>0</c:v>
                </c:pt>
                <c:pt idx="105">
                  <c:v>0</c:v>
                </c:pt>
                <c:pt idx="106">
                  <c:v>0</c:v>
                </c:pt>
                <c:pt idx="107">
                  <c:v>2</c:v>
                </c:pt>
                <c:pt idx="108">
                  <c:v>0</c:v>
                </c:pt>
              </c:numCache>
            </c:numRef>
          </c:yVal>
          <c:smooth val="1"/>
          <c:extLst>
            <c:ext xmlns:c16="http://schemas.microsoft.com/office/drawing/2014/chart" uri="{C3380CC4-5D6E-409C-BE32-E72D297353CC}">
              <c16:uniqueId val="{00000000-58AB-4F34-A1B2-0C3FFC199A87}"/>
            </c:ext>
          </c:extLst>
        </c:ser>
        <c:dLbls>
          <c:showLegendKey val="0"/>
          <c:showVal val="0"/>
          <c:showCatName val="0"/>
          <c:showSerName val="0"/>
          <c:showPercent val="0"/>
          <c:showBubbleSize val="0"/>
        </c:dLbls>
        <c:axId val="324526224"/>
        <c:axId val="324520464"/>
      </c:scatterChart>
      <c:valAx>
        <c:axId val="324526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sz="1100" b="1">
                    <a:solidFill>
                      <a:srgbClr val="00B050"/>
                    </a:solidFill>
                  </a:rPr>
                  <a:t>Review</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20464"/>
        <c:crosses val="autoZero"/>
        <c:crossBetween val="midCat"/>
      </c:valAx>
      <c:valAx>
        <c:axId val="324520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sz="1100" b="1">
                    <a:solidFill>
                      <a:srgbClr val="00B050"/>
                    </a:solidFill>
                  </a:rPr>
                  <a:t>Rating</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262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dataset Assignment.xlsx]ProductsByDiscountCategory!PivotTable12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ProductsByDiscountCategory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ProductsByDiscountCategory!$B$3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ProductsByDiscountCategory!$A$4:$A$7</c:f>
              <c:strCache>
                <c:ptCount val="3"/>
                <c:pt idx="0">
                  <c:v>High Discount</c:v>
                </c:pt>
                <c:pt idx="1">
                  <c:v>Low Discount</c:v>
                </c:pt>
                <c:pt idx="2">
                  <c:v>Medium Discount</c:v>
                </c:pt>
              </c:strCache>
            </c:strRef>
          </c:cat>
          <c:val>
            <c:numRef>
              <c:f>ProductsByDiscountCategory!$B$4:$B$7</c:f>
              <c:numCache>
                <c:formatCode>General</c:formatCode>
                <c:ptCount val="3"/>
                <c:pt idx="0">
                  <c:v>59</c:v>
                </c:pt>
                <c:pt idx="1">
                  <c:v>18</c:v>
                </c:pt>
                <c:pt idx="2">
                  <c:v>32</c:v>
                </c:pt>
              </c:numCache>
            </c:numRef>
          </c:val>
          <c:extLst>
            <c:ext xmlns:c16="http://schemas.microsoft.com/office/drawing/2014/chart" uri="{C3380CC4-5D6E-409C-BE32-E72D297353CC}">
              <c16:uniqueId val="{00000000-C526-45AE-974D-31D4D7A9162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TOP</a:t>
            </a:r>
            <a:r>
              <a:rPr lang="en-GB" b="1" baseline="0"/>
              <a:t> RATED PRODUCTS</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spPr>
            <a:solidFill>
              <a:schemeClr val="accent1"/>
            </a:solidFill>
            <a:ln>
              <a:noFill/>
            </a:ln>
            <a:effectLst/>
            <a:sp3d/>
          </c:spPr>
          <c:invertIfNegative val="0"/>
          <c:cat>
            <c:strRef>
              <c:f>Top5Bottom5RatedProducts!$E$1:$E$6</c:f>
              <c:strCache>
                <c:ptCount val="6"/>
                <c:pt idx="0">
                  <c:v>Top 5 </c:v>
                </c:pt>
                <c:pt idx="1">
                  <c:v>Anti-Skid Absorbent Insulation Coaster  For Home Office</c:v>
                </c:pt>
                <c:pt idx="2">
                  <c:v>Peacock  Throw Pillow Cushion Case For Home Car</c:v>
                </c:pt>
                <c:pt idx="3">
                  <c:v>LASA Aluminum Folding Truck Hand Cart - 68kg Max</c:v>
                </c:pt>
                <c:pt idx="4">
                  <c:v>DIY File Folder, Office Drawer File Holder, Pen Holder, Desktop Storage Rack</c:v>
                </c:pt>
                <c:pt idx="5">
                  <c:v>Classic Black Cat Cotton Hemp Pillow Case For Home Car</c:v>
                </c:pt>
              </c:strCache>
            </c:strRef>
          </c:cat>
          <c:val>
            <c:numRef>
              <c:f>Top5Bottom5RatedProducts!$F$1:$F$6</c:f>
              <c:numCache>
                <c:formatCode>General</c:formatCode>
                <c:ptCount val="6"/>
                <c:pt idx="1">
                  <c:v>5</c:v>
                </c:pt>
                <c:pt idx="2">
                  <c:v>5</c:v>
                </c:pt>
                <c:pt idx="3">
                  <c:v>5</c:v>
                </c:pt>
                <c:pt idx="4">
                  <c:v>5</c:v>
                </c:pt>
                <c:pt idx="5">
                  <c:v>5</c:v>
                </c:pt>
              </c:numCache>
            </c:numRef>
          </c:val>
          <c:extLst>
            <c:ext xmlns:c16="http://schemas.microsoft.com/office/drawing/2014/chart" uri="{C3380CC4-5D6E-409C-BE32-E72D297353CC}">
              <c16:uniqueId val="{00000000-B4E6-4A7E-A7D2-BA82D195177C}"/>
            </c:ext>
          </c:extLst>
        </c:ser>
        <c:dLbls>
          <c:showLegendKey val="0"/>
          <c:showVal val="0"/>
          <c:showCatName val="0"/>
          <c:showSerName val="0"/>
          <c:showPercent val="0"/>
          <c:showBubbleSize val="0"/>
        </c:dLbls>
        <c:gapWidth val="150"/>
        <c:shape val="box"/>
        <c:axId val="589925264"/>
        <c:axId val="589928624"/>
        <c:axId val="0"/>
      </c:bar3DChart>
      <c:catAx>
        <c:axId val="58992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28624"/>
        <c:crosses val="autoZero"/>
        <c:auto val="1"/>
        <c:lblAlgn val="ctr"/>
        <c:lblOffset val="100"/>
        <c:noMultiLvlLbl val="0"/>
      </c:catAx>
      <c:valAx>
        <c:axId val="589928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2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Reviewed Products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Top10ReviewedProducts!$B$1</c:f>
              <c:strCache>
                <c:ptCount val="1"/>
                <c:pt idx="0">
                  <c:v>Review</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Top10ReviewedProducts!$A$2:$A$110</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52 Pieces Cake Decorating Tool Set Gift Kit Baking Supplies</c:v>
                </c:pt>
                <c:pt idx="9">
                  <c:v>53Pcs/Set Yarn Knitting Crochet Hooks With Bag - Fortune Cat</c:v>
                </c:pt>
              </c:strCache>
            </c:strRef>
          </c:cat>
          <c:val>
            <c:numRef>
              <c:f>Top10ReviewedProducts!$B$2:$B$110</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1D05-4D44-B183-0F6FB7934FCA}"/>
            </c:ext>
          </c:extLst>
        </c:ser>
        <c:dLbls>
          <c:showLegendKey val="0"/>
          <c:showVal val="0"/>
          <c:showCatName val="0"/>
          <c:showSerName val="0"/>
          <c:showPercent val="0"/>
          <c:showBubbleSize val="0"/>
        </c:dLbls>
        <c:gapWidth val="65"/>
        <c:shape val="box"/>
        <c:axId val="324506064"/>
        <c:axId val="324522864"/>
        <c:axId val="0"/>
      </c:bar3DChart>
      <c:catAx>
        <c:axId val="3245060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4522864"/>
        <c:crosses val="autoZero"/>
        <c:auto val="1"/>
        <c:lblAlgn val="ctr"/>
        <c:lblOffset val="100"/>
        <c:noMultiLvlLbl val="0"/>
      </c:catAx>
      <c:valAx>
        <c:axId val="32452286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450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Reviewed Products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Top10ReviewedProducts!$B$1</c:f>
              <c:strCache>
                <c:ptCount val="1"/>
                <c:pt idx="0">
                  <c:v>Review</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cat>
            <c:strRef>
              <c:f>Top10ReviewedProducts!$A$2:$A$110</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52 Pieces Cake Decorating Tool Set Gift Kit Baking Supplies</c:v>
                </c:pt>
                <c:pt idx="9">
                  <c:v>53Pcs/Set Yarn Knitting Crochet Hooks With Bag - Fortune Cat</c:v>
                </c:pt>
              </c:strCache>
            </c:strRef>
          </c:cat>
          <c:val>
            <c:numRef>
              <c:f>Top10ReviewedProducts!$B$2:$B$110</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6934-4D58-9A26-FCFCA21BD7AE}"/>
            </c:ext>
          </c:extLst>
        </c:ser>
        <c:dLbls>
          <c:showLegendKey val="0"/>
          <c:showVal val="0"/>
          <c:showCatName val="0"/>
          <c:showSerName val="0"/>
          <c:showPercent val="0"/>
          <c:showBubbleSize val="0"/>
        </c:dLbls>
        <c:gapWidth val="150"/>
        <c:gapDepth val="0"/>
        <c:shape val="box"/>
        <c:axId val="324506064"/>
        <c:axId val="324522864"/>
        <c:axId val="0"/>
      </c:bar3DChart>
      <c:catAx>
        <c:axId val="32450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22864"/>
        <c:crosses val="autoZero"/>
        <c:auto val="1"/>
        <c:lblAlgn val="ctr"/>
        <c:lblOffset val="100"/>
        <c:noMultiLvlLbl val="0"/>
      </c:catAx>
      <c:valAx>
        <c:axId val="324522864"/>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0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DISCOUNTED PRODUCTS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Top10DiscountedProducts!$B$1</c:f>
              <c:strCache>
                <c:ptCount val="1"/>
                <c:pt idx="0">
                  <c:v>Discount</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cat>
            <c:strRef>
              <c:f>Top10DiscountedProducts!$A$2:$A$110</c:f>
              <c:strCache>
                <c:ptCount val="10"/>
                <c:pt idx="0">
                  <c:v>6 In 1 Bottle Can Opener Multifunctional Easy Opener</c:v>
                </c:pt>
                <c:pt idx="1">
                  <c:v>Creative Owl Shape Keychain Black</c:v>
                </c:pt>
                <c:pt idx="2">
                  <c:v>LASA FOLDING TABLE SERVING STAND</c:v>
                </c:pt>
                <c:pt idx="3">
                  <c:v>5-PCS Stainless Steel Cooking Pot Set With Steamed Slices</c:v>
                </c:pt>
                <c:pt idx="4">
                  <c:v>LASA 3 Tier Bamboo Shoe Bench Storage Shelf</c:v>
                </c:pt>
                <c:pt idx="5">
                  <c:v>Mythco 120COB Solar Wall Ligt With Motion Sensor And Remote Control 3 Modes</c:v>
                </c:pt>
                <c:pt idx="6">
                  <c:v>3PCS Single Head Knitting Crochet Sweater Needle Set</c:v>
                </c:pt>
                <c:pt idx="7">
                  <c:v>Classic Black Cat Cotton Hemp Pillow Case For Home Car</c:v>
                </c:pt>
                <c:pt idx="8">
                  <c:v>Exfoliate And Exfoliate Face Towel - Black</c:v>
                </c:pt>
                <c:pt idx="9">
                  <c:v>Intelligent  LED Body Sensor Wireless Lighting Night Light USB</c:v>
                </c:pt>
              </c:strCache>
            </c:strRef>
          </c:cat>
          <c:val>
            <c:numRef>
              <c:f>Top10DiscountedProducts!$B$2:$B$110</c:f>
              <c:numCache>
                <c:formatCode>0%</c:formatCode>
                <c:ptCount val="10"/>
                <c:pt idx="0">
                  <c:v>0.64</c:v>
                </c:pt>
                <c:pt idx="1">
                  <c:v>0.61</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E7C7-460B-B3B8-DFE9C51818AD}"/>
            </c:ext>
          </c:extLst>
        </c:ser>
        <c:dLbls>
          <c:showLegendKey val="0"/>
          <c:showVal val="0"/>
          <c:showCatName val="0"/>
          <c:showSerName val="0"/>
          <c:showPercent val="0"/>
          <c:showBubbleSize val="0"/>
        </c:dLbls>
        <c:gapWidth val="150"/>
        <c:gapDepth val="0"/>
        <c:shape val="box"/>
        <c:axId val="324524784"/>
        <c:axId val="324525264"/>
        <c:axId val="0"/>
      </c:bar3DChart>
      <c:catAx>
        <c:axId val="324524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25264"/>
        <c:crosses val="autoZero"/>
        <c:auto val="1"/>
        <c:lblAlgn val="ctr"/>
        <c:lblOffset val="100"/>
        <c:noMultiLvlLbl val="0"/>
      </c:catAx>
      <c:valAx>
        <c:axId val="324525264"/>
        <c:scaling>
          <c:orientation val="minMax"/>
        </c:scaling>
        <c:delete val="0"/>
        <c:axPos val="b"/>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2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TOP RATED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Top5Bottom5RatedProducts!$E$1:$E$6</c:f>
              <c:strCache>
                <c:ptCount val="6"/>
                <c:pt idx="0">
                  <c:v>Top 5 </c:v>
                </c:pt>
                <c:pt idx="1">
                  <c:v>Anti-Skid Absorbent Insulation Coaster  For Home Office</c:v>
                </c:pt>
                <c:pt idx="2">
                  <c:v>Peacock  Throw Pillow Cushion Case For Home Car</c:v>
                </c:pt>
                <c:pt idx="3">
                  <c:v>LASA Aluminum Folding Truck Hand Cart - 68kg Max</c:v>
                </c:pt>
                <c:pt idx="4">
                  <c:v>DIY File Folder, Office Drawer File Holder, Pen Holder, Desktop Storage Rack</c:v>
                </c:pt>
                <c:pt idx="5">
                  <c:v>Classic Black Cat Cotton Hemp Pillow Case For Home Car</c:v>
                </c:pt>
              </c:strCache>
            </c:strRef>
          </c:cat>
          <c:val>
            <c:numRef>
              <c:f>Top5Bottom5RatedProducts!$F$1:$F$6</c:f>
              <c:numCache>
                <c:formatCode>General</c:formatCode>
                <c:ptCount val="6"/>
                <c:pt idx="1">
                  <c:v>5</c:v>
                </c:pt>
                <c:pt idx="2">
                  <c:v>5</c:v>
                </c:pt>
                <c:pt idx="3">
                  <c:v>5</c:v>
                </c:pt>
                <c:pt idx="4">
                  <c:v>5</c:v>
                </c:pt>
                <c:pt idx="5">
                  <c:v>5</c:v>
                </c:pt>
              </c:numCache>
            </c:numRef>
          </c:val>
          <c:extLst>
            <c:ext xmlns:c16="http://schemas.microsoft.com/office/drawing/2014/chart" uri="{C3380CC4-5D6E-409C-BE32-E72D297353CC}">
              <c16:uniqueId val="{00000000-E01B-476F-B3AD-2745070AA06F}"/>
            </c:ext>
          </c:extLst>
        </c:ser>
        <c:dLbls>
          <c:showLegendKey val="0"/>
          <c:showVal val="1"/>
          <c:showCatName val="0"/>
          <c:showSerName val="0"/>
          <c:showPercent val="0"/>
          <c:showBubbleSize val="0"/>
        </c:dLbls>
        <c:gapWidth val="150"/>
        <c:shape val="box"/>
        <c:axId val="589925264"/>
        <c:axId val="589928624"/>
        <c:axId val="0"/>
      </c:bar3DChart>
      <c:catAx>
        <c:axId val="58992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28624"/>
        <c:crosses val="autoZero"/>
        <c:auto val="1"/>
        <c:lblAlgn val="ctr"/>
        <c:lblOffset val="100"/>
        <c:noMultiLvlLbl val="0"/>
      </c:catAx>
      <c:valAx>
        <c:axId val="589928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2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Relationship between Discount % and Review</a:t>
            </a:r>
          </a:p>
        </c:rich>
      </c:tx>
      <c:layout>
        <c:manualLayout>
          <c:xMode val="edge"/>
          <c:yMode val="edge"/>
          <c:x val="0.13683383663063625"/>
          <c:y val="2.2263450834879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302063048570539"/>
          <c:y val="0.13020408163265307"/>
          <c:w val="0.61674255153252289"/>
          <c:h val="0.69761296071757262"/>
        </c:manualLayout>
      </c:layout>
      <c:scatterChart>
        <c:scatterStyle val="smoothMarker"/>
        <c:varyColors val="0"/>
        <c:ser>
          <c:idx val="0"/>
          <c:order val="0"/>
          <c:tx>
            <c:strRef>
              <c:f>'Staging Data'!$E$1</c:f>
              <c:strCache>
                <c:ptCount val="1"/>
                <c:pt idx="0">
                  <c:v>Review</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'Staging Data'!$D$2:$D$110</c:f>
              <c:numCache>
                <c:formatCode>0%</c:formatCode>
                <c:ptCount val="109"/>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0.13</c:v>
                </c:pt>
                <c:pt idx="59">
                  <c:v>0.54</c:v>
                </c:pt>
                <c:pt idx="60">
                  <c:v>0.55000000000000004</c:v>
                </c:pt>
                <c:pt idx="61">
                  <c:v>0.49</c:v>
                </c:pt>
                <c:pt idx="62">
                  <c:v>0.52</c:v>
                </c:pt>
                <c:pt idx="63">
                  <c:v>0.22</c:v>
                </c:pt>
                <c:pt idx="64">
                  <c:v>0.45</c:v>
                </c:pt>
                <c:pt idx="65">
                  <c:v>0.5</c:v>
                </c:pt>
                <c:pt idx="66">
                  <c:v>0.39</c:v>
                </c:pt>
                <c:pt idx="67">
                  <c:v>0.45</c:v>
                </c:pt>
                <c:pt idx="68">
                  <c:v>0.28999999999999998</c:v>
                </c:pt>
                <c:pt idx="69">
                  <c:v>0.43</c:v>
                </c:pt>
                <c:pt idx="70">
                  <c:v>0.43</c:v>
                </c:pt>
                <c:pt idx="71">
                  <c:v>0.47</c:v>
                </c:pt>
                <c:pt idx="72">
                  <c:v>0.47</c:v>
                </c:pt>
                <c:pt idx="73">
                  <c:v>0.47</c:v>
                </c:pt>
                <c:pt idx="74">
                  <c:v>0.43</c:v>
                </c:pt>
                <c:pt idx="75">
                  <c:v>0.04</c:v>
                </c:pt>
                <c:pt idx="76">
                  <c:v>0.49</c:v>
                </c:pt>
                <c:pt idx="77">
                  <c:v>0.46</c:v>
                </c:pt>
                <c:pt idx="78">
                  <c:v>0.49</c:v>
                </c:pt>
                <c:pt idx="79">
                  <c:v>0.36</c:v>
                </c:pt>
                <c:pt idx="80">
                  <c:v>0.02</c:v>
                </c:pt>
                <c:pt idx="81">
                  <c:v>0.49</c:v>
                </c:pt>
                <c:pt idx="82">
                  <c:v>0.14000000000000001</c:v>
                </c:pt>
                <c:pt idx="83">
                  <c:v>0.49</c:v>
                </c:pt>
                <c:pt idx="84">
                  <c:v>0.11</c:v>
                </c:pt>
                <c:pt idx="85">
                  <c:v>0.14000000000000001</c:v>
                </c:pt>
                <c:pt idx="86">
                  <c:v>0.43</c:v>
                </c:pt>
                <c:pt idx="87">
                  <c:v>0.5</c:v>
                </c:pt>
                <c:pt idx="88">
                  <c:v>0.48</c:v>
                </c:pt>
                <c:pt idx="89">
                  <c:v>0.48</c:v>
                </c:pt>
                <c:pt idx="90">
                  <c:v>0.47</c:v>
                </c:pt>
                <c:pt idx="91">
                  <c:v>0.5</c:v>
                </c:pt>
                <c:pt idx="92">
                  <c:v>0.08</c:v>
                </c:pt>
                <c:pt idx="93">
                  <c:v>0.02</c:v>
                </c:pt>
                <c:pt idx="94">
                  <c:v>0.49</c:v>
                </c:pt>
                <c:pt idx="95">
                  <c:v>0.04</c:v>
                </c:pt>
                <c:pt idx="96">
                  <c:v>0.49</c:v>
                </c:pt>
                <c:pt idx="97">
                  <c:v>0.42</c:v>
                </c:pt>
                <c:pt idx="98">
                  <c:v>0.21</c:v>
                </c:pt>
                <c:pt idx="99">
                  <c:v>0.41</c:v>
                </c:pt>
                <c:pt idx="100">
                  <c:v>0.01</c:v>
                </c:pt>
                <c:pt idx="101">
                  <c:v>0.24</c:v>
                </c:pt>
                <c:pt idx="102">
                  <c:v>0.34</c:v>
                </c:pt>
                <c:pt idx="103">
                  <c:v>0.34</c:v>
                </c:pt>
                <c:pt idx="104">
                  <c:v>0.02</c:v>
                </c:pt>
                <c:pt idx="105">
                  <c:v>0.02</c:v>
                </c:pt>
                <c:pt idx="106">
                  <c:v>0.64</c:v>
                </c:pt>
                <c:pt idx="107">
                  <c:v>0.5</c:v>
                </c:pt>
                <c:pt idx="108">
                  <c:v>0.47</c:v>
                </c:pt>
              </c:numCache>
            </c:numRef>
          </c:xVal>
          <c:yVal>
            <c:numRef>
              <c:f>'Staging Data'!$E$2:$E$110</c:f>
              <c:numCache>
                <c:formatCode>General</c:formatCode>
                <c:ptCount val="109"/>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6</c:v>
                </c:pt>
                <c:pt idx="59">
                  <c:v>10</c:v>
                </c:pt>
                <c:pt idx="60">
                  <c:v>13</c:v>
                </c:pt>
                <c:pt idx="61">
                  <c:v>69</c:v>
                </c:pt>
                <c:pt idx="62">
                  <c:v>15</c:v>
                </c:pt>
                <c:pt idx="63">
                  <c:v>16</c:v>
                </c:pt>
                <c:pt idx="64">
                  <c:v>6</c:v>
                </c:pt>
                <c:pt idx="65">
                  <c:v>7</c:v>
                </c:pt>
                <c:pt idx="66">
                  <c:v>5</c:v>
                </c:pt>
                <c:pt idx="67">
                  <c:v>17</c:v>
                </c:pt>
                <c:pt idx="68">
                  <c:v>5</c:v>
                </c:pt>
                <c:pt idx="69">
                  <c:v>6</c:v>
                </c:pt>
                <c:pt idx="70">
                  <c:v>5</c:v>
                </c:pt>
                <c:pt idx="71">
                  <c:v>6</c:v>
                </c:pt>
                <c:pt idx="72">
                  <c:v>7</c:v>
                </c:pt>
                <c:pt idx="73">
                  <c:v>0</c:v>
                </c:pt>
                <c:pt idx="74">
                  <c:v>0</c:v>
                </c:pt>
                <c:pt idx="75">
                  <c:v>0</c:v>
                </c:pt>
                <c:pt idx="76">
                  <c:v>0</c:v>
                </c:pt>
                <c:pt idx="77">
                  <c:v>1</c:v>
                </c:pt>
                <c:pt idx="78">
                  <c:v>1</c:v>
                </c:pt>
                <c:pt idx="79">
                  <c:v>0</c:v>
                </c:pt>
                <c:pt idx="80">
                  <c:v>0</c:v>
                </c:pt>
                <c:pt idx="81">
                  <c:v>1</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1</c:v>
                </c:pt>
                <c:pt idx="99">
                  <c:v>0</c:v>
                </c:pt>
                <c:pt idx="100">
                  <c:v>0</c:v>
                </c:pt>
                <c:pt idx="101">
                  <c:v>0</c:v>
                </c:pt>
                <c:pt idx="102">
                  <c:v>0</c:v>
                </c:pt>
                <c:pt idx="103">
                  <c:v>0</c:v>
                </c:pt>
                <c:pt idx="104">
                  <c:v>0</c:v>
                </c:pt>
                <c:pt idx="105">
                  <c:v>0</c:v>
                </c:pt>
                <c:pt idx="106">
                  <c:v>0</c:v>
                </c:pt>
                <c:pt idx="107">
                  <c:v>1</c:v>
                </c:pt>
                <c:pt idx="108">
                  <c:v>0</c:v>
                </c:pt>
              </c:numCache>
            </c:numRef>
          </c:yVal>
          <c:smooth val="1"/>
          <c:extLst>
            <c:ext xmlns:c16="http://schemas.microsoft.com/office/drawing/2014/chart" uri="{C3380CC4-5D6E-409C-BE32-E72D297353CC}">
              <c16:uniqueId val="{00000001-1132-4FB6-8E4F-2D5BBE2AD3B5}"/>
            </c:ext>
          </c:extLst>
        </c:ser>
        <c:dLbls>
          <c:showLegendKey val="0"/>
          <c:showVal val="0"/>
          <c:showCatName val="0"/>
          <c:showSerName val="0"/>
          <c:showPercent val="0"/>
          <c:showBubbleSize val="0"/>
        </c:dLbls>
        <c:axId val="1363903263"/>
        <c:axId val="1363903743"/>
      </c:scatterChart>
      <c:valAx>
        <c:axId val="1363903263"/>
        <c:scaling>
          <c:orientation val="minMax"/>
          <c:max val="0.70000000000000007"/>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Discount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903743"/>
        <c:crosses val="autoZero"/>
        <c:crossBetween val="midCat"/>
      </c:valAx>
      <c:valAx>
        <c:axId val="1363903743"/>
        <c:scaling>
          <c:orientation val="minMax"/>
          <c:max val="7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Review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9032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GB" sz="1600" b="1"/>
              <a:t>Relationship between Rating &amp; Reviews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smoothMarker"/>
        <c:varyColors val="0"/>
        <c:ser>
          <c:idx val="0"/>
          <c:order val="0"/>
          <c:spPr>
            <a:ln w="9525" cap="flat" cmpd="sng" algn="ctr">
              <a:solidFill>
                <a:schemeClr val="accent2">
                  <a:alpha val="70000"/>
                </a:schemeClr>
              </a:solid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trendline>
            <c:spPr>
              <a:ln w="9525" cap="rnd">
                <a:solidFill>
                  <a:schemeClr val="accent2"/>
                </a:solidFill>
              </a:ln>
              <a:effectLst/>
            </c:spPr>
            <c:trendlineType val="linear"/>
            <c:dispRSqr val="0"/>
            <c:dispEq val="0"/>
          </c:trendline>
          <c:trendline>
            <c:spPr>
              <a:ln w="9525" cap="rnd">
                <a:solidFill>
                  <a:schemeClr val="accent2"/>
                </a:solidFill>
              </a:ln>
              <a:effectLst/>
            </c:spPr>
            <c:trendlineType val="linear"/>
            <c:dispRSqr val="1"/>
            <c:dispEq val="1"/>
            <c:trendlineLbl>
              <c:layout>
                <c:manualLayout>
                  <c:x val="2.3896487904241454E-2"/>
                  <c:y val="0.5969198312236286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rendlineLbl>
          </c:trendline>
          <c:xVal>
            <c:numRef>
              <c:f>'Staging Data'!$E$2:$E$110</c:f>
              <c:numCache>
                <c:formatCode>General</c:formatCode>
                <c:ptCount val="109"/>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6</c:v>
                </c:pt>
                <c:pt idx="59">
                  <c:v>10</c:v>
                </c:pt>
                <c:pt idx="60">
                  <c:v>13</c:v>
                </c:pt>
                <c:pt idx="61">
                  <c:v>69</c:v>
                </c:pt>
                <c:pt idx="62">
                  <c:v>15</c:v>
                </c:pt>
                <c:pt idx="63">
                  <c:v>16</c:v>
                </c:pt>
                <c:pt idx="64">
                  <c:v>6</c:v>
                </c:pt>
                <c:pt idx="65">
                  <c:v>7</c:v>
                </c:pt>
                <c:pt idx="66">
                  <c:v>5</c:v>
                </c:pt>
                <c:pt idx="67">
                  <c:v>17</c:v>
                </c:pt>
                <c:pt idx="68">
                  <c:v>5</c:v>
                </c:pt>
                <c:pt idx="69">
                  <c:v>6</c:v>
                </c:pt>
                <c:pt idx="70">
                  <c:v>5</c:v>
                </c:pt>
                <c:pt idx="71">
                  <c:v>6</c:v>
                </c:pt>
                <c:pt idx="72">
                  <c:v>7</c:v>
                </c:pt>
                <c:pt idx="73">
                  <c:v>0</c:v>
                </c:pt>
                <c:pt idx="74">
                  <c:v>0</c:v>
                </c:pt>
                <c:pt idx="75">
                  <c:v>0</c:v>
                </c:pt>
                <c:pt idx="76">
                  <c:v>0</c:v>
                </c:pt>
                <c:pt idx="77">
                  <c:v>1</c:v>
                </c:pt>
                <c:pt idx="78">
                  <c:v>1</c:v>
                </c:pt>
                <c:pt idx="79">
                  <c:v>0</c:v>
                </c:pt>
                <c:pt idx="80">
                  <c:v>0</c:v>
                </c:pt>
                <c:pt idx="81">
                  <c:v>1</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1</c:v>
                </c:pt>
                <c:pt idx="99">
                  <c:v>0</c:v>
                </c:pt>
                <c:pt idx="100">
                  <c:v>0</c:v>
                </c:pt>
                <c:pt idx="101">
                  <c:v>0</c:v>
                </c:pt>
                <c:pt idx="102">
                  <c:v>0</c:v>
                </c:pt>
                <c:pt idx="103">
                  <c:v>0</c:v>
                </c:pt>
                <c:pt idx="104">
                  <c:v>0</c:v>
                </c:pt>
                <c:pt idx="105">
                  <c:v>0</c:v>
                </c:pt>
                <c:pt idx="106">
                  <c:v>0</c:v>
                </c:pt>
                <c:pt idx="107">
                  <c:v>1</c:v>
                </c:pt>
                <c:pt idx="108">
                  <c:v>0</c:v>
                </c:pt>
              </c:numCache>
            </c:numRef>
          </c:xVal>
          <c:yVal>
            <c:numRef>
              <c:f>'Staging Data'!$F$2:$F$110</c:f>
              <c:numCache>
                <c:formatCode>General</c:formatCode>
                <c:ptCount val="109"/>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2.5</c:v>
                </c:pt>
                <c:pt idx="59">
                  <c:v>3</c:v>
                </c:pt>
                <c:pt idx="60">
                  <c:v>2.1</c:v>
                </c:pt>
                <c:pt idx="61">
                  <c:v>2.8</c:v>
                </c:pt>
                <c:pt idx="62">
                  <c:v>2.7</c:v>
                </c:pt>
                <c:pt idx="63">
                  <c:v>2.9</c:v>
                </c:pt>
                <c:pt idx="64">
                  <c:v>2.2000000000000002</c:v>
                </c:pt>
                <c:pt idx="65">
                  <c:v>2.2999999999999998</c:v>
                </c:pt>
                <c:pt idx="66">
                  <c:v>3</c:v>
                </c:pt>
                <c:pt idx="67">
                  <c:v>2.6</c:v>
                </c:pt>
                <c:pt idx="68">
                  <c:v>3</c:v>
                </c:pt>
                <c:pt idx="69">
                  <c:v>2.2999999999999998</c:v>
                </c:pt>
                <c:pt idx="70">
                  <c:v>3</c:v>
                </c:pt>
                <c:pt idx="71">
                  <c:v>2.2000000000000002</c:v>
                </c:pt>
                <c:pt idx="72">
                  <c:v>2.1</c:v>
                </c:pt>
                <c:pt idx="73">
                  <c:v>0</c:v>
                </c:pt>
                <c:pt idx="74">
                  <c:v>0</c:v>
                </c:pt>
                <c:pt idx="75">
                  <c:v>0</c:v>
                </c:pt>
                <c:pt idx="76">
                  <c:v>0</c:v>
                </c:pt>
                <c:pt idx="77">
                  <c:v>3</c:v>
                </c:pt>
                <c:pt idx="78">
                  <c:v>5</c:v>
                </c:pt>
                <c:pt idx="79">
                  <c:v>0</c:v>
                </c:pt>
                <c:pt idx="80">
                  <c:v>0</c:v>
                </c:pt>
                <c:pt idx="81">
                  <c:v>4</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5</c:v>
                </c:pt>
                <c:pt idx="99">
                  <c:v>0</c:v>
                </c:pt>
                <c:pt idx="100">
                  <c:v>0</c:v>
                </c:pt>
                <c:pt idx="101">
                  <c:v>0</c:v>
                </c:pt>
                <c:pt idx="102">
                  <c:v>0</c:v>
                </c:pt>
                <c:pt idx="103">
                  <c:v>0</c:v>
                </c:pt>
                <c:pt idx="104">
                  <c:v>0</c:v>
                </c:pt>
                <c:pt idx="105">
                  <c:v>0</c:v>
                </c:pt>
                <c:pt idx="106">
                  <c:v>0</c:v>
                </c:pt>
                <c:pt idx="107">
                  <c:v>2</c:v>
                </c:pt>
                <c:pt idx="108">
                  <c:v>0</c:v>
                </c:pt>
              </c:numCache>
            </c:numRef>
          </c:yVal>
          <c:smooth val="1"/>
          <c:extLst>
            <c:ext xmlns:c16="http://schemas.microsoft.com/office/drawing/2014/chart" uri="{C3380CC4-5D6E-409C-BE32-E72D297353CC}">
              <c16:uniqueId val="{00000002-033B-4C37-81E2-BEAE0AA801CD}"/>
            </c:ext>
          </c:extLst>
        </c:ser>
        <c:dLbls>
          <c:showLegendKey val="0"/>
          <c:showVal val="0"/>
          <c:showCatName val="0"/>
          <c:showSerName val="0"/>
          <c:showPercent val="0"/>
          <c:showBubbleSize val="0"/>
        </c:dLbls>
        <c:axId val="1419757599"/>
        <c:axId val="1419758079"/>
      </c:scatterChart>
      <c:valAx>
        <c:axId val="1419757599"/>
        <c:scaling>
          <c:orientation val="minMax"/>
          <c:max val="70"/>
          <c:min val="0"/>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GB" sz="1100" b="1"/>
                  <a:t>Number of Reviews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419758079"/>
        <c:crosses val="autoZero"/>
        <c:crossBetween val="midCat"/>
      </c:valAx>
      <c:valAx>
        <c:axId val="1419758079"/>
        <c:scaling>
          <c:orientation val="minMax"/>
          <c:max val="6"/>
          <c:min val="0"/>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GB" sz="1100" b="1"/>
                  <a:t>Rating</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419757599"/>
        <c:crosses val="autoZero"/>
        <c:crossBetween val="midCat"/>
      </c:valAx>
      <c:spPr>
        <a:gradFill>
          <a:gsLst>
            <a:gs pos="100000">
              <a:schemeClr val="lt1">
                <a:lumMod val="95000"/>
              </a:schemeClr>
            </a:gs>
            <a:gs pos="0">
              <a:schemeClr val="lt1">
                <a:alpha val="0"/>
              </a:schemeClr>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dataset Assignment.xlsx]ProductsByDiscountCategory!PivotTable12</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ProductsByDiscountCategory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4"/>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8"/>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pivotFmt>
    </c:pivotFmts>
    <c:plotArea>
      <c:layout/>
      <c:doughnutChart>
        <c:varyColors val="1"/>
        <c:ser>
          <c:idx val="0"/>
          <c:order val="0"/>
          <c:tx>
            <c:strRef>
              <c:f>ProductsByDiscountCategory!$B$3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1C3C-4828-8C6C-1DE63F78286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C3C-4828-8C6C-1DE63F782862}"/>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1C3C-4828-8C6C-1DE63F7828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ProductsByDiscountCategory!$A$4:$A$7</c:f>
              <c:strCache>
                <c:ptCount val="3"/>
                <c:pt idx="0">
                  <c:v>High Discount</c:v>
                </c:pt>
                <c:pt idx="1">
                  <c:v>Low Discount</c:v>
                </c:pt>
                <c:pt idx="2">
                  <c:v>Medium Discount</c:v>
                </c:pt>
              </c:strCache>
            </c:strRef>
          </c:cat>
          <c:val>
            <c:numRef>
              <c:f>ProductsByDiscountCategory!$B$4:$B$7</c:f>
              <c:numCache>
                <c:formatCode>General</c:formatCode>
                <c:ptCount val="3"/>
                <c:pt idx="0">
                  <c:v>59</c:v>
                </c:pt>
                <c:pt idx="1">
                  <c:v>18</c:v>
                </c:pt>
                <c:pt idx="2">
                  <c:v>32</c:v>
                </c:pt>
              </c:numCache>
            </c:numRef>
          </c:val>
          <c:extLst>
            <c:ext xmlns:c16="http://schemas.microsoft.com/office/drawing/2014/chart" uri="{C3380CC4-5D6E-409C-BE32-E72D297353CC}">
              <c16:uniqueId val="{00000006-1C3C-4828-8C6C-1DE63F78286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dataset Assignment.xlsx]ProductRatingsCount!PivotTable2</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GB"/>
              <a:t>ProductsByRatingCategory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hade val="58000"/>
            </a:schemeClr>
          </a:solidFill>
          <a:ln>
            <a:noFill/>
          </a:ln>
          <a:effectLst>
            <a:outerShdw blurRad="317500" algn="ctr" rotWithShape="0">
              <a:prstClr val="black">
                <a:alpha val="25000"/>
              </a:prstClr>
            </a:outerShdw>
          </a:effectLst>
        </c:spPr>
      </c:pivotFmt>
      <c:pivotFmt>
        <c:idx val="3"/>
        <c:spPr>
          <a:solidFill>
            <a:schemeClr val="accent2">
              <a:shade val="86000"/>
            </a:schemeClr>
          </a:solidFill>
          <a:ln>
            <a:noFill/>
          </a:ln>
          <a:effectLst>
            <a:outerShdw blurRad="317500" algn="ctr" rotWithShape="0">
              <a:prstClr val="black">
                <a:alpha val="25000"/>
              </a:prstClr>
            </a:outerShdw>
          </a:effectLst>
        </c:spPr>
      </c:pivotFmt>
      <c:pivotFmt>
        <c:idx val="4"/>
        <c:spPr>
          <a:solidFill>
            <a:schemeClr val="accent2">
              <a:tint val="86000"/>
            </a:schemeClr>
          </a:solidFill>
          <a:ln>
            <a:noFill/>
          </a:ln>
          <a:effectLst>
            <a:outerShdw blurRad="317500" algn="ctr" rotWithShape="0">
              <a:prstClr val="black">
                <a:alpha val="25000"/>
              </a:prstClr>
            </a:outerShdw>
          </a:effectLst>
        </c:spPr>
      </c:pivotFmt>
      <c:pivotFmt>
        <c:idx val="5"/>
        <c:spPr>
          <a:solidFill>
            <a:schemeClr val="accent2">
              <a:tint val="58000"/>
            </a:schemeClr>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hade val="58000"/>
            </a:schemeClr>
          </a:solidFill>
          <a:ln>
            <a:noFill/>
          </a:ln>
          <a:effectLst>
            <a:outerShdw blurRad="317500" algn="ctr" rotWithShape="0">
              <a:prstClr val="black">
                <a:alpha val="25000"/>
              </a:prstClr>
            </a:outerShdw>
          </a:effectLst>
        </c:spPr>
      </c:pivotFmt>
      <c:pivotFmt>
        <c:idx val="8"/>
        <c:spPr>
          <a:solidFill>
            <a:schemeClr val="accent2">
              <a:shade val="86000"/>
            </a:schemeClr>
          </a:solidFill>
          <a:ln>
            <a:noFill/>
          </a:ln>
          <a:effectLst>
            <a:outerShdw blurRad="317500" algn="ctr" rotWithShape="0">
              <a:prstClr val="black">
                <a:alpha val="25000"/>
              </a:prstClr>
            </a:outerShdw>
          </a:effectLst>
        </c:spPr>
      </c:pivotFmt>
      <c:pivotFmt>
        <c:idx val="9"/>
        <c:spPr>
          <a:solidFill>
            <a:schemeClr val="accent2">
              <a:tint val="86000"/>
            </a:schemeClr>
          </a:solidFill>
          <a:ln>
            <a:noFill/>
          </a:ln>
          <a:effectLst>
            <a:outerShdw blurRad="317500" algn="ctr" rotWithShape="0">
              <a:prstClr val="black">
                <a:alpha val="25000"/>
              </a:prstClr>
            </a:outerShdw>
          </a:effectLst>
        </c:spPr>
      </c:pivotFmt>
      <c:pivotFmt>
        <c:idx val="10"/>
        <c:spPr>
          <a:solidFill>
            <a:schemeClr val="accent2">
              <a:tint val="58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ProductRatingsCount!$B$3</c:f>
              <c:strCache>
                <c:ptCount val="1"/>
                <c:pt idx="0">
                  <c:v>Total</c:v>
                </c:pt>
              </c:strCache>
            </c:strRef>
          </c:tx>
          <c:dPt>
            <c:idx val="0"/>
            <c:bubble3D val="0"/>
            <c:spPr>
              <a:solidFill>
                <a:schemeClr val="accent2">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467-45DA-A0AD-C59E2D63E851}"/>
              </c:ext>
            </c:extLst>
          </c:dPt>
          <c:dPt>
            <c:idx val="1"/>
            <c:bubble3D val="0"/>
            <c:spPr>
              <a:solidFill>
                <a:schemeClr val="accent2">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467-45DA-A0AD-C59E2D63E851}"/>
              </c:ext>
            </c:extLst>
          </c:dPt>
          <c:dPt>
            <c:idx val="2"/>
            <c:bubble3D val="0"/>
            <c:spPr>
              <a:solidFill>
                <a:schemeClr val="accent2">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467-45DA-A0AD-C59E2D63E851}"/>
              </c:ext>
            </c:extLst>
          </c:dPt>
          <c:dPt>
            <c:idx val="3"/>
            <c:bubble3D val="0"/>
            <c:spPr>
              <a:solidFill>
                <a:schemeClr val="accent2">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467-45DA-A0AD-C59E2D63E85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ProductRatingsCount!$A$4:$A$8</c:f>
              <c:strCache>
                <c:ptCount val="4"/>
                <c:pt idx="0">
                  <c:v>Average</c:v>
                </c:pt>
                <c:pt idx="1">
                  <c:v>Excellent</c:v>
                </c:pt>
                <c:pt idx="2">
                  <c:v>N/A</c:v>
                </c:pt>
                <c:pt idx="3">
                  <c:v>Poor</c:v>
                </c:pt>
              </c:strCache>
            </c:strRef>
          </c:cat>
          <c:val>
            <c:numRef>
              <c:f>ProductRatingsCount!$B$4:$B$8</c:f>
              <c:numCache>
                <c:formatCode>General</c:formatCode>
                <c:ptCount val="4"/>
                <c:pt idx="0">
                  <c:v>22</c:v>
                </c:pt>
                <c:pt idx="1">
                  <c:v>23</c:v>
                </c:pt>
                <c:pt idx="2">
                  <c:v>52</c:v>
                </c:pt>
                <c:pt idx="3">
                  <c:v>12</c:v>
                </c:pt>
              </c:numCache>
            </c:numRef>
          </c:val>
          <c:extLst>
            <c:ext xmlns:c16="http://schemas.microsoft.com/office/drawing/2014/chart" uri="{C3380CC4-5D6E-409C-BE32-E72D297353CC}">
              <c16:uniqueId val="{00000008-5467-45DA-A0AD-C59E2D63E85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Top10DiscountedProducts!$B$1</c:f>
              <c:strCache>
                <c:ptCount val="1"/>
                <c:pt idx="0">
                  <c:v>Discount</c:v>
                </c:pt>
              </c:strCache>
            </c:strRef>
          </c:tx>
          <c:spPr>
            <a:solidFill>
              <a:schemeClr val="accent1"/>
            </a:solidFill>
            <a:ln>
              <a:noFill/>
            </a:ln>
            <a:effectLst/>
            <a:sp3d/>
          </c:spPr>
          <c:invertIfNegative val="0"/>
          <c:cat>
            <c:strRef>
              <c:f>Top10DiscountedProducts!$A$2:$A$110</c:f>
              <c:strCache>
                <c:ptCount val="10"/>
                <c:pt idx="0">
                  <c:v>6 In 1 Bottle Can Opener Multifunctional Easy Opener</c:v>
                </c:pt>
                <c:pt idx="1">
                  <c:v>Creative Owl Shape Keychain Black</c:v>
                </c:pt>
                <c:pt idx="2">
                  <c:v>LASA FOLDING TABLE SERVING STAND</c:v>
                </c:pt>
                <c:pt idx="3">
                  <c:v>5-PCS Stainless Steel Cooking Pot Set With Steamed Slices</c:v>
                </c:pt>
                <c:pt idx="4">
                  <c:v>LASA 3 Tier Bamboo Shoe Bench Storage Shelf</c:v>
                </c:pt>
                <c:pt idx="5">
                  <c:v>Mythco 120COB Solar Wall Ligt With Motion Sensor And Remote Control 3 Modes</c:v>
                </c:pt>
                <c:pt idx="6">
                  <c:v>3PCS Single Head Knitting Crochet Sweater Needle Set</c:v>
                </c:pt>
                <c:pt idx="7">
                  <c:v>Classic Black Cat Cotton Hemp Pillow Case For Home Car</c:v>
                </c:pt>
                <c:pt idx="8">
                  <c:v>Exfoliate And Exfoliate Face Towel - Black</c:v>
                </c:pt>
                <c:pt idx="9">
                  <c:v>Intelligent  LED Body Sensor Wireless Lighting Night Light USB</c:v>
                </c:pt>
              </c:strCache>
            </c:strRef>
          </c:cat>
          <c:val>
            <c:numRef>
              <c:f>Top10DiscountedProducts!$B$2:$B$110</c:f>
              <c:numCache>
                <c:formatCode>0%</c:formatCode>
                <c:ptCount val="10"/>
                <c:pt idx="0">
                  <c:v>0.64</c:v>
                </c:pt>
                <c:pt idx="1">
                  <c:v>0.61</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C223-432E-B851-A0A02569549E}"/>
            </c:ext>
          </c:extLst>
        </c:ser>
        <c:dLbls>
          <c:showLegendKey val="0"/>
          <c:showVal val="0"/>
          <c:showCatName val="0"/>
          <c:showSerName val="0"/>
          <c:showPercent val="0"/>
          <c:showBubbleSize val="0"/>
        </c:dLbls>
        <c:gapWidth val="150"/>
        <c:shape val="box"/>
        <c:axId val="324524784"/>
        <c:axId val="324525264"/>
        <c:axId val="0"/>
      </c:bar3DChart>
      <c:catAx>
        <c:axId val="324524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25264"/>
        <c:crosses val="autoZero"/>
        <c:auto val="1"/>
        <c:lblAlgn val="ctr"/>
        <c:lblOffset val="100"/>
        <c:noMultiLvlLbl val="0"/>
      </c:catAx>
      <c:valAx>
        <c:axId val="3245252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2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GB" sz="1600" b="1"/>
              <a:t>Relationship between Rating &amp; Reviews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smoothMarker"/>
        <c:varyColors val="0"/>
        <c:ser>
          <c:idx val="0"/>
          <c:order val="0"/>
          <c:spPr>
            <a:ln w="9525" cap="flat" cmpd="sng" algn="ctr">
              <a:solidFill>
                <a:schemeClr val="accent6">
                  <a:alpha val="70000"/>
                </a:schemeClr>
              </a:solidFill>
              <a:prstDash val="sysDot"/>
              <a:round/>
            </a:ln>
            <a:effectLst/>
          </c:spPr>
          <c:marker>
            <c:symbol val="circle"/>
            <c:size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trendline>
            <c:spPr>
              <a:ln w="9525" cap="rnd">
                <a:solidFill>
                  <a:srgbClr val="FF0000"/>
                </a:solidFill>
              </a:ln>
              <a:effectLst/>
            </c:spPr>
            <c:trendlineType val="linear"/>
            <c:dispRSqr val="0"/>
            <c:dispEq val="0"/>
          </c:trendline>
          <c:trendline>
            <c:spPr>
              <a:ln w="9525" cap="rnd">
                <a:solidFill>
                  <a:schemeClr val="accent6"/>
                </a:solidFill>
              </a:ln>
              <a:effectLst/>
            </c:spPr>
            <c:trendlineType val="linear"/>
            <c:dispRSqr val="1"/>
            <c:dispEq val="1"/>
            <c:trendlineLbl>
              <c:layout>
                <c:manualLayout>
                  <c:x val="2.5271872265966753E-2"/>
                  <c:y val="0.3447685185185185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rendlineLbl>
          </c:trendline>
          <c:xVal>
            <c:numRef>
              <c:f>'Staging Data'!$E$2:$E$110</c:f>
              <c:numCache>
                <c:formatCode>General</c:formatCode>
                <c:ptCount val="109"/>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6</c:v>
                </c:pt>
                <c:pt idx="59">
                  <c:v>10</c:v>
                </c:pt>
                <c:pt idx="60">
                  <c:v>13</c:v>
                </c:pt>
                <c:pt idx="61">
                  <c:v>69</c:v>
                </c:pt>
                <c:pt idx="62">
                  <c:v>15</c:v>
                </c:pt>
                <c:pt idx="63">
                  <c:v>16</c:v>
                </c:pt>
                <c:pt idx="64">
                  <c:v>6</c:v>
                </c:pt>
                <c:pt idx="65">
                  <c:v>7</c:v>
                </c:pt>
                <c:pt idx="66">
                  <c:v>5</c:v>
                </c:pt>
                <c:pt idx="67">
                  <c:v>17</c:v>
                </c:pt>
                <c:pt idx="68">
                  <c:v>5</c:v>
                </c:pt>
                <c:pt idx="69">
                  <c:v>6</c:v>
                </c:pt>
                <c:pt idx="70">
                  <c:v>5</c:v>
                </c:pt>
                <c:pt idx="71">
                  <c:v>6</c:v>
                </c:pt>
                <c:pt idx="72">
                  <c:v>7</c:v>
                </c:pt>
                <c:pt idx="73">
                  <c:v>0</c:v>
                </c:pt>
                <c:pt idx="74">
                  <c:v>0</c:v>
                </c:pt>
                <c:pt idx="75">
                  <c:v>0</c:v>
                </c:pt>
                <c:pt idx="76">
                  <c:v>0</c:v>
                </c:pt>
                <c:pt idx="77">
                  <c:v>1</c:v>
                </c:pt>
                <c:pt idx="78">
                  <c:v>1</c:v>
                </c:pt>
                <c:pt idx="79">
                  <c:v>0</c:v>
                </c:pt>
                <c:pt idx="80">
                  <c:v>0</c:v>
                </c:pt>
                <c:pt idx="81">
                  <c:v>1</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1</c:v>
                </c:pt>
                <c:pt idx="99">
                  <c:v>0</c:v>
                </c:pt>
                <c:pt idx="100">
                  <c:v>0</c:v>
                </c:pt>
                <c:pt idx="101">
                  <c:v>0</c:v>
                </c:pt>
                <c:pt idx="102">
                  <c:v>0</c:v>
                </c:pt>
                <c:pt idx="103">
                  <c:v>0</c:v>
                </c:pt>
                <c:pt idx="104">
                  <c:v>0</c:v>
                </c:pt>
                <c:pt idx="105">
                  <c:v>0</c:v>
                </c:pt>
                <c:pt idx="106">
                  <c:v>0</c:v>
                </c:pt>
                <c:pt idx="107">
                  <c:v>1</c:v>
                </c:pt>
                <c:pt idx="108">
                  <c:v>0</c:v>
                </c:pt>
              </c:numCache>
            </c:numRef>
          </c:xVal>
          <c:yVal>
            <c:numRef>
              <c:f>'Staging Data'!$F$2:$F$110</c:f>
              <c:numCache>
                <c:formatCode>General</c:formatCode>
                <c:ptCount val="109"/>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2.5</c:v>
                </c:pt>
                <c:pt idx="59">
                  <c:v>3</c:v>
                </c:pt>
                <c:pt idx="60">
                  <c:v>2.1</c:v>
                </c:pt>
                <c:pt idx="61">
                  <c:v>2.8</c:v>
                </c:pt>
                <c:pt idx="62">
                  <c:v>2.7</c:v>
                </c:pt>
                <c:pt idx="63">
                  <c:v>2.9</c:v>
                </c:pt>
                <c:pt idx="64">
                  <c:v>2.2000000000000002</c:v>
                </c:pt>
                <c:pt idx="65">
                  <c:v>2.2999999999999998</c:v>
                </c:pt>
                <c:pt idx="66">
                  <c:v>3</c:v>
                </c:pt>
                <c:pt idx="67">
                  <c:v>2.6</c:v>
                </c:pt>
                <c:pt idx="68">
                  <c:v>3</c:v>
                </c:pt>
                <c:pt idx="69">
                  <c:v>2.2999999999999998</c:v>
                </c:pt>
                <c:pt idx="70">
                  <c:v>3</c:v>
                </c:pt>
                <c:pt idx="71">
                  <c:v>2.2000000000000002</c:v>
                </c:pt>
                <c:pt idx="72">
                  <c:v>2.1</c:v>
                </c:pt>
                <c:pt idx="73">
                  <c:v>0</c:v>
                </c:pt>
                <c:pt idx="74">
                  <c:v>0</c:v>
                </c:pt>
                <c:pt idx="75">
                  <c:v>0</c:v>
                </c:pt>
                <c:pt idx="76">
                  <c:v>0</c:v>
                </c:pt>
                <c:pt idx="77">
                  <c:v>3</c:v>
                </c:pt>
                <c:pt idx="78">
                  <c:v>5</c:v>
                </c:pt>
                <c:pt idx="79">
                  <c:v>0</c:v>
                </c:pt>
                <c:pt idx="80">
                  <c:v>0</c:v>
                </c:pt>
                <c:pt idx="81">
                  <c:v>4</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5</c:v>
                </c:pt>
                <c:pt idx="99">
                  <c:v>0</c:v>
                </c:pt>
                <c:pt idx="100">
                  <c:v>0</c:v>
                </c:pt>
                <c:pt idx="101">
                  <c:v>0</c:v>
                </c:pt>
                <c:pt idx="102">
                  <c:v>0</c:v>
                </c:pt>
                <c:pt idx="103">
                  <c:v>0</c:v>
                </c:pt>
                <c:pt idx="104">
                  <c:v>0</c:v>
                </c:pt>
                <c:pt idx="105">
                  <c:v>0</c:v>
                </c:pt>
                <c:pt idx="106">
                  <c:v>0</c:v>
                </c:pt>
                <c:pt idx="107">
                  <c:v>2</c:v>
                </c:pt>
                <c:pt idx="108">
                  <c:v>0</c:v>
                </c:pt>
              </c:numCache>
            </c:numRef>
          </c:yVal>
          <c:smooth val="1"/>
          <c:extLst>
            <c:ext xmlns:c16="http://schemas.microsoft.com/office/drawing/2014/chart" uri="{C3380CC4-5D6E-409C-BE32-E72D297353CC}">
              <c16:uniqueId val="{00000000-3303-46B3-9A64-5CDC0A66FF56}"/>
            </c:ext>
          </c:extLst>
        </c:ser>
        <c:dLbls>
          <c:showLegendKey val="0"/>
          <c:showVal val="0"/>
          <c:showCatName val="0"/>
          <c:showSerName val="0"/>
          <c:showPercent val="0"/>
          <c:showBubbleSize val="0"/>
        </c:dLbls>
        <c:axId val="1419757599"/>
        <c:axId val="1419758079"/>
      </c:scatterChart>
      <c:valAx>
        <c:axId val="1419757599"/>
        <c:scaling>
          <c:orientation val="minMax"/>
          <c:max val="70"/>
          <c:min val="0"/>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GB" sz="1100" b="1"/>
                  <a:t>Number of Reviews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419758079"/>
        <c:crosses val="autoZero"/>
        <c:crossBetween val="midCat"/>
      </c:valAx>
      <c:valAx>
        <c:axId val="1419758079"/>
        <c:scaling>
          <c:orientation val="minMax"/>
          <c:max val="6"/>
          <c:min val="0"/>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GB" sz="1100" b="1"/>
                  <a:t>Rating</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419757599"/>
        <c:crosses val="autoZero"/>
        <c:crossBetween val="midCat"/>
      </c:valAx>
      <c:spPr>
        <a:gradFill>
          <a:gsLst>
            <a:gs pos="100000">
              <a:schemeClr val="lt1">
                <a:lumMod val="95000"/>
              </a:schemeClr>
            </a:gs>
            <a:gs pos="0">
              <a:schemeClr val="lt1">
                <a:alpha val="0"/>
              </a:schemeClr>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Relationship between Discount % and Review</a:t>
            </a:r>
          </a:p>
        </c:rich>
      </c:tx>
      <c:layout>
        <c:manualLayout>
          <c:xMode val="edge"/>
          <c:yMode val="edge"/>
          <c:x val="0.13683383663063625"/>
          <c:y val="2.2263450834879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9302063048570539"/>
          <c:y val="0.13020408163265307"/>
          <c:w val="0.61674255153252289"/>
          <c:h val="0.69761296071757262"/>
        </c:manualLayout>
      </c:layout>
      <c:scatterChart>
        <c:scatterStyle val="smoothMarker"/>
        <c:varyColors val="0"/>
        <c:ser>
          <c:idx val="0"/>
          <c:order val="0"/>
          <c:tx>
            <c:strRef>
              <c:f>'Staging Data'!$E$1</c:f>
              <c:strCache>
                <c:ptCount val="1"/>
                <c:pt idx="0">
                  <c:v>Review</c:v>
                </c:pt>
              </c:strCache>
            </c:strRef>
          </c:tx>
          <c:spPr>
            <a:ln w="9525" cap="rnd">
              <a:solidFill>
                <a:schemeClr val="accent6"/>
              </a:solidFill>
              <a:round/>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trendline>
            <c:spPr>
              <a:ln w="9525" cap="rnd">
                <a:solidFill>
                  <a:srgbClr val="FF0000"/>
                </a:solidFill>
              </a:ln>
              <a:effectLst/>
            </c:spPr>
            <c:trendlineType val="linear"/>
            <c:dispRSqr val="0"/>
            <c:dispEq val="0"/>
          </c:trendline>
          <c:xVal>
            <c:numRef>
              <c:f>'Staging Data'!$D$2:$D$110</c:f>
              <c:numCache>
                <c:formatCode>0%</c:formatCode>
                <c:ptCount val="109"/>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0.13</c:v>
                </c:pt>
                <c:pt idx="59">
                  <c:v>0.54</c:v>
                </c:pt>
                <c:pt idx="60">
                  <c:v>0.55000000000000004</c:v>
                </c:pt>
                <c:pt idx="61">
                  <c:v>0.49</c:v>
                </c:pt>
                <c:pt idx="62">
                  <c:v>0.52</c:v>
                </c:pt>
                <c:pt idx="63">
                  <c:v>0.22</c:v>
                </c:pt>
                <c:pt idx="64">
                  <c:v>0.45</c:v>
                </c:pt>
                <c:pt idx="65">
                  <c:v>0.5</c:v>
                </c:pt>
                <c:pt idx="66">
                  <c:v>0.39</c:v>
                </c:pt>
                <c:pt idx="67">
                  <c:v>0.45</c:v>
                </c:pt>
                <c:pt idx="68">
                  <c:v>0.28999999999999998</c:v>
                </c:pt>
                <c:pt idx="69">
                  <c:v>0.43</c:v>
                </c:pt>
                <c:pt idx="70">
                  <c:v>0.43</c:v>
                </c:pt>
                <c:pt idx="71">
                  <c:v>0.47</c:v>
                </c:pt>
                <c:pt idx="72">
                  <c:v>0.47</c:v>
                </c:pt>
                <c:pt idx="73">
                  <c:v>0.47</c:v>
                </c:pt>
                <c:pt idx="74">
                  <c:v>0.43</c:v>
                </c:pt>
                <c:pt idx="75">
                  <c:v>0.04</c:v>
                </c:pt>
                <c:pt idx="76">
                  <c:v>0.49</c:v>
                </c:pt>
                <c:pt idx="77">
                  <c:v>0.46</c:v>
                </c:pt>
                <c:pt idx="78">
                  <c:v>0.49</c:v>
                </c:pt>
                <c:pt idx="79">
                  <c:v>0.36</c:v>
                </c:pt>
                <c:pt idx="80">
                  <c:v>0.02</c:v>
                </c:pt>
                <c:pt idx="81">
                  <c:v>0.49</c:v>
                </c:pt>
                <c:pt idx="82">
                  <c:v>0.14000000000000001</c:v>
                </c:pt>
                <c:pt idx="83">
                  <c:v>0.49</c:v>
                </c:pt>
                <c:pt idx="84">
                  <c:v>0.11</c:v>
                </c:pt>
                <c:pt idx="85">
                  <c:v>0.14000000000000001</c:v>
                </c:pt>
                <c:pt idx="86">
                  <c:v>0.43</c:v>
                </c:pt>
                <c:pt idx="87">
                  <c:v>0.5</c:v>
                </c:pt>
                <c:pt idx="88">
                  <c:v>0.48</c:v>
                </c:pt>
                <c:pt idx="89">
                  <c:v>0.48</c:v>
                </c:pt>
                <c:pt idx="90">
                  <c:v>0.47</c:v>
                </c:pt>
                <c:pt idx="91">
                  <c:v>0.5</c:v>
                </c:pt>
                <c:pt idx="92">
                  <c:v>0.08</c:v>
                </c:pt>
                <c:pt idx="93">
                  <c:v>0.02</c:v>
                </c:pt>
                <c:pt idx="94">
                  <c:v>0.49</c:v>
                </c:pt>
                <c:pt idx="95">
                  <c:v>0.04</c:v>
                </c:pt>
                <c:pt idx="96">
                  <c:v>0.49</c:v>
                </c:pt>
                <c:pt idx="97">
                  <c:v>0.42</c:v>
                </c:pt>
                <c:pt idx="98">
                  <c:v>0.21</c:v>
                </c:pt>
                <c:pt idx="99">
                  <c:v>0.41</c:v>
                </c:pt>
                <c:pt idx="100">
                  <c:v>0.01</c:v>
                </c:pt>
                <c:pt idx="101">
                  <c:v>0.24</c:v>
                </c:pt>
                <c:pt idx="102">
                  <c:v>0.34</c:v>
                </c:pt>
                <c:pt idx="103">
                  <c:v>0.34</c:v>
                </c:pt>
                <c:pt idx="104">
                  <c:v>0.02</c:v>
                </c:pt>
                <c:pt idx="105">
                  <c:v>0.02</c:v>
                </c:pt>
                <c:pt idx="106">
                  <c:v>0.64</c:v>
                </c:pt>
                <c:pt idx="107">
                  <c:v>0.5</c:v>
                </c:pt>
                <c:pt idx="108">
                  <c:v>0.47</c:v>
                </c:pt>
              </c:numCache>
            </c:numRef>
          </c:xVal>
          <c:yVal>
            <c:numRef>
              <c:f>'Staging Data'!$E$2:$E$110</c:f>
              <c:numCache>
                <c:formatCode>General</c:formatCode>
                <c:ptCount val="109"/>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6</c:v>
                </c:pt>
                <c:pt idx="59">
                  <c:v>10</c:v>
                </c:pt>
                <c:pt idx="60">
                  <c:v>13</c:v>
                </c:pt>
                <c:pt idx="61">
                  <c:v>69</c:v>
                </c:pt>
                <c:pt idx="62">
                  <c:v>15</c:v>
                </c:pt>
                <c:pt idx="63">
                  <c:v>16</c:v>
                </c:pt>
                <c:pt idx="64">
                  <c:v>6</c:v>
                </c:pt>
                <c:pt idx="65">
                  <c:v>7</c:v>
                </c:pt>
                <c:pt idx="66">
                  <c:v>5</c:v>
                </c:pt>
                <c:pt idx="67">
                  <c:v>17</c:v>
                </c:pt>
                <c:pt idx="68">
                  <c:v>5</c:v>
                </c:pt>
                <c:pt idx="69">
                  <c:v>6</c:v>
                </c:pt>
                <c:pt idx="70">
                  <c:v>5</c:v>
                </c:pt>
                <c:pt idx="71">
                  <c:v>6</c:v>
                </c:pt>
                <c:pt idx="72">
                  <c:v>7</c:v>
                </c:pt>
                <c:pt idx="73">
                  <c:v>0</c:v>
                </c:pt>
                <c:pt idx="74">
                  <c:v>0</c:v>
                </c:pt>
                <c:pt idx="75">
                  <c:v>0</c:v>
                </c:pt>
                <c:pt idx="76">
                  <c:v>0</c:v>
                </c:pt>
                <c:pt idx="77">
                  <c:v>1</c:v>
                </c:pt>
                <c:pt idx="78">
                  <c:v>1</c:v>
                </c:pt>
                <c:pt idx="79">
                  <c:v>0</c:v>
                </c:pt>
                <c:pt idx="80">
                  <c:v>0</c:v>
                </c:pt>
                <c:pt idx="81">
                  <c:v>1</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1</c:v>
                </c:pt>
                <c:pt idx="99">
                  <c:v>0</c:v>
                </c:pt>
                <c:pt idx="100">
                  <c:v>0</c:v>
                </c:pt>
                <c:pt idx="101">
                  <c:v>0</c:v>
                </c:pt>
                <c:pt idx="102">
                  <c:v>0</c:v>
                </c:pt>
                <c:pt idx="103">
                  <c:v>0</c:v>
                </c:pt>
                <c:pt idx="104">
                  <c:v>0</c:v>
                </c:pt>
                <c:pt idx="105">
                  <c:v>0</c:v>
                </c:pt>
                <c:pt idx="106">
                  <c:v>0</c:v>
                </c:pt>
                <c:pt idx="107">
                  <c:v>1</c:v>
                </c:pt>
                <c:pt idx="108">
                  <c:v>0</c:v>
                </c:pt>
              </c:numCache>
            </c:numRef>
          </c:yVal>
          <c:smooth val="1"/>
          <c:extLst>
            <c:ext xmlns:c16="http://schemas.microsoft.com/office/drawing/2014/chart" uri="{C3380CC4-5D6E-409C-BE32-E72D297353CC}">
              <c16:uniqueId val="{00000000-E7A5-4D5D-8647-9147D6EE362C}"/>
            </c:ext>
          </c:extLst>
        </c:ser>
        <c:dLbls>
          <c:showLegendKey val="0"/>
          <c:showVal val="0"/>
          <c:showCatName val="0"/>
          <c:showSerName val="0"/>
          <c:showPercent val="0"/>
          <c:showBubbleSize val="0"/>
        </c:dLbls>
        <c:axId val="1363903263"/>
        <c:axId val="1363903743"/>
      </c:scatterChart>
      <c:valAx>
        <c:axId val="1363903263"/>
        <c:scaling>
          <c:orientation val="minMax"/>
          <c:max val="0.70000000000000007"/>
          <c:min val="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sz="1100"/>
                  <a:t>Discount</a:t>
                </a:r>
                <a:r>
                  <a:rPr lang="en-GB"/>
                  <a:t>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3903743"/>
        <c:crosses val="autoZero"/>
        <c:crossBetween val="midCat"/>
      </c:valAx>
      <c:valAx>
        <c:axId val="1363903743"/>
        <c:scaling>
          <c:orientation val="minMax"/>
          <c:max val="70"/>
          <c:min val="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sz="1100" b="1"/>
                  <a:t>Review</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39032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434975</xdr:colOff>
      <xdr:row>1</xdr:row>
      <xdr:rowOff>171450</xdr:rowOff>
    </xdr:from>
    <xdr:to>
      <xdr:col>11</xdr:col>
      <xdr:colOff>292100</xdr:colOff>
      <xdr:row>14</xdr:row>
      <xdr:rowOff>25400</xdr:rowOff>
    </xdr:to>
    <xdr:graphicFrame macro="">
      <xdr:nvGraphicFramePr>
        <xdr:cNvPr id="2" name="Chart 1">
          <a:extLst>
            <a:ext uri="{FF2B5EF4-FFF2-40B4-BE49-F238E27FC236}">
              <a16:creationId xmlns:a16="http://schemas.microsoft.com/office/drawing/2014/main" id="{E23E6ACE-CFBC-9FF9-01C2-E0FDE4EF2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19050</xdr:colOff>
      <xdr:row>2</xdr:row>
      <xdr:rowOff>101600</xdr:rowOff>
    </xdr:from>
    <xdr:to>
      <xdr:col>15</xdr:col>
      <xdr:colOff>19050</xdr:colOff>
      <xdr:row>16</xdr:row>
      <xdr:rowOff>47625</xdr:rowOff>
    </xdr:to>
    <mc:AlternateContent xmlns:mc="http://schemas.openxmlformats.org/markup-compatibility/2006">
      <mc:Choice xmlns:a14="http://schemas.microsoft.com/office/drawing/2010/main" Requires="a14">
        <xdr:graphicFrame macro="">
          <xdr:nvGraphicFramePr>
            <xdr:cNvPr id="3" name="Rating Category">
              <a:extLst>
                <a:ext uri="{FF2B5EF4-FFF2-40B4-BE49-F238E27FC236}">
                  <a16:creationId xmlns:a16="http://schemas.microsoft.com/office/drawing/2014/main" id="{1A0C6EC3-CAB1-1FAE-2BF8-2A70DC984FFF}"/>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8045450" y="4699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107956</xdr:colOff>
      <xdr:row>2</xdr:row>
      <xdr:rowOff>85725</xdr:rowOff>
    </xdr:from>
    <xdr:to>
      <xdr:col>10</xdr:col>
      <xdr:colOff>412756</xdr:colOff>
      <xdr:row>17</xdr:row>
      <xdr:rowOff>66675</xdr:rowOff>
    </xdr:to>
    <xdr:graphicFrame macro="">
      <xdr:nvGraphicFramePr>
        <xdr:cNvPr id="3" name="Chart 2">
          <a:extLst>
            <a:ext uri="{FF2B5EF4-FFF2-40B4-BE49-F238E27FC236}">
              <a16:creationId xmlns:a16="http://schemas.microsoft.com/office/drawing/2014/main" id="{CF287036-3871-FD0A-2AF8-BB2DB8059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31750</xdr:colOff>
      <xdr:row>1</xdr:row>
      <xdr:rowOff>76200</xdr:rowOff>
    </xdr:from>
    <xdr:to>
      <xdr:col>13</xdr:col>
      <xdr:colOff>38100</xdr:colOff>
      <xdr:row>16</xdr:row>
      <xdr:rowOff>57150</xdr:rowOff>
    </xdr:to>
    <xdr:graphicFrame macro="">
      <xdr:nvGraphicFramePr>
        <xdr:cNvPr id="2" name="Chart 1">
          <a:extLst>
            <a:ext uri="{FF2B5EF4-FFF2-40B4-BE49-F238E27FC236}">
              <a16:creationId xmlns:a16="http://schemas.microsoft.com/office/drawing/2014/main" id="{8A77D063-59AC-4D18-9667-DC7F5622B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355600</xdr:colOff>
      <xdr:row>1</xdr:row>
      <xdr:rowOff>165100</xdr:rowOff>
    </xdr:from>
    <xdr:to>
      <xdr:col>16</xdr:col>
      <xdr:colOff>273050</xdr:colOff>
      <xdr:row>15</xdr:row>
      <xdr:rowOff>6350</xdr:rowOff>
    </xdr:to>
    <xdr:graphicFrame macro="">
      <xdr:nvGraphicFramePr>
        <xdr:cNvPr id="3" name="Chart 2">
          <a:extLst>
            <a:ext uri="{FF2B5EF4-FFF2-40B4-BE49-F238E27FC236}">
              <a16:creationId xmlns:a16="http://schemas.microsoft.com/office/drawing/2014/main" id="{59D302DF-5C01-5171-4C0B-0DFFB08B6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488950</xdr:colOff>
      <xdr:row>0</xdr:row>
      <xdr:rowOff>127000</xdr:rowOff>
    </xdr:from>
    <xdr:to>
      <xdr:col>5</xdr:col>
      <xdr:colOff>488950</xdr:colOff>
      <xdr:row>14</xdr:row>
      <xdr:rowOff>73025</xdr:rowOff>
    </xdr:to>
    <mc:AlternateContent xmlns:mc="http://schemas.openxmlformats.org/markup-compatibility/2006">
      <mc:Choice xmlns:a14="http://schemas.microsoft.com/office/drawing/2010/main" Requires="a14">
        <xdr:graphicFrame macro="">
          <xdr:nvGraphicFramePr>
            <xdr:cNvPr id="5" name="Discount Category">
              <a:extLst>
                <a:ext uri="{FF2B5EF4-FFF2-40B4-BE49-F238E27FC236}">
                  <a16:creationId xmlns:a16="http://schemas.microsoft.com/office/drawing/2014/main" id="{77BB4B7F-00D3-A8E4-1375-4D6AA1AC56FC}"/>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2647950" y="1270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4448175</xdr:colOff>
      <xdr:row>3</xdr:row>
      <xdr:rowOff>0</xdr:rowOff>
    </xdr:from>
    <xdr:to>
      <xdr:col>12</xdr:col>
      <xdr:colOff>66675</xdr:colOff>
      <xdr:row>17</xdr:row>
      <xdr:rowOff>152400</xdr:rowOff>
    </xdr:to>
    <xdr:graphicFrame macro="">
      <xdr:nvGraphicFramePr>
        <xdr:cNvPr id="2" name="Chart 1">
          <a:extLst>
            <a:ext uri="{FF2B5EF4-FFF2-40B4-BE49-F238E27FC236}">
              <a16:creationId xmlns:a16="http://schemas.microsoft.com/office/drawing/2014/main" id="{BE86F756-E074-E597-84D4-98F481EF4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352425</xdr:colOff>
      <xdr:row>3</xdr:row>
      <xdr:rowOff>95250</xdr:rowOff>
    </xdr:from>
    <xdr:to>
      <xdr:col>10</xdr:col>
      <xdr:colOff>47625</xdr:colOff>
      <xdr:row>118</xdr:row>
      <xdr:rowOff>76200</xdr:rowOff>
    </xdr:to>
    <xdr:graphicFrame macro="">
      <xdr:nvGraphicFramePr>
        <xdr:cNvPr id="4" name="Chart 3">
          <a:extLst>
            <a:ext uri="{FF2B5EF4-FFF2-40B4-BE49-F238E27FC236}">
              <a16:creationId xmlns:a16="http://schemas.microsoft.com/office/drawing/2014/main" id="{1CE7F966-B97F-F948-6DEF-0D67DA773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311150</xdr:colOff>
      <xdr:row>2</xdr:row>
      <xdr:rowOff>171450</xdr:rowOff>
    </xdr:from>
    <xdr:to>
      <xdr:col>7</xdr:col>
      <xdr:colOff>247650</xdr:colOff>
      <xdr:row>5</xdr:row>
      <xdr:rowOff>177800</xdr:rowOff>
    </xdr:to>
    <xdr:sp macro="" textlink="">
      <xdr:nvSpPr>
        <xdr:cNvPr id="2" name="Rectangle: Rounded Corners 1">
          <a:extLst>
            <a:ext uri="{FF2B5EF4-FFF2-40B4-BE49-F238E27FC236}">
              <a16:creationId xmlns:a16="http://schemas.microsoft.com/office/drawing/2014/main" id="{81440514-697F-C325-73F0-7C9310D62945}"/>
            </a:ext>
          </a:extLst>
        </xdr:cNvPr>
        <xdr:cNvSpPr/>
      </xdr:nvSpPr>
      <xdr:spPr>
        <a:xfrm>
          <a:off x="3359150" y="539750"/>
          <a:ext cx="1155700" cy="558800"/>
        </a:xfrm>
        <a:prstGeom prst="roundRect">
          <a:avLst/>
        </a:prstGeom>
        <a:ln>
          <a:solidFill>
            <a:schemeClr val="accent6"/>
          </a:solid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lang="en-GB" sz="1100"/>
            <a:t>Total Products</a:t>
          </a:r>
        </a:p>
        <a:p>
          <a:pPr algn="l"/>
          <a:r>
            <a:rPr lang="en-GB" sz="1100"/>
            <a:t>          109</a:t>
          </a:r>
        </a:p>
      </xdr:txBody>
    </xdr:sp>
    <xdr:clientData/>
  </xdr:twoCellAnchor>
  <xdr:twoCellAnchor>
    <xdr:from>
      <xdr:col>11</xdr:col>
      <xdr:colOff>6350</xdr:colOff>
      <xdr:row>3</xdr:row>
      <xdr:rowOff>0</xdr:rowOff>
    </xdr:from>
    <xdr:to>
      <xdr:col>12</xdr:col>
      <xdr:colOff>565150</xdr:colOff>
      <xdr:row>5</xdr:row>
      <xdr:rowOff>171450</xdr:rowOff>
    </xdr:to>
    <xdr:sp macro="" textlink="">
      <xdr:nvSpPr>
        <xdr:cNvPr id="6" name="Rectangle: Rounded Corners 5">
          <a:extLst>
            <a:ext uri="{FF2B5EF4-FFF2-40B4-BE49-F238E27FC236}">
              <a16:creationId xmlns:a16="http://schemas.microsoft.com/office/drawing/2014/main" id="{8E667662-D9A3-1C2A-62C1-7882F585EC03}"/>
            </a:ext>
          </a:extLst>
        </xdr:cNvPr>
        <xdr:cNvSpPr/>
      </xdr:nvSpPr>
      <xdr:spPr>
        <a:xfrm>
          <a:off x="6711950" y="552450"/>
          <a:ext cx="1168400" cy="539750"/>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GB" sz="1100"/>
            <a:t>Average Rating </a:t>
          </a:r>
        </a:p>
        <a:p>
          <a:pPr algn="l"/>
          <a:r>
            <a:rPr lang="en-GB" sz="1100"/>
            <a:t>         3.76</a:t>
          </a:r>
        </a:p>
      </xdr:txBody>
    </xdr:sp>
    <xdr:clientData/>
  </xdr:twoCellAnchor>
  <xdr:twoCellAnchor>
    <xdr:from>
      <xdr:col>13</xdr:col>
      <xdr:colOff>330200</xdr:colOff>
      <xdr:row>3</xdr:row>
      <xdr:rowOff>6350</xdr:rowOff>
    </xdr:from>
    <xdr:to>
      <xdr:col>15</xdr:col>
      <xdr:colOff>501650</xdr:colOff>
      <xdr:row>6</xdr:row>
      <xdr:rowOff>12700</xdr:rowOff>
    </xdr:to>
    <xdr:sp macro="" textlink="">
      <xdr:nvSpPr>
        <xdr:cNvPr id="8" name="Rectangle: Rounded Corners 7">
          <a:extLst>
            <a:ext uri="{FF2B5EF4-FFF2-40B4-BE49-F238E27FC236}">
              <a16:creationId xmlns:a16="http://schemas.microsoft.com/office/drawing/2014/main" id="{10843BFA-1EC1-0D92-7F3C-7C200AD7B007}"/>
            </a:ext>
          </a:extLst>
        </xdr:cNvPr>
        <xdr:cNvSpPr/>
      </xdr:nvSpPr>
      <xdr:spPr>
        <a:xfrm>
          <a:off x="8255000" y="558800"/>
          <a:ext cx="1390650" cy="558800"/>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GB" sz="1100"/>
            <a:t>Average Discount %</a:t>
          </a:r>
        </a:p>
        <a:p>
          <a:pPr algn="l"/>
          <a:r>
            <a:rPr lang="en-GB" sz="1100" baseline="0"/>
            <a:t>             </a:t>
          </a:r>
          <a:r>
            <a:rPr lang="en-GB" sz="1100"/>
            <a:t>36%</a:t>
          </a:r>
        </a:p>
        <a:p>
          <a:pPr algn="l"/>
          <a:endParaRPr lang="en-GB" sz="1100"/>
        </a:p>
      </xdr:txBody>
    </xdr:sp>
    <xdr:clientData/>
  </xdr:twoCellAnchor>
  <xdr:twoCellAnchor>
    <xdr:from>
      <xdr:col>8</xdr:col>
      <xdr:colOff>165100</xdr:colOff>
      <xdr:row>3</xdr:row>
      <xdr:rowOff>12700</xdr:rowOff>
    </xdr:from>
    <xdr:to>
      <xdr:col>10</xdr:col>
      <xdr:colOff>120650</xdr:colOff>
      <xdr:row>5</xdr:row>
      <xdr:rowOff>177800</xdr:rowOff>
    </xdr:to>
    <xdr:sp macro="" textlink="">
      <xdr:nvSpPr>
        <xdr:cNvPr id="10" name="Rectangle: Rounded Corners 9">
          <a:extLst>
            <a:ext uri="{FF2B5EF4-FFF2-40B4-BE49-F238E27FC236}">
              <a16:creationId xmlns:a16="http://schemas.microsoft.com/office/drawing/2014/main" id="{23512159-8189-E2BC-29B8-1A6B9F9EE730}"/>
            </a:ext>
          </a:extLst>
        </xdr:cNvPr>
        <xdr:cNvSpPr/>
      </xdr:nvSpPr>
      <xdr:spPr>
        <a:xfrm>
          <a:off x="5041900" y="565150"/>
          <a:ext cx="1174750" cy="533400"/>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GB" sz="1100"/>
            <a:t>Total Reviews</a:t>
          </a:r>
        </a:p>
        <a:p>
          <a:pPr algn="l"/>
          <a:r>
            <a:rPr lang="en-GB" sz="1100"/>
            <a:t>         57</a:t>
          </a:r>
        </a:p>
      </xdr:txBody>
    </xdr:sp>
    <xdr:clientData/>
  </xdr:twoCellAnchor>
  <xdr:twoCellAnchor>
    <xdr:from>
      <xdr:col>9</xdr:col>
      <xdr:colOff>146050</xdr:colOff>
      <xdr:row>7</xdr:row>
      <xdr:rowOff>19050</xdr:rowOff>
    </xdr:from>
    <xdr:to>
      <xdr:col>16</xdr:col>
      <xdr:colOff>463550</xdr:colOff>
      <xdr:row>21</xdr:row>
      <xdr:rowOff>19050</xdr:rowOff>
    </xdr:to>
    <xdr:graphicFrame macro="">
      <xdr:nvGraphicFramePr>
        <xdr:cNvPr id="12" name="Chart 11">
          <a:extLst>
            <a:ext uri="{FF2B5EF4-FFF2-40B4-BE49-F238E27FC236}">
              <a16:creationId xmlns:a16="http://schemas.microsoft.com/office/drawing/2014/main" id="{F578355C-2D62-4120-AF25-FB9496255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158750</xdr:colOff>
      <xdr:row>0</xdr:row>
      <xdr:rowOff>38100</xdr:rowOff>
    </xdr:from>
    <xdr:to>
      <xdr:col>14</xdr:col>
      <xdr:colOff>82550</xdr:colOff>
      <xdr:row>2</xdr:row>
      <xdr:rowOff>69850</xdr:rowOff>
    </xdr:to>
    <xdr:sp macro="" textlink="">
      <xdr:nvSpPr>
        <xdr:cNvPr id="13" name="Rectangle 12">
          <a:extLst>
            <a:ext uri="{FF2B5EF4-FFF2-40B4-BE49-F238E27FC236}">
              <a16:creationId xmlns:a16="http://schemas.microsoft.com/office/drawing/2014/main" id="{295C2F97-0DDE-FCE4-29A2-4F081AA2A411}"/>
            </a:ext>
          </a:extLst>
        </xdr:cNvPr>
        <xdr:cNvSpPr/>
      </xdr:nvSpPr>
      <xdr:spPr>
        <a:xfrm>
          <a:off x="3816350" y="38100"/>
          <a:ext cx="4800600" cy="400050"/>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GB" sz="1400" b="1"/>
            <a:t>         JUMIA PRODUCT PERFORMANCE DASHBOARD</a:t>
          </a:r>
        </a:p>
      </xdr:txBody>
    </xdr:sp>
    <xdr:clientData/>
  </xdr:twoCellAnchor>
  <xdr:twoCellAnchor>
    <xdr:from>
      <xdr:col>16</xdr:col>
      <xdr:colOff>571500</xdr:colOff>
      <xdr:row>23</xdr:row>
      <xdr:rowOff>69850</xdr:rowOff>
    </xdr:from>
    <xdr:to>
      <xdr:col>24</xdr:col>
      <xdr:colOff>203200</xdr:colOff>
      <xdr:row>38</xdr:row>
      <xdr:rowOff>12700</xdr:rowOff>
    </xdr:to>
    <xdr:graphicFrame macro="">
      <xdr:nvGraphicFramePr>
        <xdr:cNvPr id="14" name="Chart 13">
          <a:extLst>
            <a:ext uri="{FF2B5EF4-FFF2-40B4-BE49-F238E27FC236}">
              <a16:creationId xmlns:a16="http://schemas.microsoft.com/office/drawing/2014/main" id="{440AB5FE-08EC-4228-9226-FA86AA87F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184150</xdr:colOff>
      <xdr:row>27</xdr:row>
      <xdr:rowOff>31750</xdr:rowOff>
    </xdr:from>
    <xdr:to>
      <xdr:col>9</xdr:col>
      <xdr:colOff>127000</xdr:colOff>
      <xdr:row>38</xdr:row>
      <xdr:rowOff>31750</xdr:rowOff>
    </xdr:to>
    <xdr:graphicFrame macro="">
      <xdr:nvGraphicFramePr>
        <xdr:cNvPr id="15" name="Chart 14">
          <a:extLst>
            <a:ext uri="{FF2B5EF4-FFF2-40B4-BE49-F238E27FC236}">
              <a16:creationId xmlns:a16="http://schemas.microsoft.com/office/drawing/2014/main" id="{D478CAC5-5C5E-45D3-A3FC-50741384F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546100</xdr:colOff>
      <xdr:row>6</xdr:row>
      <xdr:rowOff>177800</xdr:rowOff>
    </xdr:from>
    <xdr:to>
      <xdr:col>24</xdr:col>
      <xdr:colOff>228600</xdr:colOff>
      <xdr:row>22</xdr:row>
      <xdr:rowOff>133350</xdr:rowOff>
    </xdr:to>
    <xdr:graphicFrame macro="">
      <xdr:nvGraphicFramePr>
        <xdr:cNvPr id="16" name="Chart 15">
          <a:extLst>
            <a:ext uri="{FF2B5EF4-FFF2-40B4-BE49-F238E27FC236}">
              <a16:creationId xmlns:a16="http://schemas.microsoft.com/office/drawing/2014/main" id="{4071B5E2-4F32-4B64-9B57-07A1D2782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209550</xdr:colOff>
      <xdr:row>21</xdr:row>
      <xdr:rowOff>127000</xdr:rowOff>
    </xdr:from>
    <xdr:to>
      <xdr:col>16</xdr:col>
      <xdr:colOff>508000</xdr:colOff>
      <xdr:row>38</xdr:row>
      <xdr:rowOff>6350</xdr:rowOff>
    </xdr:to>
    <xdr:graphicFrame macro="">
      <xdr:nvGraphicFramePr>
        <xdr:cNvPr id="17" name="Chart 16">
          <a:extLst>
            <a:ext uri="{FF2B5EF4-FFF2-40B4-BE49-F238E27FC236}">
              <a16:creationId xmlns:a16="http://schemas.microsoft.com/office/drawing/2014/main" id="{CC6996DE-B2BB-471F-B82F-045869153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196850</xdr:colOff>
      <xdr:row>17</xdr:row>
      <xdr:rowOff>0</xdr:rowOff>
    </xdr:from>
    <xdr:to>
      <xdr:col>9</xdr:col>
      <xdr:colOff>44450</xdr:colOff>
      <xdr:row>26</xdr:row>
      <xdr:rowOff>171450</xdr:rowOff>
    </xdr:to>
    <xdr:graphicFrame macro="">
      <xdr:nvGraphicFramePr>
        <xdr:cNvPr id="18" name="Chart 17">
          <a:extLst>
            <a:ext uri="{FF2B5EF4-FFF2-40B4-BE49-F238E27FC236}">
              <a16:creationId xmlns:a16="http://schemas.microsoft.com/office/drawing/2014/main" id="{4892CB83-851B-43A2-A74B-A416895A3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203201</xdr:colOff>
      <xdr:row>6</xdr:row>
      <xdr:rowOff>177800</xdr:rowOff>
    </xdr:from>
    <xdr:to>
      <xdr:col>9</xdr:col>
      <xdr:colOff>38101</xdr:colOff>
      <xdr:row>16</xdr:row>
      <xdr:rowOff>133350</xdr:rowOff>
    </xdr:to>
    <xdr:graphicFrame macro="">
      <xdr:nvGraphicFramePr>
        <xdr:cNvPr id="19" name="Chart 18">
          <a:extLst>
            <a:ext uri="{FF2B5EF4-FFF2-40B4-BE49-F238E27FC236}">
              <a16:creationId xmlns:a16="http://schemas.microsoft.com/office/drawing/2014/main" id="{0D1FFAD4-5118-45CC-8FC9-CBB2AECB2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25400</xdr:colOff>
      <xdr:row>15</xdr:row>
      <xdr:rowOff>31751</xdr:rowOff>
    </xdr:from>
    <xdr:to>
      <xdr:col>3</xdr:col>
      <xdr:colOff>25400</xdr:colOff>
      <xdr:row>21</xdr:row>
      <xdr:rowOff>82551</xdr:rowOff>
    </xdr:to>
    <mc:AlternateContent xmlns:mc="http://schemas.openxmlformats.org/markup-compatibility/2006">
      <mc:Choice xmlns:a14="http://schemas.microsoft.com/office/drawing/2010/main" Requires="a14">
        <xdr:graphicFrame macro="">
          <xdr:nvGraphicFramePr>
            <xdr:cNvPr id="23" name="Discount Category 1">
              <a:extLst>
                <a:ext uri="{FF2B5EF4-FFF2-40B4-BE49-F238E27FC236}">
                  <a16:creationId xmlns:a16="http://schemas.microsoft.com/office/drawing/2014/main" id="{7EE64413-8424-4124-B2E3-1C12F9542DE6}"/>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25400" y="2794001"/>
              <a:ext cx="18288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7</xdr:row>
      <xdr:rowOff>25401</xdr:rowOff>
    </xdr:from>
    <xdr:to>
      <xdr:col>3</xdr:col>
      <xdr:colOff>38100</xdr:colOff>
      <xdr:row>14</xdr:row>
      <xdr:rowOff>171451</xdr:rowOff>
    </xdr:to>
    <mc:AlternateContent xmlns:mc="http://schemas.openxmlformats.org/markup-compatibility/2006">
      <mc:Choice xmlns:a14="http://schemas.microsoft.com/office/drawing/2010/main" Requires="a14">
        <xdr:graphicFrame macro="">
          <xdr:nvGraphicFramePr>
            <xdr:cNvPr id="24" name="Rating Category 1">
              <a:extLst>
                <a:ext uri="{FF2B5EF4-FFF2-40B4-BE49-F238E27FC236}">
                  <a16:creationId xmlns:a16="http://schemas.microsoft.com/office/drawing/2014/main" id="{F571DD23-9CCE-456B-BD7A-7DA19AA3D7D7}"/>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38100" y="1314451"/>
              <a:ext cx="1828800" cy="1435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187325</xdr:colOff>
      <xdr:row>2</xdr:row>
      <xdr:rowOff>114300</xdr:rowOff>
    </xdr:from>
    <xdr:to>
      <xdr:col>9</xdr:col>
      <xdr:colOff>492125</xdr:colOff>
      <xdr:row>117</xdr:row>
      <xdr:rowOff>95250</xdr:rowOff>
    </xdr:to>
    <xdr:graphicFrame macro="">
      <xdr:nvGraphicFramePr>
        <xdr:cNvPr id="2" name="Chart 1">
          <a:extLst>
            <a:ext uri="{FF2B5EF4-FFF2-40B4-BE49-F238E27FC236}">
              <a16:creationId xmlns:a16="http://schemas.microsoft.com/office/drawing/2014/main" id="{E9FDF02C-2B8E-C152-D753-D053E3A84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50800</xdr:colOff>
      <xdr:row>2</xdr:row>
      <xdr:rowOff>38100</xdr:rowOff>
    </xdr:from>
    <xdr:to>
      <xdr:col>13</xdr:col>
      <xdr:colOff>355600</xdr:colOff>
      <xdr:row>17</xdr:row>
      <xdr:rowOff>19050</xdr:rowOff>
    </xdr:to>
    <xdr:graphicFrame macro="">
      <xdr:nvGraphicFramePr>
        <xdr:cNvPr id="3" name="Chart 2">
          <a:extLst>
            <a:ext uri="{FF2B5EF4-FFF2-40B4-BE49-F238E27FC236}">
              <a16:creationId xmlns:a16="http://schemas.microsoft.com/office/drawing/2014/main" id="{3AF99817-5F7F-4F6D-A802-65C262E67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546100</xdr:colOff>
      <xdr:row>1</xdr:row>
      <xdr:rowOff>25400</xdr:rowOff>
    </xdr:from>
    <xdr:to>
      <xdr:col>19</xdr:col>
      <xdr:colOff>374650</xdr:colOff>
      <xdr:row>20</xdr:row>
      <xdr:rowOff>114300</xdr:rowOff>
    </xdr:to>
    <xdr:graphicFrame macro="">
      <xdr:nvGraphicFramePr>
        <xdr:cNvPr id="2" name="Chart 1">
          <a:extLst>
            <a:ext uri="{FF2B5EF4-FFF2-40B4-BE49-F238E27FC236}">
              <a16:creationId xmlns:a16="http://schemas.microsoft.com/office/drawing/2014/main" id="{F433BAF8-8438-4728-8BC0-6CFCDCBE6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4.896283333335" createdVersion="8" refreshedVersion="8" minRefreshableVersion="3" recordCount="109" xr:uid="{298FB3CC-C4A7-41F1-A83B-8196D307B06E}">
  <cacheSource type="worksheet">
    <worksheetSource ref="A1:I110" sheet="Staging Data"/>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5">
      <sharedItems containsSemiMixedTypes="0" containsString="0" containsNumber="1" containsInteger="1" minValue="38" maxValue="3750" count="100">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610"/>
        <n v="2132"/>
        <n v="999"/>
        <n v="1190"/>
        <n v="671"/>
        <n v="1200"/>
        <n v="199"/>
        <n v="299"/>
        <n v="1660"/>
        <n v="1459"/>
        <n v="499"/>
        <n v="699"/>
        <n v="2799"/>
        <n v="2170"/>
        <n v="458"/>
        <n v="2115"/>
        <n v="445"/>
        <n v="325"/>
        <n v="1220"/>
        <n v="1000"/>
        <n v="3750"/>
        <n v="382"/>
        <n v="2300"/>
        <n v="345"/>
        <n v="509"/>
        <n v="968"/>
        <n v="1570"/>
        <n v="790"/>
        <n v="690"/>
        <n v="1732"/>
        <n v="230"/>
        <n v="1189"/>
        <n v="979"/>
        <n v="1460"/>
        <n v="1666"/>
        <n v="330"/>
        <n v="1466"/>
        <n v="274"/>
        <n v="1468"/>
        <n v="630"/>
        <n v="850"/>
        <n v="1300"/>
        <n v="105"/>
        <n v="899"/>
        <n v="1526"/>
        <n v="1462"/>
        <n v="248"/>
        <n v="3546"/>
        <n v="525"/>
        <n v="1080"/>
        <n v="3640"/>
        <n v="1420"/>
        <n v="1875"/>
        <n v="198"/>
        <n v="1150"/>
        <n v="1658"/>
        <n v="1768"/>
        <n v="450"/>
        <n v="169"/>
      </sharedItems>
    </cacheField>
    <cacheField name="old price" numFmtId="165">
      <sharedItems containsSemiMixedTypes="0" containsString="0" containsNumber="1" containsInteger="1" minValue="80" maxValue="6143"/>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Review" numFmtId="0">
      <sharedItems containsSemiMixedTypes="0" containsString="0" containsNumber="1" containsInteger="1" minValue="0" maxValue="69"/>
    </cacheField>
    <cacheField name="Rating(out of 5)" numFmtId="0">
      <sharedItems containsMixedTypes="1" containsNumber="1" minValue="2" maxValue="5" count="23">
        <n v="4.5"/>
        <n v="4.0999999999999996"/>
        <n v="4.5999999999999996"/>
        <n v="4.7"/>
        <n v="4.8"/>
        <n v="4"/>
        <n v="3.8"/>
        <n v="4.2"/>
        <n v="5"/>
        <n v="3.3"/>
        <s v="Not provided"/>
        <n v="4.4000000000000004"/>
        <n v="4.3"/>
        <n v="2.5"/>
        <n v="3"/>
        <n v="2.1"/>
        <n v="2.8"/>
        <n v="2.7"/>
        <n v="2.9"/>
        <n v="2.2000000000000002"/>
        <n v="2.2999999999999998"/>
        <n v="2.6"/>
        <n v="2"/>
      </sharedItems>
    </cacheField>
    <cacheField name="Rating Category" numFmtId="0">
      <sharedItems count="4">
        <s v="Excellent"/>
        <s v="Average"/>
        <s v="N/A"/>
        <s v="Poor"/>
      </sharedItems>
    </cacheField>
    <cacheField name="Discount Amount" numFmtId="165">
      <sharedItems containsSemiMixedTypes="0" containsString="0" containsNumber="1" containsInteger="1" minValue="24" maxValue="2585"/>
    </cacheField>
    <cacheField name="Discount Category" numFmtId="0">
      <sharedItems count="3">
        <s v="Medium Discount"/>
        <s v="High Discount"/>
        <s v="Low Discount"/>
      </sharedItems>
    </cacheField>
  </cacheFields>
  <extLst>
    <ext xmlns:x14="http://schemas.microsoft.com/office/spreadsheetml/2009/9/main" uri="{725AE2AE-9491-48be-B2B4-4EB974FC3084}">
      <x14:pivotCacheDefinition pivotCacheId="1101902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x v="0"/>
    <n v="1525"/>
    <x v="0"/>
    <n v="2"/>
    <x v="0"/>
    <x v="0"/>
    <n v="575"/>
    <x v="0"/>
  </r>
  <r>
    <x v="1"/>
    <x v="1"/>
    <n v="999"/>
    <x v="1"/>
    <n v="14"/>
    <x v="1"/>
    <x v="1"/>
    <n v="472"/>
    <x v="1"/>
  </r>
  <r>
    <x v="2"/>
    <x v="2"/>
    <n v="2923"/>
    <x v="2"/>
    <n v="24"/>
    <x v="2"/>
    <x v="0"/>
    <n v="724"/>
    <x v="0"/>
  </r>
  <r>
    <x v="3"/>
    <x v="3"/>
    <n v="2499"/>
    <x v="3"/>
    <n v="7"/>
    <x v="3"/>
    <x v="0"/>
    <n v="919"/>
    <x v="0"/>
  </r>
  <r>
    <x v="4"/>
    <x v="4"/>
    <n v="2356"/>
    <x v="4"/>
    <n v="5"/>
    <x v="4"/>
    <x v="0"/>
    <n v="616"/>
    <x v="0"/>
  </r>
  <r>
    <x v="5"/>
    <x v="5"/>
    <n v="3290"/>
    <x v="5"/>
    <n v="15"/>
    <x v="5"/>
    <x v="1"/>
    <n v="291"/>
    <x v="2"/>
  </r>
  <r>
    <x v="6"/>
    <x v="6"/>
    <n v="3032"/>
    <x v="6"/>
    <n v="55"/>
    <x v="2"/>
    <x v="0"/>
    <n v="713"/>
    <x v="0"/>
  </r>
  <r>
    <x v="7"/>
    <x v="7"/>
    <n v="1580"/>
    <x v="3"/>
    <n v="2"/>
    <x v="5"/>
    <x v="1"/>
    <n v="592"/>
    <x v="0"/>
  </r>
  <r>
    <x v="8"/>
    <x v="8"/>
    <n v="2800"/>
    <x v="7"/>
    <n v="5"/>
    <x v="4"/>
    <x v="0"/>
    <n v="1526"/>
    <x v="1"/>
  </r>
  <r>
    <x v="9"/>
    <x v="9"/>
    <n v="2929"/>
    <x v="8"/>
    <n v="5"/>
    <x v="6"/>
    <x v="1"/>
    <n v="1329"/>
    <x v="1"/>
  </r>
  <r>
    <x v="10"/>
    <x v="10"/>
    <n v="999"/>
    <x v="9"/>
    <n v="12"/>
    <x v="1"/>
    <x v="1"/>
    <n v="200"/>
    <x v="0"/>
  </r>
  <r>
    <x v="11"/>
    <x v="11"/>
    <n v="1500"/>
    <x v="10"/>
    <n v="39"/>
    <x v="3"/>
    <x v="0"/>
    <n v="510"/>
    <x v="0"/>
  </r>
  <r>
    <x v="12"/>
    <x v="12"/>
    <n v="1035"/>
    <x v="1"/>
    <n v="12"/>
    <x v="4"/>
    <x v="0"/>
    <n v="483"/>
    <x v="1"/>
  </r>
  <r>
    <x v="13"/>
    <x v="13"/>
    <n v="860"/>
    <x v="11"/>
    <n v="6"/>
    <x v="0"/>
    <x v="0"/>
    <n v="359"/>
    <x v="1"/>
  </r>
  <r>
    <x v="14"/>
    <x v="14"/>
    <n v="2499"/>
    <x v="12"/>
    <n v="9"/>
    <x v="7"/>
    <x v="1"/>
    <n v="819"/>
    <x v="0"/>
  </r>
  <r>
    <x v="15"/>
    <x v="15"/>
    <n v="684"/>
    <x v="13"/>
    <n v="2"/>
    <x v="8"/>
    <x v="0"/>
    <n v="352"/>
    <x v="1"/>
  </r>
  <r>
    <x v="16"/>
    <x v="16"/>
    <n v="360"/>
    <x v="14"/>
    <n v="2"/>
    <x v="8"/>
    <x v="0"/>
    <n v="165"/>
    <x v="1"/>
  </r>
  <r>
    <x v="17"/>
    <x v="17"/>
    <n v="3971"/>
    <x v="15"/>
    <n v="3"/>
    <x v="8"/>
    <x v="0"/>
    <n v="1946"/>
    <x v="1"/>
  </r>
  <r>
    <x v="18"/>
    <x v="5"/>
    <n v="3699"/>
    <x v="16"/>
    <n v="5"/>
    <x v="2"/>
    <x v="0"/>
    <n v="700"/>
    <x v="2"/>
  </r>
  <r>
    <x v="19"/>
    <x v="18"/>
    <n v="1966"/>
    <x v="15"/>
    <n v="44"/>
    <x v="2"/>
    <x v="0"/>
    <n v="968"/>
    <x v="1"/>
  </r>
  <r>
    <x v="20"/>
    <x v="19"/>
    <n v="80"/>
    <x v="17"/>
    <n v="13"/>
    <x v="9"/>
    <x v="1"/>
    <n v="42"/>
    <x v="1"/>
  </r>
  <r>
    <x v="21"/>
    <x v="20"/>
    <n v="3220"/>
    <x v="11"/>
    <n v="0"/>
    <x v="10"/>
    <x v="2"/>
    <n v="1360"/>
    <x v="1"/>
  </r>
  <r>
    <x v="22"/>
    <x v="21"/>
    <n v="1350"/>
    <x v="18"/>
    <n v="6"/>
    <x v="5"/>
    <x v="1"/>
    <n v="470"/>
    <x v="0"/>
  </r>
  <r>
    <x v="23"/>
    <x v="22"/>
    <n v="2150"/>
    <x v="19"/>
    <n v="14"/>
    <x v="11"/>
    <x v="1"/>
    <n v="500"/>
    <x v="0"/>
  </r>
  <r>
    <x v="24"/>
    <x v="23"/>
    <n v="4500"/>
    <x v="20"/>
    <n v="7"/>
    <x v="12"/>
    <x v="1"/>
    <n v="2452"/>
    <x v="1"/>
  </r>
  <r>
    <x v="25"/>
    <x v="24"/>
    <n v="647"/>
    <x v="18"/>
    <n v="49"/>
    <x v="2"/>
    <x v="0"/>
    <n v="227"/>
    <x v="0"/>
  </r>
  <r>
    <x v="26"/>
    <x v="25"/>
    <n v="3520"/>
    <x v="21"/>
    <n v="12"/>
    <x v="6"/>
    <x v="1"/>
    <n v="640"/>
    <x v="2"/>
  </r>
  <r>
    <x v="27"/>
    <x v="26"/>
    <n v="1990"/>
    <x v="22"/>
    <n v="13"/>
    <x v="6"/>
    <x v="1"/>
    <n v="640"/>
    <x v="0"/>
  </r>
  <r>
    <x v="28"/>
    <x v="27"/>
    <n v="2499"/>
    <x v="23"/>
    <n v="20"/>
    <x v="1"/>
    <x v="1"/>
    <n v="741"/>
    <x v="0"/>
  </r>
  <r>
    <x v="29"/>
    <x v="28"/>
    <n v="4080"/>
    <x v="14"/>
    <n v="0"/>
    <x v="10"/>
    <x v="2"/>
    <n v="1880"/>
    <x v="1"/>
  </r>
  <r>
    <x v="30"/>
    <x v="29"/>
    <n v="382"/>
    <x v="24"/>
    <n v="9"/>
    <x v="12"/>
    <x v="1"/>
    <n v="197"/>
    <x v="1"/>
  </r>
  <r>
    <x v="31"/>
    <x v="30"/>
    <n v="1490"/>
    <x v="10"/>
    <n v="12"/>
    <x v="3"/>
    <x v="0"/>
    <n v="510"/>
    <x v="0"/>
  </r>
  <r>
    <x v="32"/>
    <x v="31"/>
    <n v="3490"/>
    <x v="25"/>
    <n v="9"/>
    <x v="12"/>
    <x v="1"/>
    <n v="1670"/>
    <x v="1"/>
  </r>
  <r>
    <x v="33"/>
    <x v="32"/>
    <n v="2650"/>
    <x v="26"/>
    <n v="20"/>
    <x v="3"/>
    <x v="0"/>
    <n v="710"/>
    <x v="0"/>
  </r>
  <r>
    <x v="34"/>
    <x v="33"/>
    <n v="2699"/>
    <x v="26"/>
    <n v="32"/>
    <x v="0"/>
    <x v="0"/>
    <n v="719"/>
    <x v="0"/>
  </r>
  <r>
    <x v="35"/>
    <x v="34"/>
    <n v="2690"/>
    <x v="27"/>
    <n v="1"/>
    <x v="8"/>
    <x v="0"/>
    <n v="1070"/>
    <x v="0"/>
  </r>
  <r>
    <x v="36"/>
    <x v="35"/>
    <n v="360"/>
    <x v="17"/>
    <n v="2"/>
    <x v="8"/>
    <x v="0"/>
    <n v="189"/>
    <x v="1"/>
  </r>
  <r>
    <x v="37"/>
    <x v="36"/>
    <n v="656"/>
    <x v="28"/>
    <n v="36"/>
    <x v="12"/>
    <x v="1"/>
    <n v="267"/>
    <x v="1"/>
  </r>
  <r>
    <x v="38"/>
    <x v="37"/>
    <n v="2700"/>
    <x v="0"/>
    <n v="2"/>
    <x v="0"/>
    <x v="0"/>
    <n v="900"/>
    <x v="0"/>
  </r>
  <r>
    <x v="39"/>
    <x v="38"/>
    <n v="4471"/>
    <x v="0"/>
    <n v="0"/>
    <x v="10"/>
    <x v="2"/>
    <n v="1721"/>
    <x v="0"/>
  </r>
  <r>
    <x v="40"/>
    <x v="39"/>
    <n v="931"/>
    <x v="15"/>
    <n v="0"/>
    <x v="10"/>
    <x v="2"/>
    <n v="456"/>
    <x v="1"/>
  </r>
  <r>
    <x v="41"/>
    <x v="40"/>
    <n v="476"/>
    <x v="29"/>
    <n v="0"/>
    <x v="10"/>
    <x v="2"/>
    <n v="238"/>
    <x v="1"/>
  </r>
  <r>
    <x v="42"/>
    <x v="41"/>
    <n v="1060"/>
    <x v="11"/>
    <n v="0"/>
    <x v="10"/>
    <x v="2"/>
    <n v="450"/>
    <x v="1"/>
  </r>
  <r>
    <x v="43"/>
    <x v="42"/>
    <n v="2169"/>
    <x v="30"/>
    <n v="0"/>
    <x v="10"/>
    <x v="2"/>
    <n v="37"/>
    <x v="2"/>
  </r>
  <r>
    <x v="44"/>
    <x v="43"/>
    <n v="2000"/>
    <x v="29"/>
    <n v="0"/>
    <x v="10"/>
    <x v="2"/>
    <n v="1001"/>
    <x v="1"/>
  </r>
  <r>
    <x v="45"/>
    <x v="44"/>
    <n v="1785"/>
    <x v="12"/>
    <n v="0"/>
    <x v="10"/>
    <x v="2"/>
    <n v="595"/>
    <x v="0"/>
  </r>
  <r>
    <x v="46"/>
    <x v="45"/>
    <n v="1316"/>
    <x v="15"/>
    <n v="0"/>
    <x v="10"/>
    <x v="2"/>
    <n v="645"/>
    <x v="1"/>
  </r>
  <r>
    <x v="47"/>
    <x v="46"/>
    <n v="1950"/>
    <x v="0"/>
    <n v="0"/>
    <x v="10"/>
    <x v="2"/>
    <n v="750"/>
    <x v="0"/>
  </r>
  <r>
    <x v="48"/>
    <x v="47"/>
    <n v="504"/>
    <x v="31"/>
    <n v="0"/>
    <x v="10"/>
    <x v="2"/>
    <n v="305"/>
    <x v="1"/>
  </r>
  <r>
    <x v="49"/>
    <x v="48"/>
    <n v="600"/>
    <x v="29"/>
    <n v="0"/>
    <x v="10"/>
    <x v="2"/>
    <n v="301"/>
    <x v="1"/>
  </r>
  <r>
    <x v="50"/>
    <x v="49"/>
    <n v="1699"/>
    <x v="30"/>
    <n v="0"/>
    <x v="10"/>
    <x v="2"/>
    <n v="39"/>
    <x v="2"/>
  </r>
  <r>
    <x v="51"/>
    <x v="48"/>
    <n v="384"/>
    <x v="32"/>
    <n v="0"/>
    <x v="10"/>
    <x v="2"/>
    <n v="85"/>
    <x v="0"/>
  </r>
  <r>
    <x v="52"/>
    <x v="50"/>
    <n v="1499"/>
    <x v="33"/>
    <n v="0"/>
    <x v="10"/>
    <x v="2"/>
    <n v="40"/>
    <x v="2"/>
  </r>
  <r>
    <x v="53"/>
    <x v="10"/>
    <n v="1343"/>
    <x v="28"/>
    <n v="0"/>
    <x v="10"/>
    <x v="2"/>
    <n v="544"/>
    <x v="1"/>
  </r>
  <r>
    <x v="54"/>
    <x v="51"/>
    <n v="900"/>
    <x v="8"/>
    <n v="0"/>
    <x v="10"/>
    <x v="2"/>
    <n v="401"/>
    <x v="1"/>
  </r>
  <r>
    <x v="55"/>
    <x v="52"/>
    <n v="1343"/>
    <x v="25"/>
    <n v="0"/>
    <x v="10"/>
    <x v="2"/>
    <n v="644"/>
    <x v="1"/>
  </r>
  <r>
    <x v="56"/>
    <x v="10"/>
    <n v="1567"/>
    <x v="15"/>
    <n v="0"/>
    <x v="10"/>
    <x v="2"/>
    <n v="768"/>
    <x v="1"/>
  </r>
  <r>
    <x v="57"/>
    <x v="53"/>
    <n v="3810"/>
    <x v="26"/>
    <n v="0"/>
    <x v="10"/>
    <x v="2"/>
    <n v="1011"/>
    <x v="0"/>
  </r>
  <r>
    <x v="58"/>
    <x v="54"/>
    <n v="2500"/>
    <x v="34"/>
    <n v="6"/>
    <x v="13"/>
    <x v="3"/>
    <n v="330"/>
    <x v="2"/>
  </r>
  <r>
    <x v="59"/>
    <x v="55"/>
    <n v="986"/>
    <x v="20"/>
    <n v="10"/>
    <x v="14"/>
    <x v="1"/>
    <n v="528"/>
    <x v="1"/>
  </r>
  <r>
    <x v="60"/>
    <x v="56"/>
    <n v="4700"/>
    <x v="7"/>
    <n v="13"/>
    <x v="15"/>
    <x v="3"/>
    <n v="2585"/>
    <x v="1"/>
  </r>
  <r>
    <x v="61"/>
    <x v="57"/>
    <n v="873"/>
    <x v="15"/>
    <n v="69"/>
    <x v="16"/>
    <x v="3"/>
    <n v="428"/>
    <x v="1"/>
  </r>
  <r>
    <x v="62"/>
    <x v="58"/>
    <n v="680"/>
    <x v="24"/>
    <n v="15"/>
    <x v="17"/>
    <x v="3"/>
    <n v="355"/>
    <x v="1"/>
  </r>
  <r>
    <x v="63"/>
    <x v="59"/>
    <n v="1555"/>
    <x v="32"/>
    <n v="16"/>
    <x v="18"/>
    <x v="3"/>
    <n v="335"/>
    <x v="0"/>
  </r>
  <r>
    <x v="64"/>
    <x v="11"/>
    <n v="1814"/>
    <x v="8"/>
    <n v="6"/>
    <x v="19"/>
    <x v="3"/>
    <n v="824"/>
    <x v="1"/>
  </r>
  <r>
    <x v="65"/>
    <x v="60"/>
    <n v="2000"/>
    <x v="29"/>
    <n v="7"/>
    <x v="20"/>
    <x v="3"/>
    <n v="1000"/>
    <x v="1"/>
  </r>
  <r>
    <x v="66"/>
    <x v="61"/>
    <n v="6143"/>
    <x v="35"/>
    <n v="5"/>
    <x v="14"/>
    <x v="1"/>
    <n v="2393"/>
    <x v="0"/>
  </r>
  <r>
    <x v="67"/>
    <x v="62"/>
    <n v="700"/>
    <x v="8"/>
    <n v="17"/>
    <x v="21"/>
    <x v="3"/>
    <n v="318"/>
    <x v="1"/>
  </r>
  <r>
    <x v="68"/>
    <x v="63"/>
    <n v="3240"/>
    <x v="36"/>
    <n v="5"/>
    <x v="14"/>
    <x v="1"/>
    <n v="940"/>
    <x v="0"/>
  </r>
  <r>
    <x v="69"/>
    <x v="64"/>
    <n v="602"/>
    <x v="37"/>
    <n v="6"/>
    <x v="20"/>
    <x v="3"/>
    <n v="257"/>
    <x v="1"/>
  </r>
  <r>
    <x v="70"/>
    <x v="65"/>
    <n v="899"/>
    <x v="37"/>
    <n v="5"/>
    <x v="14"/>
    <x v="1"/>
    <n v="390"/>
    <x v="1"/>
  </r>
  <r>
    <x v="71"/>
    <x v="66"/>
    <n v="1814"/>
    <x v="1"/>
    <n v="6"/>
    <x v="19"/>
    <x v="3"/>
    <n v="846"/>
    <x v="1"/>
  </r>
  <r>
    <x v="72"/>
    <x v="67"/>
    <n v="2988"/>
    <x v="1"/>
    <n v="7"/>
    <x v="15"/>
    <x v="3"/>
    <n v="1418"/>
    <x v="1"/>
  </r>
  <r>
    <x v="73"/>
    <x v="68"/>
    <n v="1485"/>
    <x v="1"/>
    <n v="0"/>
    <x v="10"/>
    <x v="2"/>
    <n v="695"/>
    <x v="1"/>
  </r>
  <r>
    <x v="74"/>
    <x v="69"/>
    <n v="1200"/>
    <x v="37"/>
    <n v="0"/>
    <x v="10"/>
    <x v="2"/>
    <n v="510"/>
    <x v="1"/>
  </r>
  <r>
    <x v="75"/>
    <x v="70"/>
    <n v="1799"/>
    <x v="38"/>
    <n v="0"/>
    <x v="10"/>
    <x v="2"/>
    <n v="67"/>
    <x v="2"/>
  </r>
  <r>
    <x v="76"/>
    <x v="71"/>
    <n v="450"/>
    <x v="15"/>
    <n v="0"/>
    <x v="10"/>
    <x v="2"/>
    <n v="220"/>
    <x v="1"/>
  </r>
  <r>
    <x v="77"/>
    <x v="72"/>
    <n v="2199"/>
    <x v="14"/>
    <n v="1"/>
    <x v="14"/>
    <x v="1"/>
    <n v="1010"/>
    <x v="1"/>
  </r>
  <r>
    <x v="78"/>
    <x v="73"/>
    <n v="1920"/>
    <x v="15"/>
    <n v="1"/>
    <x v="8"/>
    <x v="0"/>
    <n v="941"/>
    <x v="1"/>
  </r>
  <r>
    <x v="79"/>
    <x v="74"/>
    <n v="2290"/>
    <x v="39"/>
    <n v="0"/>
    <x v="10"/>
    <x v="2"/>
    <n v="830"/>
    <x v="0"/>
  </r>
  <r>
    <x v="80"/>
    <x v="75"/>
    <n v="1699"/>
    <x v="30"/>
    <n v="0"/>
    <x v="10"/>
    <x v="2"/>
    <n v="33"/>
    <x v="2"/>
  </r>
  <r>
    <x v="81"/>
    <x v="76"/>
    <n v="647"/>
    <x v="15"/>
    <n v="1"/>
    <x v="5"/>
    <x v="1"/>
    <n v="317"/>
    <x v="1"/>
  </r>
  <r>
    <x v="82"/>
    <x v="77"/>
    <n v="1699"/>
    <x v="40"/>
    <n v="0"/>
    <x v="10"/>
    <x v="2"/>
    <n v="233"/>
    <x v="2"/>
  </r>
  <r>
    <x v="83"/>
    <x v="78"/>
    <n v="537"/>
    <x v="15"/>
    <n v="0"/>
    <x v="10"/>
    <x v="2"/>
    <n v="263"/>
    <x v="1"/>
  </r>
  <r>
    <x v="84"/>
    <x v="10"/>
    <n v="900"/>
    <x v="41"/>
    <n v="0"/>
    <x v="10"/>
    <x v="2"/>
    <n v="101"/>
    <x v="2"/>
  </r>
  <r>
    <x v="85"/>
    <x v="79"/>
    <n v="1699"/>
    <x v="40"/>
    <n v="0"/>
    <x v="10"/>
    <x v="2"/>
    <n v="231"/>
    <x v="2"/>
  </r>
  <r>
    <x v="86"/>
    <x v="80"/>
    <n v="1100"/>
    <x v="37"/>
    <n v="0"/>
    <x v="10"/>
    <x v="2"/>
    <n v="470"/>
    <x v="1"/>
  </r>
  <r>
    <x v="87"/>
    <x v="81"/>
    <n v="1700"/>
    <x v="29"/>
    <n v="0"/>
    <x v="10"/>
    <x v="2"/>
    <n v="850"/>
    <x v="1"/>
  </r>
  <r>
    <x v="88"/>
    <x v="82"/>
    <n v="2500"/>
    <x v="25"/>
    <n v="0"/>
    <x v="10"/>
    <x v="2"/>
    <n v="1200"/>
    <x v="1"/>
  </r>
  <r>
    <x v="89"/>
    <x v="83"/>
    <n v="200"/>
    <x v="25"/>
    <n v="0"/>
    <x v="10"/>
    <x v="2"/>
    <n v="95"/>
    <x v="1"/>
  </r>
  <r>
    <x v="90"/>
    <x v="84"/>
    <n v="1699"/>
    <x v="1"/>
    <n v="0"/>
    <x v="10"/>
    <x v="2"/>
    <n v="800"/>
    <x v="1"/>
  </r>
  <r>
    <x v="91"/>
    <x v="46"/>
    <n v="2400"/>
    <x v="29"/>
    <n v="0"/>
    <x v="10"/>
    <x v="2"/>
    <n v="1200"/>
    <x v="1"/>
  </r>
  <r>
    <x v="92"/>
    <x v="85"/>
    <n v="1660"/>
    <x v="42"/>
    <n v="0"/>
    <x v="10"/>
    <x v="2"/>
    <n v="134"/>
    <x v="2"/>
  </r>
  <r>
    <x v="93"/>
    <x v="86"/>
    <n v="1499"/>
    <x v="30"/>
    <n v="0"/>
    <x v="10"/>
    <x v="2"/>
    <n v="37"/>
    <x v="2"/>
  </r>
  <r>
    <x v="94"/>
    <x v="87"/>
    <n v="486"/>
    <x v="15"/>
    <n v="0"/>
    <x v="10"/>
    <x v="2"/>
    <n v="238"/>
    <x v="1"/>
  </r>
  <r>
    <x v="95"/>
    <x v="88"/>
    <n v="3699"/>
    <x v="38"/>
    <n v="0"/>
    <x v="10"/>
    <x v="2"/>
    <n v="153"/>
    <x v="2"/>
  </r>
  <r>
    <x v="96"/>
    <x v="89"/>
    <n v="1029"/>
    <x v="15"/>
    <n v="0"/>
    <x v="10"/>
    <x v="2"/>
    <n v="504"/>
    <x v="1"/>
  </r>
  <r>
    <x v="97"/>
    <x v="90"/>
    <n v="1874"/>
    <x v="11"/>
    <n v="0"/>
    <x v="10"/>
    <x v="2"/>
    <n v="794"/>
    <x v="1"/>
  </r>
  <r>
    <x v="98"/>
    <x v="91"/>
    <n v="4588"/>
    <x v="43"/>
    <n v="1"/>
    <x v="8"/>
    <x v="0"/>
    <n v="948"/>
    <x v="0"/>
  </r>
  <r>
    <x v="99"/>
    <x v="92"/>
    <n v="2420"/>
    <x v="28"/>
    <n v="0"/>
    <x v="10"/>
    <x v="2"/>
    <n v="1000"/>
    <x v="1"/>
  </r>
  <r>
    <x v="100"/>
    <x v="93"/>
    <n v="1899"/>
    <x v="44"/>
    <n v="0"/>
    <x v="10"/>
    <x v="2"/>
    <n v="24"/>
    <x v="2"/>
  </r>
  <r>
    <x v="101"/>
    <x v="94"/>
    <n v="260"/>
    <x v="6"/>
    <n v="0"/>
    <x v="10"/>
    <x v="2"/>
    <n v="62"/>
    <x v="0"/>
  </r>
  <r>
    <x v="102"/>
    <x v="95"/>
    <n v="1737"/>
    <x v="10"/>
    <n v="0"/>
    <x v="10"/>
    <x v="2"/>
    <n v="587"/>
    <x v="0"/>
  </r>
  <r>
    <x v="103"/>
    <x v="44"/>
    <n v="1810"/>
    <x v="10"/>
    <n v="0"/>
    <x v="10"/>
    <x v="2"/>
    <n v="620"/>
    <x v="0"/>
  </r>
  <r>
    <x v="104"/>
    <x v="96"/>
    <n v="1699"/>
    <x v="30"/>
    <n v="0"/>
    <x v="10"/>
    <x v="2"/>
    <n v="41"/>
    <x v="2"/>
  </r>
  <r>
    <x v="105"/>
    <x v="97"/>
    <n v="1799"/>
    <x v="30"/>
    <n v="0"/>
    <x v="10"/>
    <x v="2"/>
    <n v="31"/>
    <x v="2"/>
  </r>
  <r>
    <x v="106"/>
    <x v="47"/>
    <n v="553"/>
    <x v="45"/>
    <n v="0"/>
    <x v="10"/>
    <x v="2"/>
    <n v="354"/>
    <x v="1"/>
  </r>
  <r>
    <x v="107"/>
    <x v="98"/>
    <n v="900"/>
    <x v="29"/>
    <n v="1"/>
    <x v="22"/>
    <x v="3"/>
    <n v="450"/>
    <x v="1"/>
  </r>
  <r>
    <x v="108"/>
    <x v="99"/>
    <n v="320"/>
    <x v="1"/>
    <n v="0"/>
    <x v="10"/>
    <x v="2"/>
    <n v="15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D22004-1E8F-4310-84F1-30121B871D0D}"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pivotFields count="9">
    <pivotField showAll="0"/>
    <pivotField numFmtId="165" showAll="0"/>
    <pivotField numFmtId="165" showAll="0"/>
    <pivotField dataField="1" numFmtId="9" showAll="0"/>
    <pivotField showAll="0"/>
    <pivotField dataField="1" showAll="0"/>
    <pivotField showAll="0"/>
    <pivotField dataField="1" numFmtId="165" showAll="0"/>
    <pivotField axis="axisRow" showAll="0">
      <items count="4">
        <item x="1"/>
        <item x="2"/>
        <item x="0"/>
        <item t="default"/>
      </items>
    </pivotField>
  </pivotFields>
  <rowFields count="1">
    <field x="8"/>
  </rowFields>
  <rowItems count="4">
    <i>
      <x/>
    </i>
    <i>
      <x v="1"/>
    </i>
    <i>
      <x v="2"/>
    </i>
    <i t="grand">
      <x/>
    </i>
  </rowItems>
  <colFields count="1">
    <field x="-2"/>
  </colFields>
  <colItems count="3">
    <i>
      <x/>
    </i>
    <i i="1">
      <x v="1"/>
    </i>
    <i i="2">
      <x v="2"/>
    </i>
  </colItems>
  <dataFields count="3">
    <dataField name="Average of Discount" fld="3" subtotal="average" baseField="8" baseItem="0" numFmtId="9"/>
    <dataField name="Average of Rating(out of 5)" fld="5" subtotal="average" baseField="8" baseItem="0"/>
    <dataField name="Average of Discount Amount" fld="7" subtotal="average" baseField="8"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30772A-41E8-4F3C-8AEB-1ED987F80D26}"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9">
    <pivotField dataField="1" showAll="0"/>
    <pivotField numFmtId="165" showAll="0">
      <items count="101">
        <item x="19"/>
        <item x="83"/>
        <item x="99"/>
        <item x="35"/>
        <item x="29"/>
        <item x="16"/>
        <item x="94"/>
        <item x="47"/>
        <item x="71"/>
        <item x="40"/>
        <item x="87"/>
        <item x="78"/>
        <item x="48"/>
        <item x="58"/>
        <item x="76"/>
        <item x="15"/>
        <item x="64"/>
        <item x="62"/>
        <item x="36"/>
        <item x="24"/>
        <item x="57"/>
        <item x="98"/>
        <item x="55"/>
        <item x="39"/>
        <item x="51"/>
        <item x="13"/>
        <item x="65"/>
        <item x="89"/>
        <item x="1"/>
        <item x="12"/>
        <item x="41"/>
        <item x="80"/>
        <item x="45"/>
        <item x="69"/>
        <item x="52"/>
        <item x="68"/>
        <item x="10"/>
        <item x="81"/>
        <item x="21"/>
        <item x="84"/>
        <item x="0"/>
        <item x="66"/>
        <item x="73"/>
        <item x="30"/>
        <item x="7"/>
        <item x="11"/>
        <item x="18"/>
        <item x="43"/>
        <item x="60"/>
        <item x="90"/>
        <item x="95"/>
        <item x="72"/>
        <item x="44"/>
        <item x="46"/>
        <item x="59"/>
        <item x="8"/>
        <item x="82"/>
        <item x="26"/>
        <item x="92"/>
        <item x="50"/>
        <item x="74"/>
        <item x="86"/>
        <item x="77"/>
        <item x="79"/>
        <item x="85"/>
        <item x="67"/>
        <item x="3"/>
        <item x="9"/>
        <item x="34"/>
        <item x="22"/>
        <item x="96"/>
        <item x="49"/>
        <item x="75"/>
        <item x="14"/>
        <item x="70"/>
        <item x="4"/>
        <item x="27"/>
        <item x="97"/>
        <item x="37"/>
        <item x="31"/>
        <item x="20"/>
        <item x="93"/>
        <item x="32"/>
        <item x="33"/>
        <item x="17"/>
        <item x="23"/>
        <item x="56"/>
        <item x="42"/>
        <item x="54"/>
        <item x="2"/>
        <item x="28"/>
        <item x="63"/>
        <item x="6"/>
        <item x="38"/>
        <item x="53"/>
        <item x="25"/>
        <item x="5"/>
        <item x="88"/>
        <item x="91"/>
        <item x="61"/>
        <item t="default"/>
      </items>
    </pivotField>
    <pivotField numFmtId="165" showAll="0"/>
    <pivotField numFmtId="9" showAll="0"/>
    <pivotField showAll="0"/>
    <pivotField showAll="0"/>
    <pivotField axis="axisRow" showAll="0">
      <items count="5">
        <item x="1"/>
        <item x="0"/>
        <item x="2"/>
        <item x="3"/>
        <item t="default"/>
      </items>
    </pivotField>
    <pivotField numFmtId="165" showAll="0"/>
    <pivotField showAll="0"/>
  </pivotFields>
  <rowFields count="1">
    <field x="6"/>
  </rowFields>
  <rowItems count="5">
    <i>
      <x/>
    </i>
    <i>
      <x v="1"/>
    </i>
    <i>
      <x v="2"/>
    </i>
    <i>
      <x v="3"/>
    </i>
    <i t="grand">
      <x/>
    </i>
  </rowItems>
  <colItems count="1">
    <i/>
  </colItems>
  <dataFields count="1">
    <dataField name="Count of Product" fld="0" subtotal="count" baseField="0" baseItem="0"/>
  </dataFields>
  <chartFormats count="6">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6" count="1" selected="0">
            <x v="0"/>
          </reference>
        </references>
      </pivotArea>
    </chartFormat>
    <chartFormat chart="7" format="8">
      <pivotArea type="data" outline="0" fieldPosition="0">
        <references count="2">
          <reference field="4294967294" count="1" selected="0">
            <x v="0"/>
          </reference>
          <reference field="6" count="1" selected="0">
            <x v="1"/>
          </reference>
        </references>
      </pivotArea>
    </chartFormat>
    <chartFormat chart="7" format="9">
      <pivotArea type="data" outline="0" fieldPosition="0">
        <references count="2">
          <reference field="4294967294" count="1" selected="0">
            <x v="0"/>
          </reference>
          <reference field="6" count="1" selected="0">
            <x v="2"/>
          </reference>
        </references>
      </pivotArea>
    </chartFormat>
    <chartFormat chart="7"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7F0DD3-28B8-4F33-A26C-0F165485D06D}"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0" firstHeaderRow="1" firstDataRow="1" firstDataCol="1"/>
  <pivotFields count="9">
    <pivotField showAll="0"/>
    <pivotField numFmtId="165" showAll="0"/>
    <pivotField numFmtId="165" showAll="0"/>
    <pivotField axis="axisRow"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dataField="1" showAll="0"/>
    <pivotField showAll="0"/>
    <pivotField showAll="0"/>
    <pivotField numFmtId="165" showAll="0"/>
    <pivotField showAll="0"/>
  </pivotFields>
  <rowFields count="1">
    <field x="3"/>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Average of Review" fld="4" subtotal="average" baseField="3"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4F6718-A408-46BF-9D73-D85CDBB8BB2C}"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ating">
  <location ref="A3:B27" firstHeaderRow="1" firstDataRow="1" firstDataCol="1"/>
  <pivotFields count="9">
    <pivotField showAll="0"/>
    <pivotField numFmtId="165" showAll="0"/>
    <pivotField numFmtId="165" showAll="0"/>
    <pivotField numFmtId="9" showAll="0"/>
    <pivotField dataField="1" showAll="0"/>
    <pivotField axis="axisRow"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numFmtId="165" showAll="0"/>
    <pivotField showAll="0"/>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Average of Review" fld="4" subtotal="average" baseField="5" baseItem="0"/>
  </dataFields>
  <formats count="3">
    <format dxfId="5">
      <pivotArea field="5" type="button" dataOnly="0" labelOnly="1" outline="0" axis="axisRow" fieldPosition="0"/>
    </format>
    <format dxfId="4">
      <pivotArea dataOnly="0" labelOnly="1" fieldPosition="0">
        <references count="1">
          <reference field="5" count="0"/>
        </references>
      </pivotArea>
    </format>
    <format dxfId="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B07ACE-FBC9-4450-94AA-F1CDBD1F22F4}"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9">
    <pivotField showAll="0"/>
    <pivotField numFmtId="165" showAll="0"/>
    <pivotField numFmtId="165" showAll="0"/>
    <pivotField numFmtId="9" showAll="0"/>
    <pivotField dataField="1" showAll="0"/>
    <pivotField dataField="1" showAll="0"/>
    <pivotField showAll="0"/>
    <pivotField numFmtId="165" showAll="0"/>
    <pivotField axis="axisRow" showAll="0">
      <items count="4">
        <item x="1"/>
        <item x="2"/>
        <item h="1" x="0"/>
        <item t="default"/>
      </items>
    </pivotField>
  </pivotFields>
  <rowFields count="1">
    <field x="8"/>
  </rowFields>
  <rowItems count="3">
    <i>
      <x/>
    </i>
    <i>
      <x v="1"/>
    </i>
    <i t="grand">
      <x/>
    </i>
  </rowItems>
  <colFields count="1">
    <field x="-2"/>
  </colFields>
  <colItems count="2">
    <i>
      <x/>
    </i>
    <i i="1">
      <x v="1"/>
    </i>
  </colItems>
  <dataFields count="2">
    <dataField name="Average of Rating(out of 5)" fld="5" subtotal="average" baseField="8" baseItem="0"/>
    <dataField name="Average of Review" fld="4"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A602ED-3B46-4EE5-84CB-CD1ECD7D9393}" name="PivotTable1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9">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5" showAll="0"/>
    <pivotField numFmtId="165" showAll="0"/>
    <pivotField numFmtId="9" showAll="0"/>
    <pivotField showAll="0"/>
    <pivotField showAll="0" sortType="ascending">
      <items count="24">
        <item x="22"/>
        <item x="15"/>
        <item x="19"/>
        <item x="20"/>
        <item x="13"/>
        <item x="21"/>
        <item x="17"/>
        <item x="16"/>
        <item x="18"/>
        <item x="14"/>
        <item x="9"/>
        <item x="6"/>
        <item x="5"/>
        <item x="1"/>
        <item x="7"/>
        <item x="12"/>
        <item x="11"/>
        <item x="0"/>
        <item x="2"/>
        <item x="3"/>
        <item x="4"/>
        <item x="8"/>
        <item h="1" x="10"/>
        <item t="default"/>
      </items>
    </pivotField>
    <pivotField showAll="0">
      <items count="5">
        <item x="1"/>
        <item x="0"/>
        <item x="2"/>
        <item x="3"/>
        <item t="default"/>
      </items>
    </pivotField>
    <pivotField numFmtId="165" showAll="0"/>
    <pivotField axis="axisRow" showAll="0">
      <items count="4">
        <item x="1"/>
        <item x="2"/>
        <item x="0"/>
        <item t="default"/>
      </items>
    </pivotField>
  </pivotFields>
  <rowFields count="1">
    <field x="8"/>
  </rowFields>
  <rowItems count="4">
    <i>
      <x/>
    </i>
    <i>
      <x v="1"/>
    </i>
    <i>
      <x v="2"/>
    </i>
    <i t="grand">
      <x/>
    </i>
  </rowItems>
  <colItems count="1">
    <i/>
  </colItems>
  <dataFields count="1">
    <dataField name="Count of Product" fld="0" subtotal="count" baseField="0" baseItem="0"/>
  </dataFields>
  <chartFormats count="5">
    <chartFormat chart="2"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8" count="1" selected="0">
            <x v="0"/>
          </reference>
        </references>
      </pivotArea>
    </chartFormat>
    <chartFormat chart="10" format="7">
      <pivotArea type="data" outline="0" fieldPosition="0">
        <references count="2">
          <reference field="4294967294" count="1" selected="0">
            <x v="0"/>
          </reference>
          <reference field="8" count="1" selected="0">
            <x v="1"/>
          </reference>
        </references>
      </pivotArea>
    </chartFormat>
    <chartFormat chart="10"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38E1AAE2-25E2-40D2-AB96-8E4C39ADFDB8}" sourceName="Discount Category">
  <pivotTables>
    <pivotTable tabId="17" name="PivotTable12"/>
  </pivotTables>
  <data>
    <tabular pivotCacheId="110190285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7E692EC9-E1AB-40E0-81B3-E05A256C7CE1}" sourceName="Rating Category">
  <pivotTables>
    <pivotTable tabId="3" name="PivotTable2"/>
  </pivotTables>
  <data>
    <tabular pivotCacheId="1101902855">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7DD30D1A-7842-482C-B0CD-F02D2A14CD7E}" cache="Slicer_Rating_Category" caption="Rating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147422E2-8A9F-4E96-B847-98DE691F4573}" cache="Slicer_Discount_Category" caption="Discount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143B19F8-7053-4150-8F60-138127B81778}" cache="Slicer_Discount_Category" caption="Discount Category" rowHeight="241300"/>
  <slicer name="Rating Category 1" xr10:uid="{30BA2CCF-1E1A-48DC-9BE1-AC48886765F3}" cache="Slicer_Rating_Category" caption="Rating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63419-1585-441A-B122-460E719750C4}">
  <dimension ref="A3:D12"/>
  <sheetViews>
    <sheetView workbookViewId="0">
      <selection activeCell="B12" sqref="B12"/>
    </sheetView>
  </sheetViews>
  <sheetFormatPr defaultRowHeight="14.5" x14ac:dyDescent="0.35"/>
  <cols>
    <col min="1" max="1" width="15.6328125" bestFit="1" customWidth="1"/>
    <col min="2" max="2" width="17.7265625" bestFit="1" customWidth="1"/>
    <col min="3" max="3" width="23.54296875" bestFit="1" customWidth="1"/>
    <col min="4" max="4" width="25.1796875" bestFit="1" customWidth="1"/>
  </cols>
  <sheetData>
    <row r="3" spans="1:4" x14ac:dyDescent="0.35">
      <c r="A3" s="9" t="s">
        <v>166</v>
      </c>
      <c r="B3" t="s">
        <v>171</v>
      </c>
      <c r="C3" t="s">
        <v>172</v>
      </c>
      <c r="D3" t="s">
        <v>173</v>
      </c>
    </row>
    <row r="4" spans="1:4" x14ac:dyDescent="0.35">
      <c r="A4" s="10" t="s">
        <v>168</v>
      </c>
      <c r="B4" s="1">
        <v>0.48203389830508458</v>
      </c>
      <c r="C4">
        <v>3.6133333333333324</v>
      </c>
      <c r="D4" s="6">
        <v>719</v>
      </c>
    </row>
    <row r="5" spans="1:4" x14ac:dyDescent="0.35">
      <c r="A5" s="10" t="s">
        <v>169</v>
      </c>
      <c r="B5" s="1">
        <v>7.2222222222222243E-2</v>
      </c>
      <c r="C5">
        <v>3.7249999999999996</v>
      </c>
      <c r="D5" s="6">
        <v>175.66666666666666</v>
      </c>
    </row>
    <row r="6" spans="1:4" x14ac:dyDescent="0.35">
      <c r="A6" s="10" t="s">
        <v>170</v>
      </c>
      <c r="B6" s="1">
        <v>0.30999999999999994</v>
      </c>
      <c r="C6">
        <v>4.2782608695652184</v>
      </c>
      <c r="D6" s="6">
        <v>719.75</v>
      </c>
    </row>
    <row r="7" spans="1:4" x14ac:dyDescent="0.35">
      <c r="A7" s="10" t="s">
        <v>167</v>
      </c>
      <c r="B7" s="1">
        <v>0.36385321100917439</v>
      </c>
      <c r="C7">
        <v>3.8894736842105253</v>
      </c>
      <c r="D7" s="6">
        <v>629.49541284403665</v>
      </c>
    </row>
    <row r="10" spans="1:4" x14ac:dyDescent="0.35">
      <c r="B10" s="7" t="s">
        <v>179</v>
      </c>
      <c r="C10">
        <v>3.8894736839999999</v>
      </c>
    </row>
    <row r="12" spans="1:4" x14ac:dyDescent="0.35">
      <c r="B12" s="7" t="s">
        <v>164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36F96-8CFA-415C-804D-9DF64220040F}">
  <dimension ref="A3:D8"/>
  <sheetViews>
    <sheetView workbookViewId="0">
      <selection activeCell="M10" sqref="M10"/>
    </sheetView>
  </sheetViews>
  <sheetFormatPr defaultRowHeight="14.5" x14ac:dyDescent="0.35"/>
  <cols>
    <col min="1" max="1" width="12.36328125" bestFit="1" customWidth="1"/>
    <col min="2" max="2" width="15.26953125" bestFit="1" customWidth="1"/>
  </cols>
  <sheetData>
    <row r="3" spans="1:4" x14ac:dyDescent="0.35">
      <c r="A3" s="9" t="s">
        <v>166</v>
      </c>
      <c r="B3" t="s">
        <v>178</v>
      </c>
      <c r="D3" s="7" t="s">
        <v>180</v>
      </c>
    </row>
    <row r="4" spans="1:4" x14ac:dyDescent="0.35">
      <c r="A4" s="10" t="s">
        <v>156</v>
      </c>
      <c r="B4" s="12">
        <v>22</v>
      </c>
    </row>
    <row r="5" spans="1:4" x14ac:dyDescent="0.35">
      <c r="A5" s="10" t="s">
        <v>175</v>
      </c>
      <c r="B5" s="12">
        <v>23</v>
      </c>
    </row>
    <row r="6" spans="1:4" x14ac:dyDescent="0.35">
      <c r="A6" s="10" t="s">
        <v>176</v>
      </c>
      <c r="B6" s="12">
        <v>52</v>
      </c>
    </row>
    <row r="7" spans="1:4" x14ac:dyDescent="0.35">
      <c r="A7" s="10" t="s">
        <v>177</v>
      </c>
      <c r="B7" s="12">
        <v>12</v>
      </c>
    </row>
    <row r="8" spans="1:4" x14ac:dyDescent="0.35">
      <c r="A8" s="10" t="s">
        <v>167</v>
      </c>
      <c r="B8" s="12">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C7536-963A-4789-8421-A7CD79982569}">
  <dimension ref="A3:D50"/>
  <sheetViews>
    <sheetView workbookViewId="0">
      <selection activeCell="G24" sqref="G24"/>
    </sheetView>
  </sheetViews>
  <sheetFormatPr defaultRowHeight="14.5" x14ac:dyDescent="0.35"/>
  <cols>
    <col min="1" max="1" width="12.36328125" bestFit="1" customWidth="1"/>
    <col min="2" max="2" width="16.1796875" bestFit="1" customWidth="1"/>
  </cols>
  <sheetData>
    <row r="3" spans="1:2" x14ac:dyDescent="0.35">
      <c r="A3" s="9" t="s">
        <v>166</v>
      </c>
      <c r="B3" t="s">
        <v>198</v>
      </c>
    </row>
    <row r="4" spans="1:2" x14ac:dyDescent="0.35">
      <c r="A4" s="11">
        <v>0.01</v>
      </c>
      <c r="B4">
        <v>0</v>
      </c>
    </row>
    <row r="5" spans="1:2" x14ac:dyDescent="0.35">
      <c r="A5" s="11">
        <v>0.02</v>
      </c>
      <c r="B5">
        <v>0</v>
      </c>
    </row>
    <row r="6" spans="1:2" x14ac:dyDescent="0.35">
      <c r="A6" s="11">
        <v>0.03</v>
      </c>
      <c r="B6">
        <v>0</v>
      </c>
    </row>
    <row r="7" spans="1:2" x14ac:dyDescent="0.35">
      <c r="A7" s="11">
        <v>0.04</v>
      </c>
      <c r="B7">
        <v>0</v>
      </c>
    </row>
    <row r="8" spans="1:2" x14ac:dyDescent="0.35">
      <c r="A8" s="11">
        <v>0.08</v>
      </c>
      <c r="B8">
        <v>0</v>
      </c>
    </row>
    <row r="9" spans="1:2" x14ac:dyDescent="0.35">
      <c r="A9" s="11">
        <v>0.09</v>
      </c>
      <c r="B9">
        <v>15</v>
      </c>
    </row>
    <row r="10" spans="1:2" x14ac:dyDescent="0.35">
      <c r="A10" s="11">
        <v>0.11</v>
      </c>
      <c r="B10">
        <v>0</v>
      </c>
    </row>
    <row r="11" spans="1:2" x14ac:dyDescent="0.35">
      <c r="A11" s="11">
        <v>0.13</v>
      </c>
      <c r="B11">
        <v>6</v>
      </c>
    </row>
    <row r="12" spans="1:2" x14ac:dyDescent="0.35">
      <c r="A12" s="11">
        <v>0.14000000000000001</v>
      </c>
      <c r="B12">
        <v>0</v>
      </c>
    </row>
    <row r="13" spans="1:2" x14ac:dyDescent="0.35">
      <c r="A13" s="11">
        <v>0.18</v>
      </c>
      <c r="B13">
        <v>12</v>
      </c>
    </row>
    <row r="14" spans="1:2" x14ac:dyDescent="0.35">
      <c r="A14" s="11">
        <v>0.19</v>
      </c>
      <c r="B14">
        <v>5</v>
      </c>
    </row>
    <row r="15" spans="1:2" x14ac:dyDescent="0.35">
      <c r="A15" s="11">
        <v>0.2</v>
      </c>
      <c r="B15">
        <v>12</v>
      </c>
    </row>
    <row r="16" spans="1:2" x14ac:dyDescent="0.35">
      <c r="A16" s="11">
        <v>0.21</v>
      </c>
      <c r="B16">
        <v>1</v>
      </c>
    </row>
    <row r="17" spans="1:4" x14ac:dyDescent="0.35">
      <c r="A17" s="11">
        <v>0.22</v>
      </c>
      <c r="B17">
        <v>8</v>
      </c>
    </row>
    <row r="18" spans="1:4" x14ac:dyDescent="0.35">
      <c r="A18" s="11">
        <v>0.23</v>
      </c>
      <c r="B18">
        <v>14</v>
      </c>
    </row>
    <row r="19" spans="1:4" x14ac:dyDescent="0.35">
      <c r="A19" s="11">
        <v>0.24</v>
      </c>
      <c r="B19">
        <v>27.5</v>
      </c>
    </row>
    <row r="20" spans="1:4" x14ac:dyDescent="0.35">
      <c r="A20" s="11">
        <v>0.25</v>
      </c>
      <c r="B20">
        <v>24</v>
      </c>
    </row>
    <row r="21" spans="1:4" x14ac:dyDescent="0.35">
      <c r="A21" s="11">
        <v>0.26</v>
      </c>
      <c r="B21">
        <v>5</v>
      </c>
      <c r="D21" s="7" t="s">
        <v>199</v>
      </c>
    </row>
    <row r="22" spans="1:4" x14ac:dyDescent="0.35">
      <c r="A22" s="11">
        <v>0.27</v>
      </c>
      <c r="B22">
        <v>17.333333333333332</v>
      </c>
      <c r="D22" t="s">
        <v>200</v>
      </c>
    </row>
    <row r="23" spans="1:4" x14ac:dyDescent="0.35">
      <c r="A23" s="11">
        <v>0.28999999999999998</v>
      </c>
      <c r="B23">
        <v>5</v>
      </c>
    </row>
    <row r="24" spans="1:4" x14ac:dyDescent="0.35">
      <c r="A24" s="11">
        <v>0.3</v>
      </c>
      <c r="B24">
        <v>20</v>
      </c>
    </row>
    <row r="25" spans="1:4" x14ac:dyDescent="0.35">
      <c r="A25" s="11">
        <v>0.32</v>
      </c>
      <c r="B25">
        <v>13</v>
      </c>
    </row>
    <row r="26" spans="1:4" x14ac:dyDescent="0.35">
      <c r="A26" s="11">
        <v>0.33</v>
      </c>
      <c r="B26">
        <v>4.5</v>
      </c>
    </row>
    <row r="27" spans="1:4" x14ac:dyDescent="0.35">
      <c r="A27" s="11">
        <v>0.34</v>
      </c>
      <c r="B27">
        <v>12.75</v>
      </c>
    </row>
    <row r="28" spans="1:4" x14ac:dyDescent="0.35">
      <c r="A28" s="11">
        <v>0.35</v>
      </c>
      <c r="B28">
        <v>27.5</v>
      </c>
    </row>
    <row r="29" spans="1:4" x14ac:dyDescent="0.35">
      <c r="A29" s="11">
        <v>0.36</v>
      </c>
      <c r="B29">
        <v>0</v>
      </c>
    </row>
    <row r="30" spans="1:4" x14ac:dyDescent="0.35">
      <c r="A30" s="11">
        <v>0.37</v>
      </c>
      <c r="B30">
        <v>4.5</v>
      </c>
    </row>
    <row r="31" spans="1:4" x14ac:dyDescent="0.35">
      <c r="A31" s="11">
        <v>0.38</v>
      </c>
      <c r="B31">
        <v>1</v>
      </c>
    </row>
    <row r="32" spans="1:4" x14ac:dyDescent="0.35">
      <c r="A32" s="11">
        <v>0.39</v>
      </c>
      <c r="B32">
        <v>5</v>
      </c>
    </row>
    <row r="33" spans="1:2" x14ac:dyDescent="0.35">
      <c r="A33" s="11">
        <v>0.4</v>
      </c>
      <c r="B33">
        <v>1</v>
      </c>
    </row>
    <row r="34" spans="1:2" x14ac:dyDescent="0.35">
      <c r="A34" s="11">
        <v>0.41</v>
      </c>
      <c r="B34">
        <v>12</v>
      </c>
    </row>
    <row r="35" spans="1:2" x14ac:dyDescent="0.35">
      <c r="A35" s="11">
        <v>0.42</v>
      </c>
      <c r="B35">
        <v>1.5</v>
      </c>
    </row>
    <row r="36" spans="1:2" x14ac:dyDescent="0.35">
      <c r="A36" s="11">
        <v>0.43</v>
      </c>
      <c r="B36">
        <v>2.75</v>
      </c>
    </row>
    <row r="37" spans="1:2" x14ac:dyDescent="0.35">
      <c r="A37" s="11">
        <v>0.45</v>
      </c>
      <c r="B37">
        <v>7</v>
      </c>
    </row>
    <row r="38" spans="1:2" x14ac:dyDescent="0.35">
      <c r="A38" s="11">
        <v>0.46</v>
      </c>
      <c r="B38">
        <v>1</v>
      </c>
    </row>
    <row r="39" spans="1:2" x14ac:dyDescent="0.35">
      <c r="A39" s="11">
        <v>0.47</v>
      </c>
      <c r="B39">
        <v>5.5714285714285712</v>
      </c>
    </row>
    <row r="40" spans="1:2" x14ac:dyDescent="0.35">
      <c r="A40" s="11">
        <v>0.48</v>
      </c>
      <c r="B40">
        <v>2.25</v>
      </c>
    </row>
    <row r="41" spans="1:2" x14ac:dyDescent="0.35">
      <c r="A41" s="11">
        <v>0.49</v>
      </c>
      <c r="B41">
        <v>9.8333333333333339</v>
      </c>
    </row>
    <row r="42" spans="1:2" x14ac:dyDescent="0.35">
      <c r="A42" s="11">
        <v>0.5</v>
      </c>
      <c r="B42">
        <v>1.1428571428571428</v>
      </c>
    </row>
    <row r="43" spans="1:2" x14ac:dyDescent="0.35">
      <c r="A43" s="11">
        <v>0.51</v>
      </c>
      <c r="B43">
        <v>2</v>
      </c>
    </row>
    <row r="44" spans="1:2" x14ac:dyDescent="0.35">
      <c r="A44" s="11">
        <v>0.52</v>
      </c>
      <c r="B44">
        <v>12</v>
      </c>
    </row>
    <row r="45" spans="1:2" x14ac:dyDescent="0.35">
      <c r="A45" s="11">
        <v>0.53</v>
      </c>
      <c r="B45">
        <v>7.5</v>
      </c>
    </row>
    <row r="46" spans="1:2" x14ac:dyDescent="0.35">
      <c r="A46" s="11">
        <v>0.54</v>
      </c>
      <c r="B46">
        <v>8.5</v>
      </c>
    </row>
    <row r="47" spans="1:2" x14ac:dyDescent="0.35">
      <c r="A47" s="11">
        <v>0.55000000000000004</v>
      </c>
      <c r="B47">
        <v>9</v>
      </c>
    </row>
    <row r="48" spans="1:2" x14ac:dyDescent="0.35">
      <c r="A48" s="11">
        <v>0.61</v>
      </c>
      <c r="B48">
        <v>0</v>
      </c>
    </row>
    <row r="49" spans="1:2" x14ac:dyDescent="0.35">
      <c r="A49" s="11">
        <v>0.64</v>
      </c>
      <c r="B49">
        <v>0</v>
      </c>
    </row>
    <row r="50" spans="1:2" x14ac:dyDescent="0.35">
      <c r="A50" s="11" t="s">
        <v>167</v>
      </c>
      <c r="B50">
        <v>6.6330275229357802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1A06C-28E7-4ECF-B3D0-DD29D62A468C}">
  <dimension ref="A3:E27"/>
  <sheetViews>
    <sheetView topLeftCell="A10" workbookViewId="0">
      <selection activeCell="D24" sqref="D24"/>
    </sheetView>
  </sheetViews>
  <sheetFormatPr defaultRowHeight="14.5" x14ac:dyDescent="0.35"/>
  <cols>
    <col min="1" max="1" width="11.7265625" bestFit="1" customWidth="1"/>
    <col min="2" max="2" width="16.1796875" bestFit="1" customWidth="1"/>
  </cols>
  <sheetData>
    <row r="3" spans="1:2" x14ac:dyDescent="0.35">
      <c r="A3" s="9" t="s">
        <v>203</v>
      </c>
      <c r="B3" t="s">
        <v>198</v>
      </c>
    </row>
    <row r="4" spans="1:2" x14ac:dyDescent="0.35">
      <c r="A4" s="10">
        <v>2</v>
      </c>
      <c r="B4">
        <v>1</v>
      </c>
    </row>
    <row r="5" spans="1:2" x14ac:dyDescent="0.35">
      <c r="A5" s="10">
        <v>2.1</v>
      </c>
      <c r="B5">
        <v>10</v>
      </c>
    </row>
    <row r="6" spans="1:2" x14ac:dyDescent="0.35">
      <c r="A6" s="10">
        <v>2.2000000000000002</v>
      </c>
      <c r="B6">
        <v>6</v>
      </c>
    </row>
    <row r="7" spans="1:2" x14ac:dyDescent="0.35">
      <c r="A7" s="10">
        <v>2.2999999999999998</v>
      </c>
      <c r="B7">
        <v>6.5</v>
      </c>
    </row>
    <row r="8" spans="1:2" x14ac:dyDescent="0.35">
      <c r="A8" s="10">
        <v>2.5</v>
      </c>
      <c r="B8">
        <v>6</v>
      </c>
    </row>
    <row r="9" spans="1:2" x14ac:dyDescent="0.35">
      <c r="A9" s="10">
        <v>2.6</v>
      </c>
      <c r="B9">
        <v>17</v>
      </c>
    </row>
    <row r="10" spans="1:2" x14ac:dyDescent="0.35">
      <c r="A10" s="10">
        <v>2.7</v>
      </c>
      <c r="B10">
        <v>15</v>
      </c>
    </row>
    <row r="11" spans="1:2" x14ac:dyDescent="0.35">
      <c r="A11" s="10">
        <v>2.8</v>
      </c>
      <c r="B11">
        <v>69</v>
      </c>
    </row>
    <row r="12" spans="1:2" x14ac:dyDescent="0.35">
      <c r="A12" s="10">
        <v>2.9</v>
      </c>
      <c r="B12">
        <v>16</v>
      </c>
    </row>
    <row r="13" spans="1:2" x14ac:dyDescent="0.35">
      <c r="A13" s="10">
        <v>3</v>
      </c>
      <c r="B13">
        <v>5.2</v>
      </c>
    </row>
    <row r="14" spans="1:2" x14ac:dyDescent="0.35">
      <c r="A14" s="10">
        <v>3.3</v>
      </c>
      <c r="B14">
        <v>13</v>
      </c>
    </row>
    <row r="15" spans="1:2" x14ac:dyDescent="0.35">
      <c r="A15" s="10">
        <v>3.8</v>
      </c>
      <c r="B15">
        <v>10</v>
      </c>
    </row>
    <row r="16" spans="1:2" x14ac:dyDescent="0.35">
      <c r="A16" s="10">
        <v>4</v>
      </c>
      <c r="B16">
        <v>6</v>
      </c>
    </row>
    <row r="17" spans="1:5" x14ac:dyDescent="0.35">
      <c r="A17" s="10">
        <v>4.0999999999999996</v>
      </c>
      <c r="B17">
        <v>15.333333333333334</v>
      </c>
    </row>
    <row r="18" spans="1:5" x14ac:dyDescent="0.35">
      <c r="A18" s="10">
        <v>4.2</v>
      </c>
      <c r="B18">
        <v>9</v>
      </c>
    </row>
    <row r="19" spans="1:5" x14ac:dyDescent="0.35">
      <c r="A19" s="10">
        <v>4.3</v>
      </c>
      <c r="B19">
        <v>15.25</v>
      </c>
      <c r="E19" t="s">
        <v>204</v>
      </c>
    </row>
    <row r="20" spans="1:5" x14ac:dyDescent="0.35">
      <c r="A20" s="10">
        <v>4.4000000000000004</v>
      </c>
      <c r="B20">
        <v>14</v>
      </c>
    </row>
    <row r="21" spans="1:5" x14ac:dyDescent="0.35">
      <c r="A21" s="10">
        <v>4.5</v>
      </c>
      <c r="B21">
        <v>10.5</v>
      </c>
    </row>
    <row r="22" spans="1:5" x14ac:dyDescent="0.35">
      <c r="A22" s="10">
        <v>4.5999999999999996</v>
      </c>
      <c r="B22">
        <v>35.4</v>
      </c>
    </row>
    <row r="23" spans="1:5" x14ac:dyDescent="0.35">
      <c r="A23" s="10">
        <v>4.7</v>
      </c>
      <c r="B23">
        <v>19.5</v>
      </c>
    </row>
    <row r="24" spans="1:5" x14ac:dyDescent="0.35">
      <c r="A24" s="10">
        <v>4.8</v>
      </c>
      <c r="B24">
        <v>7.333333333333333</v>
      </c>
    </row>
    <row r="25" spans="1:5" x14ac:dyDescent="0.35">
      <c r="A25" s="10">
        <v>5</v>
      </c>
      <c r="B25">
        <v>1.7142857142857142</v>
      </c>
    </row>
    <row r="26" spans="1:5" x14ac:dyDescent="0.35">
      <c r="A26" s="10" t="s">
        <v>193</v>
      </c>
      <c r="B26">
        <v>0</v>
      </c>
    </row>
    <row r="27" spans="1:5" x14ac:dyDescent="0.35">
      <c r="A27" s="10" t="s">
        <v>167</v>
      </c>
      <c r="B27">
        <v>6.6330275229357802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A6827-1381-4EF9-8458-23F97F6A47FD}">
  <dimension ref="A3:E6"/>
  <sheetViews>
    <sheetView workbookViewId="0">
      <selection activeCell="C16" sqref="C16"/>
    </sheetView>
  </sheetViews>
  <sheetFormatPr defaultRowHeight="14.5" x14ac:dyDescent="0.35"/>
  <cols>
    <col min="1" max="1" width="12.36328125" bestFit="1" customWidth="1"/>
    <col min="2" max="2" width="23.54296875" bestFit="1" customWidth="1"/>
    <col min="3" max="3" width="16.1796875" bestFit="1" customWidth="1"/>
  </cols>
  <sheetData>
    <row r="3" spans="1:5" x14ac:dyDescent="0.35">
      <c r="A3" s="9" t="s">
        <v>166</v>
      </c>
      <c r="B3" t="s">
        <v>172</v>
      </c>
      <c r="C3" t="s">
        <v>198</v>
      </c>
      <c r="E3" s="7" t="s">
        <v>209</v>
      </c>
    </row>
    <row r="4" spans="1:5" x14ac:dyDescent="0.35">
      <c r="A4" s="10" t="s">
        <v>168</v>
      </c>
      <c r="B4" s="12">
        <v>3.613333333333332</v>
      </c>
      <c r="C4" s="12">
        <v>5.6610169491525424</v>
      </c>
    </row>
    <row r="5" spans="1:5" x14ac:dyDescent="0.35">
      <c r="A5" s="10" t="s">
        <v>169</v>
      </c>
      <c r="B5" s="12">
        <v>3.7249999999999996</v>
      </c>
      <c r="C5" s="12">
        <v>2.1111111111111112</v>
      </c>
    </row>
    <row r="6" spans="1:5" x14ac:dyDescent="0.35">
      <c r="A6" s="10" t="s">
        <v>167</v>
      </c>
      <c r="B6" s="12">
        <v>3.6264705882352928</v>
      </c>
      <c r="C6" s="12">
        <v>4.8311688311688314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3E7D9-56D8-4BF4-9827-602988AC5834}">
  <dimension ref="A3:B7"/>
  <sheetViews>
    <sheetView workbookViewId="0">
      <selection activeCell="B5" sqref="B5"/>
    </sheetView>
  </sheetViews>
  <sheetFormatPr defaultRowHeight="14.5" x14ac:dyDescent="0.35"/>
  <cols>
    <col min="1" max="1" width="15.6328125" bestFit="1" customWidth="1"/>
    <col min="2" max="2" width="15.26953125" bestFit="1" customWidth="1"/>
  </cols>
  <sheetData>
    <row r="3" spans="1:2" x14ac:dyDescent="0.35">
      <c r="A3" s="9" t="s">
        <v>166</v>
      </c>
      <c r="B3" t="s">
        <v>178</v>
      </c>
    </row>
    <row r="4" spans="1:2" x14ac:dyDescent="0.35">
      <c r="A4" s="10" t="s">
        <v>168</v>
      </c>
      <c r="B4" s="12">
        <v>59</v>
      </c>
    </row>
    <row r="5" spans="1:2" x14ac:dyDescent="0.35">
      <c r="A5" s="10" t="s">
        <v>169</v>
      </c>
      <c r="B5" s="12">
        <v>18</v>
      </c>
    </row>
    <row r="6" spans="1:2" x14ac:dyDescent="0.35">
      <c r="A6" s="10" t="s">
        <v>170</v>
      </c>
      <c r="B6" s="12">
        <v>32</v>
      </c>
    </row>
    <row r="7" spans="1:2" x14ac:dyDescent="0.35">
      <c r="A7" s="10" t="s">
        <v>167</v>
      </c>
      <c r="B7" s="12">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97210-1D0C-47A6-8D9E-247D7E7C98E0}">
  <dimension ref="A1:Q118"/>
  <sheetViews>
    <sheetView zoomScale="69" zoomScaleNormal="69" workbookViewId="0">
      <pane ySplit="1" topLeftCell="A2" activePane="bottomLeft" state="frozen"/>
      <selection activeCell="F1" sqref="F1"/>
      <selection pane="bottomLeft" activeCell="B8" sqref="B8"/>
    </sheetView>
  </sheetViews>
  <sheetFormatPr defaultRowHeight="14.5" x14ac:dyDescent="0.35"/>
  <cols>
    <col min="1" max="1" width="89.1796875" style="15" bestFit="1" customWidth="1"/>
    <col min="2" max="3" width="18.36328125" style="6" bestFit="1" customWidth="1"/>
    <col min="4" max="4" width="8.81640625" style="1" bestFit="1" customWidth="1"/>
    <col min="5" max="5" width="7.453125" bestFit="1" customWidth="1"/>
    <col min="6" max="6" width="17.26953125" bestFit="1" customWidth="1"/>
    <col min="7" max="7" width="16.81640625" bestFit="1" customWidth="1"/>
    <col min="8" max="8" width="16.81640625" customWidth="1"/>
    <col min="9" max="9" width="17.54296875" bestFit="1" customWidth="1"/>
  </cols>
  <sheetData>
    <row r="1" spans="1:12" ht="15.5" x14ac:dyDescent="0.35">
      <c r="A1" s="14" t="s">
        <v>0</v>
      </c>
      <c r="B1" s="5" t="s">
        <v>1</v>
      </c>
      <c r="C1" s="5" t="s">
        <v>2</v>
      </c>
      <c r="D1" s="4" t="s">
        <v>3</v>
      </c>
      <c r="E1" s="2" t="s">
        <v>4</v>
      </c>
      <c r="F1" s="2" t="s">
        <v>160</v>
      </c>
      <c r="G1" s="2" t="s">
        <v>143</v>
      </c>
      <c r="H1" s="2" t="s">
        <v>142</v>
      </c>
      <c r="I1" s="2" t="s">
        <v>144</v>
      </c>
      <c r="K1" s="7" t="s">
        <v>140</v>
      </c>
    </row>
    <row r="2" spans="1:12" x14ac:dyDescent="0.35">
      <c r="A2" s="15" t="s">
        <v>5</v>
      </c>
      <c r="B2" s="6">
        <v>950</v>
      </c>
      <c r="C2" s="6">
        <v>1525</v>
      </c>
      <c r="D2" s="1">
        <v>0.38</v>
      </c>
      <c r="E2">
        <v>2</v>
      </c>
      <c r="F2">
        <v>4.5</v>
      </c>
      <c r="G2" t="str">
        <f>IF(F2="Not Provided", "N/A", IF(F2&lt;3, "Poor", IF(F2&lt;=4.4, "Average", "Excellent")))</f>
        <v>Excellent</v>
      </c>
      <c r="H2" s="6">
        <f>C2-B2</f>
        <v>575</v>
      </c>
      <c r="I2" t="str">
        <f>IF(D2&lt;20%, "Low Discount", IF(D2&lt;=40%, "Medium Discount", "High Discount"))</f>
        <v>Medium Discount</v>
      </c>
      <c r="K2" t="s">
        <v>114</v>
      </c>
    </row>
    <row r="3" spans="1:12" x14ac:dyDescent="0.35">
      <c r="A3" s="15" t="s">
        <v>6</v>
      </c>
      <c r="B3" s="6">
        <v>527</v>
      </c>
      <c r="C3" s="6">
        <v>999</v>
      </c>
      <c r="D3" s="1">
        <v>0.47</v>
      </c>
      <c r="E3">
        <v>14</v>
      </c>
      <c r="F3">
        <v>4.0999999999999996</v>
      </c>
      <c r="G3" t="str">
        <f t="shared" ref="G3:G66" si="0">IF(F3="Not Provided", "N/A", IF(F3&lt;3, "Poor", IF(F3&lt;=4.4, "Average", "Excellent")))</f>
        <v>Average</v>
      </c>
      <c r="H3" s="6">
        <f t="shared" ref="H3:H66" si="1">C3-B3</f>
        <v>472</v>
      </c>
      <c r="I3" t="str">
        <f t="shared" ref="I3:I66" si="2">IF(D3&lt;20%, "Low Discount", IF(D3&lt;=40%, "Medium Discount", "High Discount"))</f>
        <v>High Discount</v>
      </c>
      <c r="L3" t="s">
        <v>115</v>
      </c>
    </row>
    <row r="4" spans="1:12" x14ac:dyDescent="0.35">
      <c r="A4" s="15" t="s">
        <v>7</v>
      </c>
      <c r="B4" s="6">
        <v>2199</v>
      </c>
      <c r="C4" s="6">
        <v>2923</v>
      </c>
      <c r="D4" s="1">
        <v>0.25</v>
      </c>
      <c r="E4">
        <v>24</v>
      </c>
      <c r="F4">
        <v>4.5999999999999996</v>
      </c>
      <c r="G4" t="str">
        <f t="shared" si="0"/>
        <v>Excellent</v>
      </c>
      <c r="H4" s="6">
        <f t="shared" si="1"/>
        <v>724</v>
      </c>
      <c r="I4" t="str">
        <f t="shared" si="2"/>
        <v>Medium Discount</v>
      </c>
      <c r="L4" t="s">
        <v>128</v>
      </c>
    </row>
    <row r="5" spans="1:12" x14ac:dyDescent="0.35">
      <c r="A5" s="15" t="s">
        <v>8</v>
      </c>
      <c r="B5" s="6">
        <v>1580</v>
      </c>
      <c r="C5" s="6">
        <v>2499</v>
      </c>
      <c r="D5" s="1">
        <v>0.37</v>
      </c>
      <c r="E5">
        <v>7</v>
      </c>
      <c r="F5">
        <v>4.7</v>
      </c>
      <c r="G5" t="str">
        <f t="shared" si="0"/>
        <v>Excellent</v>
      </c>
      <c r="H5" s="6">
        <f t="shared" si="1"/>
        <v>919</v>
      </c>
      <c r="I5" t="str">
        <f t="shared" si="2"/>
        <v>Medium Discount</v>
      </c>
      <c r="L5" t="s">
        <v>127</v>
      </c>
    </row>
    <row r="6" spans="1:12" x14ac:dyDescent="0.35">
      <c r="A6" s="15" t="s">
        <v>9</v>
      </c>
      <c r="B6" s="6">
        <v>1740</v>
      </c>
      <c r="C6" s="6">
        <v>2356</v>
      </c>
      <c r="D6" s="1">
        <v>0.26</v>
      </c>
      <c r="E6">
        <v>5</v>
      </c>
      <c r="F6">
        <v>4.8</v>
      </c>
      <c r="G6" t="str">
        <f t="shared" si="0"/>
        <v>Excellent</v>
      </c>
      <c r="H6" s="6">
        <f t="shared" si="1"/>
        <v>616</v>
      </c>
      <c r="I6" t="str">
        <f t="shared" si="2"/>
        <v>Medium Discount</v>
      </c>
      <c r="L6" t="s">
        <v>116</v>
      </c>
    </row>
    <row r="7" spans="1:12" x14ac:dyDescent="0.35">
      <c r="A7" s="15" t="s">
        <v>10</v>
      </c>
      <c r="B7" s="6">
        <v>2999</v>
      </c>
      <c r="C7" s="6">
        <v>3290</v>
      </c>
      <c r="D7" s="1">
        <v>0.09</v>
      </c>
      <c r="E7">
        <v>15</v>
      </c>
      <c r="F7">
        <v>4</v>
      </c>
      <c r="G7" t="str">
        <f t="shared" si="0"/>
        <v>Average</v>
      </c>
      <c r="H7" s="6">
        <f t="shared" si="1"/>
        <v>291</v>
      </c>
      <c r="I7" t="str">
        <f t="shared" si="2"/>
        <v>Low Discount</v>
      </c>
      <c r="K7" t="s">
        <v>119</v>
      </c>
    </row>
    <row r="8" spans="1:12" x14ac:dyDescent="0.35">
      <c r="A8" s="15" t="s">
        <v>11</v>
      </c>
      <c r="B8" s="6">
        <v>2319</v>
      </c>
      <c r="C8" s="6">
        <v>3032</v>
      </c>
      <c r="D8" s="1">
        <v>0.24</v>
      </c>
      <c r="E8">
        <v>55</v>
      </c>
      <c r="F8">
        <v>4.5999999999999996</v>
      </c>
      <c r="G8" t="str">
        <f t="shared" si="0"/>
        <v>Excellent</v>
      </c>
      <c r="H8" s="6">
        <f t="shared" si="1"/>
        <v>713</v>
      </c>
      <c r="I8" t="str">
        <f t="shared" si="2"/>
        <v>Medium Discount</v>
      </c>
      <c r="L8" t="s">
        <v>120</v>
      </c>
    </row>
    <row r="9" spans="1:12" x14ac:dyDescent="0.35">
      <c r="A9" s="15" t="s">
        <v>12</v>
      </c>
      <c r="B9" s="6">
        <v>988</v>
      </c>
      <c r="C9" s="6">
        <v>1580</v>
      </c>
      <c r="D9" s="1">
        <v>0.37</v>
      </c>
      <c r="E9">
        <v>2</v>
      </c>
      <c r="F9">
        <v>4</v>
      </c>
      <c r="G9" t="str">
        <f t="shared" si="0"/>
        <v>Average</v>
      </c>
      <c r="H9" s="6">
        <f t="shared" si="1"/>
        <v>592</v>
      </c>
      <c r="I9" t="str">
        <f t="shared" si="2"/>
        <v>Medium Discount</v>
      </c>
      <c r="L9" t="s">
        <v>121</v>
      </c>
    </row>
    <row r="10" spans="1:12" x14ac:dyDescent="0.35">
      <c r="A10" s="15" t="s">
        <v>13</v>
      </c>
      <c r="B10" s="6">
        <v>1274</v>
      </c>
      <c r="C10" s="6">
        <v>2800</v>
      </c>
      <c r="D10" s="1">
        <v>0.55000000000000004</v>
      </c>
      <c r="E10">
        <v>5</v>
      </c>
      <c r="F10">
        <v>4.8</v>
      </c>
      <c r="G10" t="str">
        <f t="shared" si="0"/>
        <v>Excellent</v>
      </c>
      <c r="H10" s="6">
        <f t="shared" si="1"/>
        <v>1526</v>
      </c>
      <c r="I10" t="str">
        <f t="shared" si="2"/>
        <v>High Discount</v>
      </c>
      <c r="K10" t="s">
        <v>122</v>
      </c>
    </row>
    <row r="11" spans="1:12" x14ac:dyDescent="0.35">
      <c r="A11" s="15" t="s">
        <v>14</v>
      </c>
      <c r="B11" s="6">
        <v>1600</v>
      </c>
      <c r="C11" s="6">
        <v>2929</v>
      </c>
      <c r="D11" s="1">
        <v>0.45</v>
      </c>
      <c r="E11">
        <v>5</v>
      </c>
      <c r="F11">
        <v>3.8</v>
      </c>
      <c r="G11" t="str">
        <f t="shared" si="0"/>
        <v>Average</v>
      </c>
      <c r="H11" s="6">
        <f t="shared" si="1"/>
        <v>1329</v>
      </c>
      <c r="I11" t="str">
        <f t="shared" si="2"/>
        <v>High Discount</v>
      </c>
      <c r="L11" t="s">
        <v>118</v>
      </c>
    </row>
    <row r="12" spans="1:12" x14ac:dyDescent="0.35">
      <c r="A12" s="15" t="s">
        <v>15</v>
      </c>
      <c r="B12" s="6">
        <v>799</v>
      </c>
      <c r="C12" s="6">
        <v>999</v>
      </c>
      <c r="D12" s="1">
        <v>0.2</v>
      </c>
      <c r="E12">
        <v>12</v>
      </c>
      <c r="F12">
        <v>4.0999999999999996</v>
      </c>
      <c r="G12" t="str">
        <f t="shared" si="0"/>
        <v>Average</v>
      </c>
      <c r="H12" s="6">
        <f t="shared" si="1"/>
        <v>200</v>
      </c>
      <c r="I12" t="str">
        <f t="shared" si="2"/>
        <v>Medium Discount</v>
      </c>
      <c r="L12" t="s">
        <v>123</v>
      </c>
    </row>
    <row r="13" spans="1:12" x14ac:dyDescent="0.35">
      <c r="A13" s="15" t="s">
        <v>16</v>
      </c>
      <c r="B13" s="6">
        <v>990</v>
      </c>
      <c r="C13" s="6">
        <v>1500</v>
      </c>
      <c r="D13" s="1">
        <v>0.34</v>
      </c>
      <c r="E13">
        <v>39</v>
      </c>
      <c r="F13">
        <v>4.7</v>
      </c>
      <c r="G13" t="str">
        <f t="shared" si="0"/>
        <v>Excellent</v>
      </c>
      <c r="H13" s="6">
        <f t="shared" si="1"/>
        <v>510</v>
      </c>
      <c r="I13" t="str">
        <f t="shared" si="2"/>
        <v>Medium Discount</v>
      </c>
      <c r="K13" t="s">
        <v>124</v>
      </c>
    </row>
    <row r="14" spans="1:12" x14ac:dyDescent="0.35">
      <c r="A14" s="15" t="s">
        <v>17</v>
      </c>
      <c r="B14" s="6">
        <v>552</v>
      </c>
      <c r="C14" s="6">
        <v>1035</v>
      </c>
      <c r="D14" s="1">
        <v>0.47</v>
      </c>
      <c r="E14">
        <v>12</v>
      </c>
      <c r="F14">
        <v>4.8</v>
      </c>
      <c r="G14" t="str">
        <f t="shared" si="0"/>
        <v>Excellent</v>
      </c>
      <c r="H14" s="6">
        <f t="shared" si="1"/>
        <v>483</v>
      </c>
      <c r="I14" t="str">
        <f t="shared" si="2"/>
        <v>High Discount</v>
      </c>
      <c r="L14" t="s">
        <v>125</v>
      </c>
    </row>
    <row r="15" spans="1:12" x14ac:dyDescent="0.35">
      <c r="A15" s="15" t="s">
        <v>18</v>
      </c>
      <c r="B15" s="6">
        <v>501</v>
      </c>
      <c r="C15" s="6">
        <v>860</v>
      </c>
      <c r="D15" s="1">
        <v>0.42</v>
      </c>
      <c r="E15">
        <v>6</v>
      </c>
      <c r="F15">
        <v>4.5</v>
      </c>
      <c r="G15" t="str">
        <f t="shared" si="0"/>
        <v>Excellent</v>
      </c>
      <c r="H15" s="6">
        <f t="shared" si="1"/>
        <v>359</v>
      </c>
      <c r="I15" t="str">
        <f t="shared" si="2"/>
        <v>High Discount</v>
      </c>
      <c r="K15" t="s">
        <v>126</v>
      </c>
    </row>
    <row r="16" spans="1:12" x14ac:dyDescent="0.35">
      <c r="A16" s="15" t="s">
        <v>19</v>
      </c>
      <c r="B16" s="6">
        <v>1680</v>
      </c>
      <c r="C16" s="6">
        <v>2499</v>
      </c>
      <c r="D16" s="1">
        <v>0.33</v>
      </c>
      <c r="E16">
        <v>9</v>
      </c>
      <c r="F16">
        <v>4.2</v>
      </c>
      <c r="G16" t="str">
        <f t="shared" si="0"/>
        <v>Average</v>
      </c>
      <c r="H16" s="6">
        <f t="shared" si="1"/>
        <v>819</v>
      </c>
      <c r="I16" t="str">
        <f t="shared" si="2"/>
        <v>Medium Discount</v>
      </c>
      <c r="L16" t="s">
        <v>129</v>
      </c>
    </row>
    <row r="17" spans="1:17" x14ac:dyDescent="0.35">
      <c r="A17" s="15" t="s">
        <v>20</v>
      </c>
      <c r="B17" s="6">
        <v>332</v>
      </c>
      <c r="C17" s="6">
        <v>684</v>
      </c>
      <c r="D17" s="1">
        <v>0.51</v>
      </c>
      <c r="E17">
        <v>2</v>
      </c>
      <c r="F17">
        <v>5</v>
      </c>
      <c r="G17" t="str">
        <f t="shared" si="0"/>
        <v>Excellent</v>
      </c>
      <c r="H17" s="6">
        <f t="shared" si="1"/>
        <v>352</v>
      </c>
      <c r="I17" t="str">
        <f t="shared" si="2"/>
        <v>High Discount</v>
      </c>
      <c r="L17" t="s">
        <v>130</v>
      </c>
    </row>
    <row r="18" spans="1:17" x14ac:dyDescent="0.35">
      <c r="A18" s="15" t="s">
        <v>21</v>
      </c>
      <c r="B18" s="6">
        <v>195</v>
      </c>
      <c r="C18" s="6">
        <v>360</v>
      </c>
      <c r="D18" s="1">
        <v>0.46</v>
      </c>
      <c r="E18">
        <v>2</v>
      </c>
      <c r="F18">
        <v>5</v>
      </c>
      <c r="G18" t="str">
        <f t="shared" si="0"/>
        <v>Excellent</v>
      </c>
      <c r="H18" s="6">
        <f t="shared" si="1"/>
        <v>165</v>
      </c>
      <c r="I18" t="str">
        <f t="shared" si="2"/>
        <v>High Discount</v>
      </c>
      <c r="K18" t="s">
        <v>131</v>
      </c>
    </row>
    <row r="19" spans="1:17" x14ac:dyDescent="0.35">
      <c r="A19" s="15" t="s">
        <v>22</v>
      </c>
      <c r="B19" s="6">
        <v>2025</v>
      </c>
      <c r="C19" s="6">
        <v>3971</v>
      </c>
      <c r="D19" s="1">
        <v>0.49</v>
      </c>
      <c r="E19">
        <v>3</v>
      </c>
      <c r="F19">
        <v>5</v>
      </c>
      <c r="G19" t="str">
        <f t="shared" si="0"/>
        <v>Excellent</v>
      </c>
      <c r="H19" s="6">
        <f t="shared" si="1"/>
        <v>1946</v>
      </c>
      <c r="I19" t="str">
        <f t="shared" si="2"/>
        <v>High Discount</v>
      </c>
      <c r="L19" t="s">
        <v>132</v>
      </c>
    </row>
    <row r="20" spans="1:17" x14ac:dyDescent="0.35">
      <c r="A20" s="15" t="s">
        <v>23</v>
      </c>
      <c r="B20" s="6">
        <v>2999</v>
      </c>
      <c r="C20" s="6">
        <v>3699</v>
      </c>
      <c r="D20" s="1">
        <v>0.19</v>
      </c>
      <c r="E20">
        <v>5</v>
      </c>
      <c r="F20">
        <v>4.5999999999999996</v>
      </c>
      <c r="G20" t="str">
        <f t="shared" si="0"/>
        <v>Excellent</v>
      </c>
      <c r="H20" s="6">
        <f t="shared" si="1"/>
        <v>700</v>
      </c>
      <c r="I20" t="str">
        <f t="shared" si="2"/>
        <v>Low Discount</v>
      </c>
      <c r="K20" t="s">
        <v>133</v>
      </c>
    </row>
    <row r="21" spans="1:17" x14ac:dyDescent="0.35">
      <c r="A21" s="15" t="s">
        <v>24</v>
      </c>
      <c r="B21" s="6">
        <v>998</v>
      </c>
      <c r="C21" s="6">
        <v>1966</v>
      </c>
      <c r="D21" s="1">
        <v>0.49</v>
      </c>
      <c r="E21">
        <v>44</v>
      </c>
      <c r="F21">
        <v>4.5999999999999996</v>
      </c>
      <c r="G21" t="str">
        <f t="shared" si="0"/>
        <v>Excellent</v>
      </c>
      <c r="H21" s="6">
        <f t="shared" si="1"/>
        <v>968</v>
      </c>
      <c r="I21" t="str">
        <f t="shared" si="2"/>
        <v>High Discount</v>
      </c>
      <c r="L21" t="s">
        <v>134</v>
      </c>
    </row>
    <row r="22" spans="1:17" x14ac:dyDescent="0.35">
      <c r="A22" s="15" t="s">
        <v>25</v>
      </c>
      <c r="B22" s="6">
        <v>38</v>
      </c>
      <c r="C22" s="6">
        <v>80</v>
      </c>
      <c r="D22" s="1">
        <v>0.53</v>
      </c>
      <c r="E22">
        <v>13</v>
      </c>
      <c r="F22">
        <v>3.3</v>
      </c>
      <c r="G22" t="str">
        <f t="shared" si="0"/>
        <v>Average</v>
      </c>
      <c r="H22" s="6">
        <f t="shared" si="1"/>
        <v>42</v>
      </c>
      <c r="I22" t="str">
        <f t="shared" si="2"/>
        <v>High Discount</v>
      </c>
      <c r="L22" t="s">
        <v>135</v>
      </c>
    </row>
    <row r="23" spans="1:17" x14ac:dyDescent="0.35">
      <c r="A23" s="15" t="s">
        <v>26</v>
      </c>
      <c r="B23" s="6">
        <v>1860</v>
      </c>
      <c r="C23" s="6">
        <v>3220</v>
      </c>
      <c r="D23" s="1">
        <v>0.42</v>
      </c>
      <c r="E23">
        <v>0</v>
      </c>
      <c r="F23" t="s">
        <v>117</v>
      </c>
      <c r="G23" t="str">
        <f t="shared" si="0"/>
        <v>N/A</v>
      </c>
      <c r="H23" s="6">
        <f t="shared" si="1"/>
        <v>1360</v>
      </c>
      <c r="I23" t="str">
        <f t="shared" si="2"/>
        <v>High Discount</v>
      </c>
      <c r="K23" t="s">
        <v>136</v>
      </c>
    </row>
    <row r="24" spans="1:17" x14ac:dyDescent="0.35">
      <c r="A24" s="15" t="s">
        <v>27</v>
      </c>
      <c r="B24" s="6">
        <v>880</v>
      </c>
      <c r="C24" s="6">
        <v>1350</v>
      </c>
      <c r="D24" s="1">
        <v>0.35</v>
      </c>
      <c r="E24">
        <v>6</v>
      </c>
      <c r="F24">
        <v>4</v>
      </c>
      <c r="G24" t="str">
        <f t="shared" si="0"/>
        <v>Average</v>
      </c>
      <c r="H24" s="6">
        <f t="shared" si="1"/>
        <v>470</v>
      </c>
      <c r="I24" t="str">
        <f t="shared" si="2"/>
        <v>Medium Discount</v>
      </c>
      <c r="L24" t="s">
        <v>137</v>
      </c>
      <c r="Q24" s="3"/>
    </row>
    <row r="25" spans="1:17" x14ac:dyDescent="0.35">
      <c r="A25" s="15" t="s">
        <v>28</v>
      </c>
      <c r="B25" s="6">
        <v>1650</v>
      </c>
      <c r="C25" s="6">
        <v>2150</v>
      </c>
      <c r="D25" s="1">
        <v>0.23</v>
      </c>
      <c r="E25">
        <v>14</v>
      </c>
      <c r="F25">
        <v>4.4000000000000004</v>
      </c>
      <c r="G25" t="str">
        <f t="shared" si="0"/>
        <v>Average</v>
      </c>
      <c r="H25" s="6">
        <f t="shared" si="1"/>
        <v>500</v>
      </c>
      <c r="I25" t="str">
        <f t="shared" si="2"/>
        <v>Medium Discount</v>
      </c>
      <c r="L25" t="s">
        <v>138</v>
      </c>
    </row>
    <row r="26" spans="1:17" x14ac:dyDescent="0.35">
      <c r="A26" s="15" t="s">
        <v>29</v>
      </c>
      <c r="B26" s="6">
        <v>2048</v>
      </c>
      <c r="C26" s="6">
        <v>4500</v>
      </c>
      <c r="D26" s="1">
        <v>0.54</v>
      </c>
      <c r="E26">
        <v>7</v>
      </c>
      <c r="F26">
        <v>4.3</v>
      </c>
      <c r="G26" t="str">
        <f t="shared" si="0"/>
        <v>Average</v>
      </c>
      <c r="H26" s="6">
        <f t="shared" si="1"/>
        <v>2452</v>
      </c>
      <c r="I26" t="str">
        <f t="shared" si="2"/>
        <v>High Discount</v>
      </c>
      <c r="L26" t="s">
        <v>139</v>
      </c>
    </row>
    <row r="27" spans="1:17" x14ac:dyDescent="0.35">
      <c r="A27" s="15" t="s">
        <v>30</v>
      </c>
      <c r="B27" s="6">
        <v>420</v>
      </c>
      <c r="C27" s="6">
        <v>647</v>
      </c>
      <c r="D27" s="1">
        <v>0.35</v>
      </c>
      <c r="E27">
        <v>49</v>
      </c>
      <c r="F27">
        <v>4.5999999999999996</v>
      </c>
      <c r="G27" t="str">
        <f t="shared" si="0"/>
        <v>Excellent</v>
      </c>
      <c r="H27" s="6">
        <f t="shared" si="1"/>
        <v>227</v>
      </c>
      <c r="I27" t="str">
        <f t="shared" si="2"/>
        <v>Medium Discount</v>
      </c>
    </row>
    <row r="28" spans="1:17" x14ac:dyDescent="0.35">
      <c r="A28" s="15" t="s">
        <v>31</v>
      </c>
      <c r="B28" s="6">
        <v>2880</v>
      </c>
      <c r="C28" s="6">
        <v>3520</v>
      </c>
      <c r="D28" s="1">
        <v>0.18</v>
      </c>
      <c r="E28">
        <v>12</v>
      </c>
      <c r="F28">
        <v>3.8</v>
      </c>
      <c r="G28" t="str">
        <f t="shared" si="0"/>
        <v>Average</v>
      </c>
      <c r="H28" s="6">
        <f t="shared" si="1"/>
        <v>640</v>
      </c>
      <c r="I28" t="str">
        <f t="shared" si="2"/>
        <v>Low Discount</v>
      </c>
      <c r="K28" s="7" t="s">
        <v>141</v>
      </c>
    </row>
    <row r="29" spans="1:17" x14ac:dyDescent="0.35">
      <c r="A29" s="15" t="s">
        <v>32</v>
      </c>
      <c r="B29" s="6">
        <v>1350</v>
      </c>
      <c r="C29" s="6">
        <v>1990</v>
      </c>
      <c r="D29" s="1">
        <v>0.32</v>
      </c>
      <c r="E29">
        <v>13</v>
      </c>
      <c r="F29">
        <v>3.8</v>
      </c>
      <c r="G29" t="str">
        <f t="shared" si="0"/>
        <v>Average</v>
      </c>
      <c r="H29" s="6">
        <f t="shared" si="1"/>
        <v>640</v>
      </c>
      <c r="I29" t="str">
        <f t="shared" si="2"/>
        <v>Medium Discount</v>
      </c>
      <c r="K29" s="7" t="s">
        <v>145</v>
      </c>
      <c r="M29" t="s">
        <v>146</v>
      </c>
    </row>
    <row r="30" spans="1:17" x14ac:dyDescent="0.35">
      <c r="A30" s="15" t="s">
        <v>33</v>
      </c>
      <c r="B30" s="6">
        <v>1758</v>
      </c>
      <c r="C30" s="6">
        <v>2499</v>
      </c>
      <c r="D30" s="1">
        <v>0.3</v>
      </c>
      <c r="E30">
        <v>20</v>
      </c>
      <c r="F30">
        <v>4.0999999999999996</v>
      </c>
      <c r="G30" t="str">
        <f t="shared" si="0"/>
        <v>Average</v>
      </c>
      <c r="H30" s="6">
        <f t="shared" si="1"/>
        <v>741</v>
      </c>
      <c r="I30" t="str">
        <f t="shared" si="2"/>
        <v>Medium Discount</v>
      </c>
      <c r="M30" t="s">
        <v>147</v>
      </c>
    </row>
    <row r="31" spans="1:17" x14ac:dyDescent="0.35">
      <c r="A31" s="15" t="s">
        <v>34</v>
      </c>
      <c r="B31" s="6">
        <v>2200</v>
      </c>
      <c r="C31" s="6">
        <v>4080</v>
      </c>
      <c r="D31" s="1">
        <v>0.46</v>
      </c>
      <c r="E31">
        <v>0</v>
      </c>
      <c r="F31" t="s">
        <v>117</v>
      </c>
      <c r="G31" t="str">
        <f t="shared" si="0"/>
        <v>N/A</v>
      </c>
      <c r="H31" s="6">
        <f t="shared" si="1"/>
        <v>1880</v>
      </c>
      <c r="I31" t="str">
        <f t="shared" si="2"/>
        <v>High Discount</v>
      </c>
      <c r="M31" t="s">
        <v>148</v>
      </c>
    </row>
    <row r="32" spans="1:17" x14ac:dyDescent="0.35">
      <c r="A32" s="15" t="s">
        <v>35</v>
      </c>
      <c r="B32" s="6">
        <v>185</v>
      </c>
      <c r="C32" s="6">
        <v>382</v>
      </c>
      <c r="D32" s="1">
        <v>0.52</v>
      </c>
      <c r="E32">
        <v>9</v>
      </c>
      <c r="F32">
        <v>4.3</v>
      </c>
      <c r="G32" t="str">
        <f t="shared" si="0"/>
        <v>Average</v>
      </c>
      <c r="H32" s="6">
        <f t="shared" si="1"/>
        <v>197</v>
      </c>
      <c r="I32" t="str">
        <f t="shared" si="2"/>
        <v>High Discount</v>
      </c>
      <c r="K32" t="s">
        <v>149</v>
      </c>
    </row>
    <row r="33" spans="1:13" x14ac:dyDescent="0.35">
      <c r="A33" s="15" t="s">
        <v>36</v>
      </c>
      <c r="B33" s="6">
        <v>980</v>
      </c>
      <c r="C33" s="6">
        <v>1490</v>
      </c>
      <c r="D33" s="1">
        <v>0.34</v>
      </c>
      <c r="E33">
        <v>12</v>
      </c>
      <c r="F33">
        <v>4.7</v>
      </c>
      <c r="G33" t="str">
        <f t="shared" si="0"/>
        <v>Excellent</v>
      </c>
      <c r="H33" s="6">
        <f t="shared" si="1"/>
        <v>510</v>
      </c>
      <c r="I33" t="str">
        <f t="shared" si="2"/>
        <v>Medium Discount</v>
      </c>
      <c r="K33" s="7" t="s">
        <v>150</v>
      </c>
      <c r="M33" t="s">
        <v>151</v>
      </c>
    </row>
    <row r="34" spans="1:13" x14ac:dyDescent="0.35">
      <c r="A34" s="15" t="s">
        <v>37</v>
      </c>
      <c r="B34" s="6">
        <v>1820</v>
      </c>
      <c r="C34" s="6">
        <v>3490</v>
      </c>
      <c r="D34" s="1">
        <v>0.48</v>
      </c>
      <c r="E34">
        <v>9</v>
      </c>
      <c r="F34">
        <v>4.3</v>
      </c>
      <c r="G34" t="str">
        <f t="shared" si="0"/>
        <v>Average</v>
      </c>
      <c r="H34" s="6">
        <f t="shared" si="1"/>
        <v>1670</v>
      </c>
      <c r="I34" t="str">
        <f t="shared" si="2"/>
        <v>High Discount</v>
      </c>
      <c r="M34" t="s">
        <v>152</v>
      </c>
    </row>
    <row r="35" spans="1:13" x14ac:dyDescent="0.35">
      <c r="A35" s="15" t="s">
        <v>38</v>
      </c>
      <c r="B35" s="6">
        <v>1940</v>
      </c>
      <c r="C35" s="6">
        <v>2650</v>
      </c>
      <c r="D35" s="1">
        <v>0.27</v>
      </c>
      <c r="E35">
        <v>20</v>
      </c>
      <c r="F35">
        <v>4.7</v>
      </c>
      <c r="G35" t="str">
        <f t="shared" si="0"/>
        <v>Excellent</v>
      </c>
      <c r="H35" s="6">
        <f t="shared" si="1"/>
        <v>710</v>
      </c>
      <c r="I35" t="str">
        <f t="shared" si="2"/>
        <v>Medium Discount</v>
      </c>
      <c r="M35" t="s">
        <v>153</v>
      </c>
    </row>
    <row r="36" spans="1:13" x14ac:dyDescent="0.35">
      <c r="A36" s="15" t="s">
        <v>39</v>
      </c>
      <c r="B36" s="6">
        <v>1980</v>
      </c>
      <c r="C36" s="6">
        <v>2699</v>
      </c>
      <c r="D36" s="1">
        <v>0.27</v>
      </c>
      <c r="E36">
        <v>32</v>
      </c>
      <c r="F36">
        <v>4.5</v>
      </c>
      <c r="G36" t="str">
        <f t="shared" si="0"/>
        <v>Excellent</v>
      </c>
      <c r="H36" s="6">
        <f t="shared" si="1"/>
        <v>719</v>
      </c>
      <c r="I36" t="str">
        <f t="shared" si="2"/>
        <v>Medium Discount</v>
      </c>
      <c r="K36" t="s">
        <v>154</v>
      </c>
    </row>
    <row r="37" spans="1:13" x14ac:dyDescent="0.35">
      <c r="A37" s="15" t="s">
        <v>40</v>
      </c>
      <c r="B37" s="6">
        <v>1620</v>
      </c>
      <c r="C37" s="6">
        <v>2690</v>
      </c>
      <c r="D37" s="1">
        <v>0.4</v>
      </c>
      <c r="E37">
        <v>1</v>
      </c>
      <c r="F37">
        <v>5</v>
      </c>
      <c r="G37" t="str">
        <f t="shared" si="0"/>
        <v>Excellent</v>
      </c>
      <c r="H37" s="6">
        <f t="shared" si="1"/>
        <v>1070</v>
      </c>
      <c r="I37" t="str">
        <f t="shared" si="2"/>
        <v>Medium Discount</v>
      </c>
    </row>
    <row r="38" spans="1:13" x14ac:dyDescent="0.35">
      <c r="A38" s="15" t="s">
        <v>41</v>
      </c>
      <c r="B38" s="6">
        <v>171</v>
      </c>
      <c r="C38" s="6">
        <v>360</v>
      </c>
      <c r="D38" s="1">
        <v>0.53</v>
      </c>
      <c r="E38">
        <v>2</v>
      </c>
      <c r="F38">
        <v>5</v>
      </c>
      <c r="G38" t="str">
        <f t="shared" si="0"/>
        <v>Excellent</v>
      </c>
      <c r="H38" s="6">
        <f t="shared" si="1"/>
        <v>189</v>
      </c>
      <c r="I38" t="str">
        <f t="shared" si="2"/>
        <v>High Discount</v>
      </c>
      <c r="K38" s="7" t="s">
        <v>155</v>
      </c>
    </row>
    <row r="39" spans="1:13" x14ac:dyDescent="0.35">
      <c r="A39" s="15" t="s">
        <v>42</v>
      </c>
      <c r="B39" s="6">
        <v>389</v>
      </c>
      <c r="C39" s="6">
        <v>656</v>
      </c>
      <c r="D39" s="1">
        <v>0.41</v>
      </c>
      <c r="E39">
        <v>36</v>
      </c>
      <c r="F39">
        <v>4.3</v>
      </c>
      <c r="G39" t="str">
        <f t="shared" si="0"/>
        <v>Average</v>
      </c>
      <c r="H39" s="6">
        <f t="shared" si="1"/>
        <v>267</v>
      </c>
      <c r="I39" t="str">
        <f t="shared" si="2"/>
        <v>High Discount</v>
      </c>
      <c r="K39" t="s">
        <v>161</v>
      </c>
    </row>
    <row r="40" spans="1:13" x14ac:dyDescent="0.35">
      <c r="A40" s="15" t="s">
        <v>43</v>
      </c>
      <c r="B40" s="6">
        <v>1800</v>
      </c>
      <c r="C40" s="6">
        <v>2700</v>
      </c>
      <c r="D40" s="1">
        <v>0.38</v>
      </c>
      <c r="E40">
        <v>2</v>
      </c>
      <c r="F40">
        <v>4.5</v>
      </c>
      <c r="G40" t="str">
        <f t="shared" si="0"/>
        <v>Excellent</v>
      </c>
      <c r="H40" s="6">
        <f t="shared" si="1"/>
        <v>900</v>
      </c>
      <c r="I40" t="str">
        <f t="shared" si="2"/>
        <v>Medium Discount</v>
      </c>
      <c r="L40" t="s">
        <v>162</v>
      </c>
    </row>
    <row r="41" spans="1:13" x14ac:dyDescent="0.35">
      <c r="A41" s="15" t="s">
        <v>44</v>
      </c>
      <c r="B41" s="6">
        <v>2750</v>
      </c>
      <c r="C41" s="6">
        <v>4471</v>
      </c>
      <c r="D41" s="1">
        <v>0.38</v>
      </c>
      <c r="E41">
        <v>0</v>
      </c>
      <c r="F41" t="s">
        <v>117</v>
      </c>
      <c r="G41" t="str">
        <f t="shared" si="0"/>
        <v>N/A</v>
      </c>
      <c r="H41" s="6">
        <f t="shared" si="1"/>
        <v>1721</v>
      </c>
      <c r="I41" t="str">
        <f t="shared" si="2"/>
        <v>Medium Discount</v>
      </c>
      <c r="L41" t="s">
        <v>163</v>
      </c>
    </row>
    <row r="42" spans="1:13" x14ac:dyDescent="0.35">
      <c r="A42" s="15" t="s">
        <v>45</v>
      </c>
      <c r="B42" s="6">
        <v>475</v>
      </c>
      <c r="C42" s="6">
        <v>931</v>
      </c>
      <c r="D42" s="1">
        <v>0.49</v>
      </c>
      <c r="E42">
        <v>0</v>
      </c>
      <c r="F42" t="s">
        <v>117</v>
      </c>
      <c r="G42" t="str">
        <f t="shared" si="0"/>
        <v>N/A</v>
      </c>
      <c r="H42" s="6">
        <f t="shared" si="1"/>
        <v>456</v>
      </c>
      <c r="I42" t="str">
        <f t="shared" si="2"/>
        <v>High Discount</v>
      </c>
      <c r="K42" t="s">
        <v>164</v>
      </c>
    </row>
    <row r="43" spans="1:13" x14ac:dyDescent="0.35">
      <c r="A43" s="15" t="s">
        <v>46</v>
      </c>
      <c r="B43" s="6">
        <v>238</v>
      </c>
      <c r="C43" s="6">
        <v>476</v>
      </c>
      <c r="D43" s="1">
        <v>0.5</v>
      </c>
      <c r="E43">
        <v>0</v>
      </c>
      <c r="F43" t="s">
        <v>117</v>
      </c>
      <c r="G43" t="str">
        <f t="shared" si="0"/>
        <v>N/A</v>
      </c>
      <c r="H43" s="6">
        <f t="shared" si="1"/>
        <v>238</v>
      </c>
      <c r="I43" t="str">
        <f t="shared" si="2"/>
        <v>High Discount</v>
      </c>
      <c r="L43" t="s">
        <v>165</v>
      </c>
    </row>
    <row r="44" spans="1:13" x14ac:dyDescent="0.35">
      <c r="A44" s="15" t="s">
        <v>47</v>
      </c>
      <c r="B44" s="6">
        <v>610</v>
      </c>
      <c r="C44" s="6">
        <v>1060</v>
      </c>
      <c r="D44" s="1">
        <v>0.42</v>
      </c>
      <c r="E44">
        <v>0</v>
      </c>
      <c r="F44" t="s">
        <v>117</v>
      </c>
      <c r="G44" t="str">
        <f t="shared" si="0"/>
        <v>N/A</v>
      </c>
      <c r="H44" s="6">
        <f t="shared" si="1"/>
        <v>450</v>
      </c>
      <c r="I44" t="str">
        <f t="shared" si="2"/>
        <v>High Discount</v>
      </c>
      <c r="K44" t="s">
        <v>174</v>
      </c>
    </row>
    <row r="45" spans="1:13" x14ac:dyDescent="0.35">
      <c r="A45" s="15" t="s">
        <v>48</v>
      </c>
      <c r="B45" s="6">
        <v>2132</v>
      </c>
      <c r="C45" s="6">
        <v>2169</v>
      </c>
      <c r="D45" s="1">
        <v>0.02</v>
      </c>
      <c r="E45">
        <v>0</v>
      </c>
      <c r="F45" t="s">
        <v>117</v>
      </c>
      <c r="G45" t="str">
        <f t="shared" si="0"/>
        <v>N/A</v>
      </c>
      <c r="H45" s="6">
        <f t="shared" si="1"/>
        <v>37</v>
      </c>
      <c r="I45" t="str">
        <f t="shared" si="2"/>
        <v>Low Discount</v>
      </c>
      <c r="L45" t="s">
        <v>165</v>
      </c>
    </row>
    <row r="46" spans="1:13" x14ac:dyDescent="0.35">
      <c r="A46" s="15" t="s">
        <v>49</v>
      </c>
      <c r="B46" s="6">
        <v>999</v>
      </c>
      <c r="C46" s="6">
        <v>2000</v>
      </c>
      <c r="D46" s="1">
        <v>0.5</v>
      </c>
      <c r="E46">
        <v>0</v>
      </c>
      <c r="F46" t="s">
        <v>117</v>
      </c>
      <c r="G46" t="str">
        <f t="shared" si="0"/>
        <v>N/A</v>
      </c>
      <c r="H46" s="6">
        <f t="shared" si="1"/>
        <v>1001</v>
      </c>
      <c r="I46" t="str">
        <f t="shared" si="2"/>
        <v>High Discount</v>
      </c>
    </row>
    <row r="47" spans="1:13" x14ac:dyDescent="0.35">
      <c r="A47" s="15" t="s">
        <v>50</v>
      </c>
      <c r="B47" s="6">
        <v>1190</v>
      </c>
      <c r="C47" s="6">
        <v>1785</v>
      </c>
      <c r="D47" s="1">
        <v>0.33</v>
      </c>
      <c r="E47">
        <v>0</v>
      </c>
      <c r="F47" t="s">
        <v>117</v>
      </c>
      <c r="G47" t="str">
        <f t="shared" si="0"/>
        <v>N/A</v>
      </c>
      <c r="H47" s="6">
        <f t="shared" si="1"/>
        <v>595</v>
      </c>
      <c r="I47" t="str">
        <f t="shared" si="2"/>
        <v>Medium Discount</v>
      </c>
      <c r="K47" t="s">
        <v>185</v>
      </c>
    </row>
    <row r="48" spans="1:13" x14ac:dyDescent="0.35">
      <c r="A48" s="15" t="s">
        <v>51</v>
      </c>
      <c r="B48" s="6">
        <v>671</v>
      </c>
      <c r="C48" s="6">
        <v>1316</v>
      </c>
      <c r="D48" s="1">
        <v>0.49</v>
      </c>
      <c r="E48">
        <v>0</v>
      </c>
      <c r="F48" t="s">
        <v>117</v>
      </c>
      <c r="G48" t="str">
        <f t="shared" si="0"/>
        <v>N/A</v>
      </c>
      <c r="H48" s="6">
        <f t="shared" si="1"/>
        <v>645</v>
      </c>
      <c r="I48" t="str">
        <f t="shared" si="2"/>
        <v>High Discount</v>
      </c>
      <c r="K48" t="s">
        <v>186</v>
      </c>
    </row>
    <row r="49" spans="1:12" x14ac:dyDescent="0.35">
      <c r="A49" s="15" t="s">
        <v>52</v>
      </c>
      <c r="B49" s="6">
        <v>1200</v>
      </c>
      <c r="C49" s="6">
        <v>1950</v>
      </c>
      <c r="D49" s="1">
        <v>0.38</v>
      </c>
      <c r="E49">
        <v>0</v>
      </c>
      <c r="F49" t="s">
        <v>117</v>
      </c>
      <c r="G49" t="str">
        <f t="shared" si="0"/>
        <v>N/A</v>
      </c>
      <c r="H49" s="6">
        <f t="shared" si="1"/>
        <v>750</v>
      </c>
      <c r="I49" t="str">
        <f t="shared" si="2"/>
        <v>Medium Discount</v>
      </c>
      <c r="L49" t="s">
        <v>187</v>
      </c>
    </row>
    <row r="50" spans="1:12" x14ac:dyDescent="0.35">
      <c r="A50" s="15" t="s">
        <v>53</v>
      </c>
      <c r="B50" s="6">
        <v>199</v>
      </c>
      <c r="C50" s="6">
        <v>504</v>
      </c>
      <c r="D50" s="1">
        <v>0.61</v>
      </c>
      <c r="E50">
        <v>0</v>
      </c>
      <c r="F50" t="s">
        <v>117</v>
      </c>
      <c r="G50" t="str">
        <f t="shared" si="0"/>
        <v>N/A</v>
      </c>
      <c r="H50" s="6">
        <f t="shared" si="1"/>
        <v>305</v>
      </c>
      <c r="I50" t="str">
        <f t="shared" si="2"/>
        <v>High Discount</v>
      </c>
      <c r="L50" t="s">
        <v>188</v>
      </c>
    </row>
    <row r="51" spans="1:12" x14ac:dyDescent="0.35">
      <c r="A51" s="15" t="s">
        <v>54</v>
      </c>
      <c r="B51" s="6">
        <v>299</v>
      </c>
      <c r="C51" s="6">
        <v>600</v>
      </c>
      <c r="D51" s="1">
        <v>0.5</v>
      </c>
      <c r="E51">
        <v>0</v>
      </c>
      <c r="F51" t="s">
        <v>117</v>
      </c>
      <c r="G51" t="str">
        <f t="shared" si="0"/>
        <v>N/A</v>
      </c>
      <c r="H51" s="6">
        <f t="shared" si="1"/>
        <v>301</v>
      </c>
      <c r="I51" t="str">
        <f t="shared" si="2"/>
        <v>High Discount</v>
      </c>
      <c r="L51" t="s">
        <v>189</v>
      </c>
    </row>
    <row r="52" spans="1:12" x14ac:dyDescent="0.35">
      <c r="A52" s="15" t="s">
        <v>55</v>
      </c>
      <c r="B52" s="6">
        <v>1660</v>
      </c>
      <c r="C52" s="6">
        <v>1699</v>
      </c>
      <c r="D52" s="1">
        <v>0.02</v>
      </c>
      <c r="E52">
        <v>0</v>
      </c>
      <c r="F52" t="s">
        <v>117</v>
      </c>
      <c r="G52" t="str">
        <f t="shared" si="0"/>
        <v>N/A</v>
      </c>
      <c r="H52" s="6">
        <f t="shared" si="1"/>
        <v>39</v>
      </c>
      <c r="I52" t="str">
        <f t="shared" si="2"/>
        <v>Low Discount</v>
      </c>
      <c r="L52" t="s">
        <v>190</v>
      </c>
    </row>
    <row r="53" spans="1:12" x14ac:dyDescent="0.35">
      <c r="A53" s="15" t="s">
        <v>56</v>
      </c>
      <c r="B53" s="6">
        <v>299</v>
      </c>
      <c r="C53" s="6">
        <v>384</v>
      </c>
      <c r="D53" s="1">
        <v>0.22</v>
      </c>
      <c r="E53">
        <v>0</v>
      </c>
      <c r="F53" t="s">
        <v>117</v>
      </c>
      <c r="G53" t="str">
        <f t="shared" si="0"/>
        <v>N/A</v>
      </c>
      <c r="H53" s="6">
        <f t="shared" si="1"/>
        <v>85</v>
      </c>
      <c r="I53" t="str">
        <f t="shared" si="2"/>
        <v>Medium Discount</v>
      </c>
      <c r="L53" t="s">
        <v>191</v>
      </c>
    </row>
    <row r="54" spans="1:12" x14ac:dyDescent="0.35">
      <c r="A54" s="15" t="s">
        <v>57</v>
      </c>
      <c r="B54" s="6">
        <v>1459</v>
      </c>
      <c r="C54" s="6">
        <v>1499</v>
      </c>
      <c r="D54" s="1">
        <v>0.03</v>
      </c>
      <c r="E54">
        <v>0</v>
      </c>
      <c r="F54" t="s">
        <v>117</v>
      </c>
      <c r="G54" t="str">
        <f t="shared" si="0"/>
        <v>N/A</v>
      </c>
      <c r="H54" s="6">
        <f t="shared" si="1"/>
        <v>40</v>
      </c>
      <c r="I54" t="str">
        <f t="shared" si="2"/>
        <v>Low Discount</v>
      </c>
      <c r="L54" t="s">
        <v>192</v>
      </c>
    </row>
    <row r="55" spans="1:12" x14ac:dyDescent="0.35">
      <c r="A55" s="15" t="s">
        <v>58</v>
      </c>
      <c r="B55" s="6">
        <v>799</v>
      </c>
      <c r="C55" s="6">
        <v>1343</v>
      </c>
      <c r="D55" s="1">
        <v>0.41</v>
      </c>
      <c r="E55">
        <v>0</v>
      </c>
      <c r="F55" t="s">
        <v>117</v>
      </c>
      <c r="G55" t="str">
        <f t="shared" si="0"/>
        <v>N/A</v>
      </c>
      <c r="H55" s="6">
        <f t="shared" si="1"/>
        <v>544</v>
      </c>
      <c r="I55" t="str">
        <f t="shared" si="2"/>
        <v>High Discount</v>
      </c>
      <c r="K55" t="s">
        <v>194</v>
      </c>
    </row>
    <row r="56" spans="1:12" x14ac:dyDescent="0.35">
      <c r="A56" s="15" t="s">
        <v>59</v>
      </c>
      <c r="B56" s="6">
        <v>499</v>
      </c>
      <c r="C56" s="6">
        <v>900</v>
      </c>
      <c r="D56" s="1">
        <v>0.45</v>
      </c>
      <c r="E56">
        <v>0</v>
      </c>
      <c r="F56" t="s">
        <v>117</v>
      </c>
      <c r="G56" t="str">
        <f t="shared" si="0"/>
        <v>N/A</v>
      </c>
      <c r="H56" s="6">
        <f t="shared" si="1"/>
        <v>401</v>
      </c>
      <c r="I56" t="str">
        <f t="shared" si="2"/>
        <v>High Discount</v>
      </c>
      <c r="L56" t="s">
        <v>195</v>
      </c>
    </row>
    <row r="57" spans="1:12" x14ac:dyDescent="0.35">
      <c r="A57" s="15" t="s">
        <v>60</v>
      </c>
      <c r="B57" s="6">
        <v>699</v>
      </c>
      <c r="C57" s="6">
        <v>1343</v>
      </c>
      <c r="D57" s="1">
        <v>0.48</v>
      </c>
      <c r="E57">
        <v>0</v>
      </c>
      <c r="F57" t="s">
        <v>117</v>
      </c>
      <c r="G57" t="str">
        <f t="shared" si="0"/>
        <v>N/A</v>
      </c>
      <c r="H57" s="6">
        <f t="shared" si="1"/>
        <v>644</v>
      </c>
      <c r="I57" t="str">
        <f t="shared" si="2"/>
        <v>High Discount</v>
      </c>
      <c r="L57" t="s">
        <v>196</v>
      </c>
    </row>
    <row r="58" spans="1:12" x14ac:dyDescent="0.35">
      <c r="A58" s="15" t="s">
        <v>61</v>
      </c>
      <c r="B58" s="6">
        <v>799</v>
      </c>
      <c r="C58" s="6">
        <v>1567</v>
      </c>
      <c r="D58" s="1">
        <v>0.49</v>
      </c>
      <c r="E58">
        <v>0</v>
      </c>
      <c r="F58" t="s">
        <v>117</v>
      </c>
      <c r="G58" t="str">
        <f t="shared" si="0"/>
        <v>N/A</v>
      </c>
      <c r="H58" s="6">
        <f t="shared" si="1"/>
        <v>768</v>
      </c>
      <c r="I58" t="str">
        <f t="shared" si="2"/>
        <v>High Discount</v>
      </c>
      <c r="K58" t="s">
        <v>199</v>
      </c>
    </row>
    <row r="59" spans="1:12" x14ac:dyDescent="0.35">
      <c r="A59" s="15" t="s">
        <v>62</v>
      </c>
      <c r="B59" s="6">
        <v>2799</v>
      </c>
      <c r="C59" s="6">
        <v>3810</v>
      </c>
      <c r="D59" s="1">
        <v>0.27</v>
      </c>
      <c r="E59">
        <v>0</v>
      </c>
      <c r="F59" t="s">
        <v>117</v>
      </c>
      <c r="G59" t="str">
        <f t="shared" si="0"/>
        <v>N/A</v>
      </c>
      <c r="H59" s="6">
        <f t="shared" si="1"/>
        <v>1011</v>
      </c>
      <c r="I59" t="str">
        <f t="shared" si="2"/>
        <v>Medium Discount</v>
      </c>
      <c r="L59" t="s">
        <v>201</v>
      </c>
    </row>
    <row r="60" spans="1:12" x14ac:dyDescent="0.35">
      <c r="A60" s="15" t="s">
        <v>63</v>
      </c>
      <c r="B60" s="6">
        <v>2170</v>
      </c>
      <c r="C60" s="6">
        <v>2500</v>
      </c>
      <c r="D60" s="1">
        <v>0.13</v>
      </c>
      <c r="E60">
        <v>6</v>
      </c>
      <c r="F60">
        <v>2.5</v>
      </c>
      <c r="G60" t="str">
        <f t="shared" si="0"/>
        <v>Poor</v>
      </c>
      <c r="H60" s="6">
        <f t="shared" si="1"/>
        <v>330</v>
      </c>
      <c r="I60" t="str">
        <f t="shared" si="2"/>
        <v>Low Discount</v>
      </c>
      <c r="K60" t="s">
        <v>202</v>
      </c>
    </row>
    <row r="61" spans="1:12" x14ac:dyDescent="0.35">
      <c r="A61" s="15" t="s">
        <v>64</v>
      </c>
      <c r="B61" s="6">
        <v>458</v>
      </c>
      <c r="C61" s="6">
        <v>986</v>
      </c>
      <c r="D61" s="1">
        <v>0.54</v>
      </c>
      <c r="E61">
        <v>10</v>
      </c>
      <c r="F61">
        <v>3</v>
      </c>
      <c r="G61" t="str">
        <f t="shared" si="0"/>
        <v>Average</v>
      </c>
      <c r="H61" s="6">
        <f t="shared" si="1"/>
        <v>528</v>
      </c>
      <c r="I61" t="str">
        <f t="shared" si="2"/>
        <v>High Discount</v>
      </c>
    </row>
    <row r="62" spans="1:12" x14ac:dyDescent="0.35">
      <c r="A62" s="15" t="s">
        <v>65</v>
      </c>
      <c r="B62" s="6">
        <v>2115</v>
      </c>
      <c r="C62" s="6">
        <v>4700</v>
      </c>
      <c r="D62" s="1">
        <v>0.55000000000000004</v>
      </c>
      <c r="E62">
        <v>13</v>
      </c>
      <c r="F62">
        <v>2.1</v>
      </c>
      <c r="G62" t="str">
        <f t="shared" si="0"/>
        <v>Poor</v>
      </c>
      <c r="H62" s="6">
        <f t="shared" si="1"/>
        <v>2585</v>
      </c>
      <c r="I62" t="str">
        <f t="shared" si="2"/>
        <v>High Discount</v>
      </c>
    </row>
    <row r="63" spans="1:12" x14ac:dyDescent="0.35">
      <c r="A63" s="15" t="s">
        <v>66</v>
      </c>
      <c r="B63" s="6">
        <v>445</v>
      </c>
      <c r="C63" s="6">
        <v>873</v>
      </c>
      <c r="D63" s="1">
        <v>0.49</v>
      </c>
      <c r="E63">
        <v>69</v>
      </c>
      <c r="F63">
        <v>2.8</v>
      </c>
      <c r="G63" t="str">
        <f t="shared" si="0"/>
        <v>Poor</v>
      </c>
      <c r="H63" s="6">
        <f t="shared" si="1"/>
        <v>428</v>
      </c>
      <c r="I63" t="str">
        <f t="shared" si="2"/>
        <v>High Discount</v>
      </c>
    </row>
    <row r="64" spans="1:12" x14ac:dyDescent="0.35">
      <c r="A64" s="15" t="s">
        <v>67</v>
      </c>
      <c r="B64" s="6">
        <v>325</v>
      </c>
      <c r="C64" s="6">
        <v>680</v>
      </c>
      <c r="D64" s="1">
        <v>0.52</v>
      </c>
      <c r="E64">
        <v>15</v>
      </c>
      <c r="F64">
        <v>2.7</v>
      </c>
      <c r="G64" t="str">
        <f t="shared" si="0"/>
        <v>Poor</v>
      </c>
      <c r="H64" s="6">
        <f t="shared" si="1"/>
        <v>355</v>
      </c>
      <c r="I64" t="str">
        <f t="shared" si="2"/>
        <v>High Discount</v>
      </c>
    </row>
    <row r="65" spans="1:9" x14ac:dyDescent="0.35">
      <c r="A65" s="15" t="s">
        <v>68</v>
      </c>
      <c r="B65" s="6">
        <v>1220</v>
      </c>
      <c r="C65" s="6">
        <v>1555</v>
      </c>
      <c r="D65" s="1">
        <v>0.22</v>
      </c>
      <c r="E65">
        <v>16</v>
      </c>
      <c r="F65">
        <v>2.9</v>
      </c>
      <c r="G65" t="str">
        <f t="shared" si="0"/>
        <v>Poor</v>
      </c>
      <c r="H65" s="6">
        <f t="shared" si="1"/>
        <v>335</v>
      </c>
      <c r="I65" t="str">
        <f t="shared" si="2"/>
        <v>Medium Discount</v>
      </c>
    </row>
    <row r="66" spans="1:9" x14ac:dyDescent="0.35">
      <c r="A66" s="15" t="s">
        <v>69</v>
      </c>
      <c r="B66" s="6">
        <v>990</v>
      </c>
      <c r="C66" s="6">
        <v>1814</v>
      </c>
      <c r="D66" s="1">
        <v>0.45</v>
      </c>
      <c r="E66">
        <v>6</v>
      </c>
      <c r="F66">
        <v>2.2000000000000002</v>
      </c>
      <c r="G66" t="str">
        <f t="shared" si="0"/>
        <v>Poor</v>
      </c>
      <c r="H66" s="6">
        <f t="shared" si="1"/>
        <v>824</v>
      </c>
      <c r="I66" t="str">
        <f t="shared" si="2"/>
        <v>High Discount</v>
      </c>
    </row>
    <row r="67" spans="1:9" x14ac:dyDescent="0.35">
      <c r="A67" s="15" t="s">
        <v>70</v>
      </c>
      <c r="B67" s="6">
        <v>1000</v>
      </c>
      <c r="C67" s="6">
        <v>2000</v>
      </c>
      <c r="D67" s="1">
        <v>0.5</v>
      </c>
      <c r="E67">
        <v>7</v>
      </c>
      <c r="F67">
        <v>2.2999999999999998</v>
      </c>
      <c r="G67" t="str">
        <f t="shared" ref="G67:G112" si="3">IF(F67="Not Provided", "N/A", IF(F67&lt;3, "Poor", IF(F67&lt;=4.4, "Average", "Excellent")))</f>
        <v>Poor</v>
      </c>
      <c r="H67" s="6">
        <f t="shared" ref="H67:H110" si="4">C67-B67</f>
        <v>1000</v>
      </c>
      <c r="I67" t="str">
        <f t="shared" ref="I67:I110" si="5">IF(D67&lt;20%, "Low Discount", IF(D67&lt;=40%, "Medium Discount", "High Discount"))</f>
        <v>High Discount</v>
      </c>
    </row>
    <row r="68" spans="1:9" x14ac:dyDescent="0.35">
      <c r="A68" s="15" t="s">
        <v>71</v>
      </c>
      <c r="B68" s="6">
        <v>3750</v>
      </c>
      <c r="C68" s="6">
        <v>6143</v>
      </c>
      <c r="D68" s="1">
        <v>0.39</v>
      </c>
      <c r="E68">
        <v>5</v>
      </c>
      <c r="F68">
        <v>3</v>
      </c>
      <c r="G68" t="str">
        <f t="shared" si="3"/>
        <v>Average</v>
      </c>
      <c r="H68" s="6">
        <f t="shared" si="4"/>
        <v>2393</v>
      </c>
      <c r="I68" t="str">
        <f t="shared" si="5"/>
        <v>Medium Discount</v>
      </c>
    </row>
    <row r="69" spans="1:9" x14ac:dyDescent="0.35">
      <c r="A69" s="15" t="s">
        <v>72</v>
      </c>
      <c r="B69" s="6">
        <v>382</v>
      </c>
      <c r="C69" s="6">
        <v>700</v>
      </c>
      <c r="D69" s="1">
        <v>0.45</v>
      </c>
      <c r="E69">
        <v>17</v>
      </c>
      <c r="F69">
        <v>2.6</v>
      </c>
      <c r="G69" t="str">
        <f t="shared" si="3"/>
        <v>Poor</v>
      </c>
      <c r="H69" s="6">
        <f t="shared" si="4"/>
        <v>318</v>
      </c>
      <c r="I69" t="str">
        <f t="shared" si="5"/>
        <v>High Discount</v>
      </c>
    </row>
    <row r="70" spans="1:9" x14ac:dyDescent="0.35">
      <c r="A70" s="15" t="s">
        <v>73</v>
      </c>
      <c r="B70" s="6">
        <v>2300</v>
      </c>
      <c r="C70" s="6">
        <v>3240</v>
      </c>
      <c r="D70" s="1">
        <v>0.28999999999999998</v>
      </c>
      <c r="E70">
        <v>5</v>
      </c>
      <c r="F70">
        <v>3</v>
      </c>
      <c r="G70" t="str">
        <f t="shared" si="3"/>
        <v>Average</v>
      </c>
      <c r="H70" s="6">
        <f t="shared" si="4"/>
        <v>940</v>
      </c>
      <c r="I70" t="str">
        <f t="shared" si="5"/>
        <v>Medium Discount</v>
      </c>
    </row>
    <row r="71" spans="1:9" x14ac:dyDescent="0.35">
      <c r="A71" s="15" t="s">
        <v>74</v>
      </c>
      <c r="B71" s="6">
        <v>345</v>
      </c>
      <c r="C71" s="6">
        <v>602</v>
      </c>
      <c r="D71" s="1">
        <v>0.43</v>
      </c>
      <c r="E71">
        <v>6</v>
      </c>
      <c r="F71">
        <v>2.2999999999999998</v>
      </c>
      <c r="G71" t="str">
        <f t="shared" si="3"/>
        <v>Poor</v>
      </c>
      <c r="H71" s="6">
        <f t="shared" si="4"/>
        <v>257</v>
      </c>
      <c r="I71" t="str">
        <f t="shared" si="5"/>
        <v>High Discount</v>
      </c>
    </row>
    <row r="72" spans="1:9" x14ac:dyDescent="0.35">
      <c r="A72" s="15" t="s">
        <v>75</v>
      </c>
      <c r="B72" s="6">
        <v>509</v>
      </c>
      <c r="C72" s="6">
        <v>899</v>
      </c>
      <c r="D72" s="1">
        <v>0.43</v>
      </c>
      <c r="E72">
        <v>5</v>
      </c>
      <c r="F72">
        <v>3</v>
      </c>
      <c r="G72" t="str">
        <f t="shared" si="3"/>
        <v>Average</v>
      </c>
      <c r="H72" s="6">
        <f t="shared" si="4"/>
        <v>390</v>
      </c>
      <c r="I72" t="str">
        <f t="shared" si="5"/>
        <v>High Discount</v>
      </c>
    </row>
    <row r="73" spans="1:9" x14ac:dyDescent="0.35">
      <c r="A73" s="15" t="s">
        <v>76</v>
      </c>
      <c r="B73" s="6">
        <v>968</v>
      </c>
      <c r="C73" s="6">
        <v>1814</v>
      </c>
      <c r="D73" s="1">
        <v>0.47</v>
      </c>
      <c r="E73">
        <v>6</v>
      </c>
      <c r="F73">
        <v>2.2000000000000002</v>
      </c>
      <c r="G73" t="str">
        <f t="shared" si="3"/>
        <v>Poor</v>
      </c>
      <c r="H73" s="6">
        <f t="shared" si="4"/>
        <v>846</v>
      </c>
      <c r="I73" t="str">
        <f t="shared" si="5"/>
        <v>High Discount</v>
      </c>
    </row>
    <row r="74" spans="1:9" x14ac:dyDescent="0.35">
      <c r="A74" s="15" t="s">
        <v>77</v>
      </c>
      <c r="B74" s="6">
        <v>1570</v>
      </c>
      <c r="C74" s="6">
        <v>2988</v>
      </c>
      <c r="D74" s="1">
        <v>0.47</v>
      </c>
      <c r="E74">
        <v>7</v>
      </c>
      <c r="F74">
        <v>2.1</v>
      </c>
      <c r="G74" t="str">
        <f t="shared" si="3"/>
        <v>Poor</v>
      </c>
      <c r="H74" s="6">
        <f t="shared" si="4"/>
        <v>1418</v>
      </c>
      <c r="I74" t="str">
        <f t="shared" si="5"/>
        <v>High Discount</v>
      </c>
    </row>
    <row r="75" spans="1:9" x14ac:dyDescent="0.35">
      <c r="A75" s="15" t="s">
        <v>78</v>
      </c>
      <c r="B75" s="6">
        <v>790</v>
      </c>
      <c r="C75" s="6">
        <v>1485</v>
      </c>
      <c r="D75" s="1">
        <v>0.47</v>
      </c>
      <c r="E75">
        <v>0</v>
      </c>
      <c r="F75" t="s">
        <v>117</v>
      </c>
      <c r="G75" t="str">
        <f t="shared" si="3"/>
        <v>N/A</v>
      </c>
      <c r="H75" s="6">
        <f t="shared" si="4"/>
        <v>695</v>
      </c>
      <c r="I75" t="str">
        <f t="shared" si="5"/>
        <v>High Discount</v>
      </c>
    </row>
    <row r="76" spans="1:9" x14ac:dyDescent="0.35">
      <c r="A76" s="15" t="s">
        <v>79</v>
      </c>
      <c r="B76" s="6">
        <v>690</v>
      </c>
      <c r="C76" s="6">
        <v>1200</v>
      </c>
      <c r="D76" s="1">
        <v>0.43</v>
      </c>
      <c r="E76">
        <v>0</v>
      </c>
      <c r="F76" t="s">
        <v>117</v>
      </c>
      <c r="G76" t="str">
        <f t="shared" si="3"/>
        <v>N/A</v>
      </c>
      <c r="H76" s="6">
        <f t="shared" si="4"/>
        <v>510</v>
      </c>
      <c r="I76" t="str">
        <f t="shared" si="5"/>
        <v>High Discount</v>
      </c>
    </row>
    <row r="77" spans="1:9" x14ac:dyDescent="0.35">
      <c r="A77" s="15" t="s">
        <v>80</v>
      </c>
      <c r="B77" s="6">
        <v>1732</v>
      </c>
      <c r="C77" s="6">
        <v>1799</v>
      </c>
      <c r="D77" s="1">
        <v>0.04</v>
      </c>
      <c r="E77">
        <v>0</v>
      </c>
      <c r="F77" t="s">
        <v>117</v>
      </c>
      <c r="G77" t="str">
        <f t="shared" si="3"/>
        <v>N/A</v>
      </c>
      <c r="H77" s="6">
        <f t="shared" si="4"/>
        <v>67</v>
      </c>
      <c r="I77" t="str">
        <f t="shared" si="5"/>
        <v>Low Discount</v>
      </c>
    </row>
    <row r="78" spans="1:9" x14ac:dyDescent="0.35">
      <c r="A78" s="15" t="s">
        <v>81</v>
      </c>
      <c r="B78" s="6">
        <v>230</v>
      </c>
      <c r="C78" s="6">
        <v>450</v>
      </c>
      <c r="D78" s="1">
        <v>0.49</v>
      </c>
      <c r="E78">
        <v>0</v>
      </c>
      <c r="F78" t="s">
        <v>117</v>
      </c>
      <c r="G78" t="str">
        <f t="shared" si="3"/>
        <v>N/A</v>
      </c>
      <c r="H78" s="6">
        <f t="shared" si="4"/>
        <v>220</v>
      </c>
      <c r="I78" t="str">
        <f t="shared" si="5"/>
        <v>High Discount</v>
      </c>
    </row>
    <row r="79" spans="1:9" x14ac:dyDescent="0.35">
      <c r="A79" s="15" t="s">
        <v>82</v>
      </c>
      <c r="B79" s="6">
        <v>1189</v>
      </c>
      <c r="C79" s="6">
        <v>2199</v>
      </c>
      <c r="D79" s="1">
        <v>0.46</v>
      </c>
      <c r="E79">
        <v>1</v>
      </c>
      <c r="F79">
        <v>3</v>
      </c>
      <c r="G79" t="str">
        <f t="shared" si="3"/>
        <v>Average</v>
      </c>
      <c r="H79" s="6">
        <f t="shared" si="4"/>
        <v>1010</v>
      </c>
      <c r="I79" t="str">
        <f t="shared" si="5"/>
        <v>High Discount</v>
      </c>
    </row>
    <row r="80" spans="1:9" x14ac:dyDescent="0.35">
      <c r="A80" s="15" t="s">
        <v>83</v>
      </c>
      <c r="B80" s="6">
        <v>979</v>
      </c>
      <c r="C80" s="6">
        <v>1920</v>
      </c>
      <c r="D80" s="1">
        <v>0.49</v>
      </c>
      <c r="E80">
        <v>1</v>
      </c>
      <c r="F80">
        <v>5</v>
      </c>
      <c r="G80" t="str">
        <f t="shared" si="3"/>
        <v>Excellent</v>
      </c>
      <c r="H80" s="6">
        <f t="shared" si="4"/>
        <v>941</v>
      </c>
      <c r="I80" t="str">
        <f t="shared" si="5"/>
        <v>High Discount</v>
      </c>
    </row>
    <row r="81" spans="1:9" x14ac:dyDescent="0.35">
      <c r="A81" s="15" t="s">
        <v>84</v>
      </c>
      <c r="B81" s="6">
        <v>1460</v>
      </c>
      <c r="C81" s="6">
        <v>2290</v>
      </c>
      <c r="D81" s="1">
        <v>0.36</v>
      </c>
      <c r="E81">
        <v>0</v>
      </c>
      <c r="F81" t="s">
        <v>117</v>
      </c>
      <c r="G81" t="str">
        <f t="shared" si="3"/>
        <v>N/A</v>
      </c>
      <c r="H81" s="6">
        <f t="shared" si="4"/>
        <v>830</v>
      </c>
      <c r="I81" t="str">
        <f t="shared" si="5"/>
        <v>Medium Discount</v>
      </c>
    </row>
    <row r="82" spans="1:9" x14ac:dyDescent="0.35">
      <c r="A82" s="15" t="s">
        <v>85</v>
      </c>
      <c r="B82" s="6">
        <v>1666</v>
      </c>
      <c r="C82" s="6">
        <v>1699</v>
      </c>
      <c r="D82" s="1">
        <v>0.02</v>
      </c>
      <c r="E82">
        <v>0</v>
      </c>
      <c r="F82" t="s">
        <v>117</v>
      </c>
      <c r="G82" t="str">
        <f t="shared" si="3"/>
        <v>N/A</v>
      </c>
      <c r="H82" s="6">
        <f t="shared" si="4"/>
        <v>33</v>
      </c>
      <c r="I82" t="str">
        <f t="shared" si="5"/>
        <v>Low Discount</v>
      </c>
    </row>
    <row r="83" spans="1:9" x14ac:dyDescent="0.35">
      <c r="A83" s="15" t="s">
        <v>86</v>
      </c>
      <c r="B83" s="6">
        <v>330</v>
      </c>
      <c r="C83" s="6">
        <v>647</v>
      </c>
      <c r="D83" s="1">
        <v>0.49</v>
      </c>
      <c r="E83">
        <v>1</v>
      </c>
      <c r="F83">
        <v>4</v>
      </c>
      <c r="G83" t="str">
        <f t="shared" si="3"/>
        <v>Average</v>
      </c>
      <c r="H83" s="6">
        <f t="shared" si="4"/>
        <v>317</v>
      </c>
      <c r="I83" t="str">
        <f t="shared" si="5"/>
        <v>High Discount</v>
      </c>
    </row>
    <row r="84" spans="1:9" x14ac:dyDescent="0.35">
      <c r="A84" s="15" t="s">
        <v>87</v>
      </c>
      <c r="B84" s="6">
        <v>1466</v>
      </c>
      <c r="C84" s="6">
        <v>1699</v>
      </c>
      <c r="D84" s="1">
        <v>0.14000000000000001</v>
      </c>
      <c r="E84">
        <v>0</v>
      </c>
      <c r="F84" t="s">
        <v>117</v>
      </c>
      <c r="G84" t="str">
        <f t="shared" si="3"/>
        <v>N/A</v>
      </c>
      <c r="H84" s="6">
        <f t="shared" si="4"/>
        <v>233</v>
      </c>
      <c r="I84" t="str">
        <f t="shared" si="5"/>
        <v>Low Discount</v>
      </c>
    </row>
    <row r="85" spans="1:9" x14ac:dyDescent="0.35">
      <c r="A85" s="15" t="s">
        <v>88</v>
      </c>
      <c r="B85" s="6">
        <v>274</v>
      </c>
      <c r="C85" s="6">
        <v>537</v>
      </c>
      <c r="D85" s="1">
        <v>0.49</v>
      </c>
      <c r="E85">
        <v>0</v>
      </c>
      <c r="F85" t="s">
        <v>117</v>
      </c>
      <c r="G85" t="str">
        <f t="shared" si="3"/>
        <v>N/A</v>
      </c>
      <c r="H85" s="6">
        <f t="shared" si="4"/>
        <v>263</v>
      </c>
      <c r="I85" t="str">
        <f t="shared" si="5"/>
        <v>High Discount</v>
      </c>
    </row>
    <row r="86" spans="1:9" x14ac:dyDescent="0.35">
      <c r="A86" s="15" t="s">
        <v>89</v>
      </c>
      <c r="B86" s="6">
        <v>799</v>
      </c>
      <c r="C86" s="6">
        <v>900</v>
      </c>
      <c r="D86" s="1">
        <v>0.11</v>
      </c>
      <c r="E86">
        <v>0</v>
      </c>
      <c r="F86" t="s">
        <v>117</v>
      </c>
      <c r="G86" t="str">
        <f t="shared" si="3"/>
        <v>N/A</v>
      </c>
      <c r="H86" s="6">
        <f t="shared" si="4"/>
        <v>101</v>
      </c>
      <c r="I86" t="str">
        <f t="shared" si="5"/>
        <v>Low Discount</v>
      </c>
    </row>
    <row r="87" spans="1:9" x14ac:dyDescent="0.35">
      <c r="A87" s="15" t="s">
        <v>90</v>
      </c>
      <c r="B87" s="6">
        <v>1468</v>
      </c>
      <c r="C87" s="6">
        <v>1699</v>
      </c>
      <c r="D87" s="1">
        <v>0.14000000000000001</v>
      </c>
      <c r="E87">
        <v>0</v>
      </c>
      <c r="F87" t="s">
        <v>117</v>
      </c>
      <c r="G87" t="str">
        <f t="shared" si="3"/>
        <v>N/A</v>
      </c>
      <c r="H87" s="6">
        <f t="shared" si="4"/>
        <v>231</v>
      </c>
      <c r="I87" t="str">
        <f t="shared" si="5"/>
        <v>Low Discount</v>
      </c>
    </row>
    <row r="88" spans="1:9" x14ac:dyDescent="0.35">
      <c r="A88" s="15" t="s">
        <v>91</v>
      </c>
      <c r="B88" s="6">
        <v>630</v>
      </c>
      <c r="C88" s="6">
        <v>1100</v>
      </c>
      <c r="D88" s="1">
        <v>0.43</v>
      </c>
      <c r="E88">
        <v>0</v>
      </c>
      <c r="F88" t="s">
        <v>117</v>
      </c>
      <c r="G88" t="str">
        <f t="shared" si="3"/>
        <v>N/A</v>
      </c>
      <c r="H88" s="6">
        <f t="shared" si="4"/>
        <v>470</v>
      </c>
      <c r="I88" t="str">
        <f t="shared" si="5"/>
        <v>High Discount</v>
      </c>
    </row>
    <row r="89" spans="1:9" x14ac:dyDescent="0.35">
      <c r="A89" s="15" t="s">
        <v>92</v>
      </c>
      <c r="B89" s="6">
        <v>850</v>
      </c>
      <c r="C89" s="6">
        <v>1700</v>
      </c>
      <c r="D89" s="1">
        <v>0.5</v>
      </c>
      <c r="E89">
        <v>0</v>
      </c>
      <c r="F89" t="s">
        <v>117</v>
      </c>
      <c r="G89" t="str">
        <f t="shared" si="3"/>
        <v>N/A</v>
      </c>
      <c r="H89" s="6">
        <f t="shared" si="4"/>
        <v>850</v>
      </c>
      <c r="I89" t="str">
        <f t="shared" si="5"/>
        <v>High Discount</v>
      </c>
    </row>
    <row r="90" spans="1:9" x14ac:dyDescent="0.35">
      <c r="A90" s="15" t="s">
        <v>93</v>
      </c>
      <c r="B90" s="6">
        <v>1300</v>
      </c>
      <c r="C90" s="6">
        <v>2500</v>
      </c>
      <c r="D90" s="1">
        <v>0.48</v>
      </c>
      <c r="E90">
        <v>0</v>
      </c>
      <c r="F90" t="s">
        <v>117</v>
      </c>
      <c r="G90" t="str">
        <f t="shared" si="3"/>
        <v>N/A</v>
      </c>
      <c r="H90" s="6">
        <f t="shared" si="4"/>
        <v>1200</v>
      </c>
      <c r="I90" t="str">
        <f t="shared" si="5"/>
        <v>High Discount</v>
      </c>
    </row>
    <row r="91" spans="1:9" x14ac:dyDescent="0.35">
      <c r="A91" s="15" t="s">
        <v>94</v>
      </c>
      <c r="B91" s="6">
        <v>105</v>
      </c>
      <c r="C91" s="6">
        <v>200</v>
      </c>
      <c r="D91" s="1">
        <v>0.48</v>
      </c>
      <c r="E91">
        <v>0</v>
      </c>
      <c r="F91" t="s">
        <v>117</v>
      </c>
      <c r="G91" t="str">
        <f t="shared" si="3"/>
        <v>N/A</v>
      </c>
      <c r="H91" s="6">
        <f t="shared" si="4"/>
        <v>95</v>
      </c>
      <c r="I91" t="str">
        <f t="shared" si="5"/>
        <v>High Discount</v>
      </c>
    </row>
    <row r="92" spans="1:9" x14ac:dyDescent="0.35">
      <c r="A92" s="15" t="s">
        <v>95</v>
      </c>
      <c r="B92" s="6">
        <v>899</v>
      </c>
      <c r="C92" s="6">
        <v>1699</v>
      </c>
      <c r="D92" s="1">
        <v>0.47</v>
      </c>
      <c r="E92">
        <v>0</v>
      </c>
      <c r="F92" t="s">
        <v>117</v>
      </c>
      <c r="G92" t="str">
        <f t="shared" si="3"/>
        <v>N/A</v>
      </c>
      <c r="H92" s="6">
        <f t="shared" si="4"/>
        <v>800</v>
      </c>
      <c r="I92" t="str">
        <f t="shared" si="5"/>
        <v>High Discount</v>
      </c>
    </row>
    <row r="93" spans="1:9" x14ac:dyDescent="0.35">
      <c r="A93" s="15" t="s">
        <v>96</v>
      </c>
      <c r="B93" s="6">
        <v>1200</v>
      </c>
      <c r="C93" s="6">
        <v>2400</v>
      </c>
      <c r="D93" s="1">
        <v>0.5</v>
      </c>
      <c r="E93">
        <v>0</v>
      </c>
      <c r="F93" t="s">
        <v>117</v>
      </c>
      <c r="G93" t="str">
        <f t="shared" si="3"/>
        <v>N/A</v>
      </c>
      <c r="H93" s="6">
        <f t="shared" si="4"/>
        <v>1200</v>
      </c>
      <c r="I93" t="str">
        <f t="shared" si="5"/>
        <v>High Discount</v>
      </c>
    </row>
    <row r="94" spans="1:9" x14ac:dyDescent="0.35">
      <c r="A94" s="15" t="s">
        <v>97</v>
      </c>
      <c r="B94" s="6">
        <v>1526</v>
      </c>
      <c r="C94" s="6">
        <v>1660</v>
      </c>
      <c r="D94" s="1">
        <v>0.08</v>
      </c>
      <c r="E94">
        <v>0</v>
      </c>
      <c r="F94" t="s">
        <v>117</v>
      </c>
      <c r="G94" t="str">
        <f t="shared" si="3"/>
        <v>N/A</v>
      </c>
      <c r="H94" s="6">
        <f t="shared" si="4"/>
        <v>134</v>
      </c>
      <c r="I94" t="str">
        <f t="shared" si="5"/>
        <v>Low Discount</v>
      </c>
    </row>
    <row r="95" spans="1:9" x14ac:dyDescent="0.35">
      <c r="A95" s="15" t="s">
        <v>98</v>
      </c>
      <c r="B95" s="6">
        <v>1462</v>
      </c>
      <c r="C95" s="6">
        <v>1499</v>
      </c>
      <c r="D95" s="1">
        <v>0.02</v>
      </c>
      <c r="E95">
        <v>0</v>
      </c>
      <c r="F95" t="s">
        <v>117</v>
      </c>
      <c r="G95" t="str">
        <f t="shared" si="3"/>
        <v>N/A</v>
      </c>
      <c r="H95" s="6">
        <f t="shared" si="4"/>
        <v>37</v>
      </c>
      <c r="I95" t="str">
        <f t="shared" si="5"/>
        <v>Low Discount</v>
      </c>
    </row>
    <row r="96" spans="1:9" x14ac:dyDescent="0.35">
      <c r="A96" s="15" t="s">
        <v>99</v>
      </c>
      <c r="B96" s="6">
        <v>248</v>
      </c>
      <c r="C96" s="6">
        <v>486</v>
      </c>
      <c r="D96" s="1">
        <v>0.49</v>
      </c>
      <c r="E96">
        <v>0</v>
      </c>
      <c r="F96" t="s">
        <v>117</v>
      </c>
      <c r="G96" t="str">
        <f t="shared" si="3"/>
        <v>N/A</v>
      </c>
      <c r="H96" s="6">
        <f t="shared" si="4"/>
        <v>238</v>
      </c>
      <c r="I96" t="str">
        <f t="shared" si="5"/>
        <v>High Discount</v>
      </c>
    </row>
    <row r="97" spans="1:9" x14ac:dyDescent="0.35">
      <c r="A97" s="15" t="s">
        <v>100</v>
      </c>
      <c r="B97" s="6">
        <v>3546</v>
      </c>
      <c r="C97" s="6">
        <v>3699</v>
      </c>
      <c r="D97" s="1">
        <v>0.04</v>
      </c>
      <c r="E97">
        <v>0</v>
      </c>
      <c r="F97" t="s">
        <v>117</v>
      </c>
      <c r="G97" t="str">
        <f t="shared" si="3"/>
        <v>N/A</v>
      </c>
      <c r="H97" s="6">
        <f t="shared" si="4"/>
        <v>153</v>
      </c>
      <c r="I97" t="str">
        <f t="shared" si="5"/>
        <v>Low Discount</v>
      </c>
    </row>
    <row r="98" spans="1:9" x14ac:dyDescent="0.35">
      <c r="A98" s="15" t="s">
        <v>101</v>
      </c>
      <c r="B98" s="6">
        <v>525</v>
      </c>
      <c r="C98" s="6">
        <v>1029</v>
      </c>
      <c r="D98" s="1">
        <v>0.49</v>
      </c>
      <c r="E98">
        <v>0</v>
      </c>
      <c r="F98" t="s">
        <v>117</v>
      </c>
      <c r="G98" t="str">
        <f t="shared" si="3"/>
        <v>N/A</v>
      </c>
      <c r="H98" s="6">
        <f t="shared" si="4"/>
        <v>504</v>
      </c>
      <c r="I98" t="str">
        <f t="shared" si="5"/>
        <v>High Discount</v>
      </c>
    </row>
    <row r="99" spans="1:9" x14ac:dyDescent="0.35">
      <c r="A99" s="15" t="s">
        <v>102</v>
      </c>
      <c r="B99" s="6">
        <v>1080</v>
      </c>
      <c r="C99" s="6">
        <v>1874</v>
      </c>
      <c r="D99" s="1">
        <v>0.42</v>
      </c>
      <c r="E99">
        <v>0</v>
      </c>
      <c r="F99" t="s">
        <v>117</v>
      </c>
      <c r="G99" t="str">
        <f t="shared" si="3"/>
        <v>N/A</v>
      </c>
      <c r="H99" s="6">
        <f t="shared" si="4"/>
        <v>794</v>
      </c>
      <c r="I99" t="str">
        <f t="shared" si="5"/>
        <v>High Discount</v>
      </c>
    </row>
    <row r="100" spans="1:9" x14ac:dyDescent="0.35">
      <c r="A100" s="15" t="s">
        <v>103</v>
      </c>
      <c r="B100" s="6">
        <v>3640</v>
      </c>
      <c r="C100" s="6">
        <v>4588</v>
      </c>
      <c r="D100" s="1">
        <v>0.21</v>
      </c>
      <c r="E100">
        <v>1</v>
      </c>
      <c r="F100">
        <v>5</v>
      </c>
      <c r="G100" t="str">
        <f t="shared" si="3"/>
        <v>Excellent</v>
      </c>
      <c r="H100" s="6">
        <f t="shared" si="4"/>
        <v>948</v>
      </c>
      <c r="I100" t="str">
        <f t="shared" si="5"/>
        <v>Medium Discount</v>
      </c>
    </row>
    <row r="101" spans="1:9" x14ac:dyDescent="0.35">
      <c r="A101" s="15" t="s">
        <v>104</v>
      </c>
      <c r="B101" s="6">
        <v>1420</v>
      </c>
      <c r="C101" s="6">
        <v>2420</v>
      </c>
      <c r="D101" s="1">
        <v>0.41</v>
      </c>
      <c r="E101">
        <v>0</v>
      </c>
      <c r="F101" t="s">
        <v>117</v>
      </c>
      <c r="G101" t="str">
        <f t="shared" si="3"/>
        <v>N/A</v>
      </c>
      <c r="H101" s="6">
        <f t="shared" si="4"/>
        <v>1000</v>
      </c>
      <c r="I101" t="str">
        <f t="shared" si="5"/>
        <v>High Discount</v>
      </c>
    </row>
    <row r="102" spans="1:9" x14ac:dyDescent="0.35">
      <c r="A102" s="15" t="s">
        <v>105</v>
      </c>
      <c r="B102" s="6">
        <v>1875</v>
      </c>
      <c r="C102" s="6">
        <v>1899</v>
      </c>
      <c r="D102" s="1">
        <v>0.01</v>
      </c>
      <c r="E102">
        <v>0</v>
      </c>
      <c r="F102" t="s">
        <v>117</v>
      </c>
      <c r="G102" t="str">
        <f t="shared" si="3"/>
        <v>N/A</v>
      </c>
      <c r="H102" s="6">
        <f t="shared" si="4"/>
        <v>24</v>
      </c>
      <c r="I102" t="str">
        <f t="shared" si="5"/>
        <v>Low Discount</v>
      </c>
    </row>
    <row r="103" spans="1:9" x14ac:dyDescent="0.35">
      <c r="A103" s="15" t="s">
        <v>106</v>
      </c>
      <c r="B103" s="6">
        <v>198</v>
      </c>
      <c r="C103" s="6">
        <v>260</v>
      </c>
      <c r="D103" s="1">
        <v>0.24</v>
      </c>
      <c r="E103">
        <v>0</v>
      </c>
      <c r="F103" t="s">
        <v>117</v>
      </c>
      <c r="G103" t="str">
        <f t="shared" si="3"/>
        <v>N/A</v>
      </c>
      <c r="H103" s="6">
        <f t="shared" si="4"/>
        <v>62</v>
      </c>
      <c r="I103" t="str">
        <f t="shared" si="5"/>
        <v>Medium Discount</v>
      </c>
    </row>
    <row r="104" spans="1:9" x14ac:dyDescent="0.35">
      <c r="A104" s="15" t="s">
        <v>107</v>
      </c>
      <c r="B104" s="6">
        <v>1150</v>
      </c>
      <c r="C104" s="6">
        <v>1737</v>
      </c>
      <c r="D104" s="1">
        <v>0.34</v>
      </c>
      <c r="E104">
        <v>0</v>
      </c>
      <c r="F104" t="s">
        <v>117</v>
      </c>
      <c r="G104" t="str">
        <f t="shared" si="3"/>
        <v>N/A</v>
      </c>
      <c r="H104" s="6">
        <f t="shared" si="4"/>
        <v>587</v>
      </c>
      <c r="I104" t="str">
        <f t="shared" si="5"/>
        <v>Medium Discount</v>
      </c>
    </row>
    <row r="105" spans="1:9" x14ac:dyDescent="0.35">
      <c r="A105" s="15" t="s">
        <v>108</v>
      </c>
      <c r="B105" s="6">
        <v>1190</v>
      </c>
      <c r="C105" s="6">
        <v>1810</v>
      </c>
      <c r="D105" s="1">
        <v>0.34</v>
      </c>
      <c r="E105">
        <v>0</v>
      </c>
      <c r="F105" t="s">
        <v>117</v>
      </c>
      <c r="G105" t="str">
        <f t="shared" si="3"/>
        <v>N/A</v>
      </c>
      <c r="H105" s="6">
        <f t="shared" si="4"/>
        <v>620</v>
      </c>
      <c r="I105" t="str">
        <f t="shared" si="5"/>
        <v>Medium Discount</v>
      </c>
    </row>
    <row r="106" spans="1:9" x14ac:dyDescent="0.35">
      <c r="A106" s="15" t="s">
        <v>109</v>
      </c>
      <c r="B106" s="6">
        <v>1658</v>
      </c>
      <c r="C106" s="6">
        <v>1699</v>
      </c>
      <c r="D106" s="1">
        <v>0.02</v>
      </c>
      <c r="E106">
        <v>0</v>
      </c>
      <c r="F106" t="s">
        <v>117</v>
      </c>
      <c r="G106" t="str">
        <f t="shared" si="3"/>
        <v>N/A</v>
      </c>
      <c r="H106" s="6">
        <f t="shared" si="4"/>
        <v>41</v>
      </c>
      <c r="I106" t="str">
        <f t="shared" si="5"/>
        <v>Low Discount</v>
      </c>
    </row>
    <row r="107" spans="1:9" x14ac:dyDescent="0.35">
      <c r="A107" s="15" t="s">
        <v>110</v>
      </c>
      <c r="B107" s="6">
        <v>1768</v>
      </c>
      <c r="C107" s="6">
        <v>1799</v>
      </c>
      <c r="D107" s="1">
        <v>0.02</v>
      </c>
      <c r="E107">
        <v>0</v>
      </c>
      <c r="F107" t="s">
        <v>117</v>
      </c>
      <c r="G107" t="str">
        <f t="shared" si="3"/>
        <v>N/A</v>
      </c>
      <c r="H107" s="6">
        <f t="shared" si="4"/>
        <v>31</v>
      </c>
      <c r="I107" t="str">
        <f t="shared" si="5"/>
        <v>Low Discount</v>
      </c>
    </row>
    <row r="108" spans="1:9" x14ac:dyDescent="0.35">
      <c r="A108" s="15" t="s">
        <v>111</v>
      </c>
      <c r="B108" s="6">
        <v>199</v>
      </c>
      <c r="C108" s="6">
        <v>553</v>
      </c>
      <c r="D108" s="1">
        <v>0.64</v>
      </c>
      <c r="E108">
        <v>0</v>
      </c>
      <c r="F108" t="s">
        <v>117</v>
      </c>
      <c r="G108" t="str">
        <f t="shared" si="3"/>
        <v>N/A</v>
      </c>
      <c r="H108" s="6">
        <f t="shared" si="4"/>
        <v>354</v>
      </c>
      <c r="I108" t="str">
        <f t="shared" si="5"/>
        <v>High Discount</v>
      </c>
    </row>
    <row r="109" spans="1:9" x14ac:dyDescent="0.35">
      <c r="A109" s="15" t="s">
        <v>112</v>
      </c>
      <c r="B109" s="6">
        <v>450</v>
      </c>
      <c r="C109" s="6">
        <v>900</v>
      </c>
      <c r="D109" s="1">
        <v>0.5</v>
      </c>
      <c r="E109">
        <v>1</v>
      </c>
      <c r="F109">
        <v>2</v>
      </c>
      <c r="G109" t="str">
        <f t="shared" si="3"/>
        <v>Poor</v>
      </c>
      <c r="H109" s="6">
        <f t="shared" si="4"/>
        <v>450</v>
      </c>
      <c r="I109" t="str">
        <f t="shared" si="5"/>
        <v>High Discount</v>
      </c>
    </row>
    <row r="110" spans="1:9" x14ac:dyDescent="0.35">
      <c r="A110" s="15" t="s">
        <v>113</v>
      </c>
      <c r="B110" s="6">
        <v>169</v>
      </c>
      <c r="C110" s="6">
        <v>320</v>
      </c>
      <c r="D110" s="1">
        <v>0.47</v>
      </c>
      <c r="E110">
        <v>0</v>
      </c>
      <c r="F110" t="s">
        <v>117</v>
      </c>
      <c r="G110" t="str">
        <f t="shared" si="3"/>
        <v>N/A</v>
      </c>
      <c r="H110" s="6">
        <f t="shared" si="4"/>
        <v>151</v>
      </c>
      <c r="I110" t="str">
        <f t="shared" si="5"/>
        <v>High Discount</v>
      </c>
    </row>
    <row r="112" spans="1:9" x14ac:dyDescent="0.35">
      <c r="A112" s="16">
        <f>COUNT(A2:A110)</f>
        <v>0</v>
      </c>
      <c r="B112" s="8" t="s">
        <v>156</v>
      </c>
    </row>
    <row r="113" spans="2:6" x14ac:dyDescent="0.35">
      <c r="B113" s="6">
        <f>AVERAGE(B2:B110)</f>
        <v>1208.2568807339449</v>
      </c>
      <c r="C113" s="6">
        <f>AVERAGE(C2:C110)</f>
        <v>1837.7522935779816</v>
      </c>
      <c r="D113" s="1">
        <f>AVERAGE(D2:D110)</f>
        <v>0.36385321100917423</v>
      </c>
      <c r="F113">
        <f>AVERAGE(F2:F110)</f>
        <v>3.8894736842105258</v>
      </c>
    </row>
    <row r="114" spans="2:6" x14ac:dyDescent="0.35">
      <c r="B114" s="6" t="s">
        <v>159</v>
      </c>
    </row>
    <row r="115" spans="2:6" x14ac:dyDescent="0.35">
      <c r="B115" s="8" t="s">
        <v>157</v>
      </c>
    </row>
    <row r="116" spans="2:6" x14ac:dyDescent="0.35">
      <c r="B116" s="6">
        <f>MAX(B2:B110)</f>
        <v>3750</v>
      </c>
    </row>
    <row r="117" spans="2:6" x14ac:dyDescent="0.35">
      <c r="B117" s="8" t="s">
        <v>158</v>
      </c>
    </row>
    <row r="118" spans="2:6" x14ac:dyDescent="0.35">
      <c r="B118" s="6">
        <f>MIN(B2:B110)</f>
        <v>38</v>
      </c>
    </row>
  </sheetData>
  <autoFilter ref="A1:F110" xr:uid="{A2297210-1D0C-47A6-8D9E-247D7E7C98E0}"/>
  <conditionalFormatting sqref="B1:B1048576">
    <cfRule type="cellIs" dxfId="2" priority="1" operator="equal">
      <formula>38</formula>
    </cfRule>
    <cfRule type="cellIs" dxfId="1" priority="2" operator="equal">
      <formula>3750</formula>
    </cfRule>
    <cfRule type="cellIs" dxfId="0" priority="3" operator="equal">
      <formula>"KES 3,750"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4D02C-64D1-4C67-A075-04615AE23B29}">
  <dimension ref="A1:F110"/>
  <sheetViews>
    <sheetView topLeftCell="B1" workbookViewId="0">
      <selection activeCell="E4" sqref="E1:F6"/>
    </sheetView>
  </sheetViews>
  <sheetFormatPr defaultRowHeight="14.5" x14ac:dyDescent="0.35"/>
  <cols>
    <col min="1" max="1" width="89.1796875" bestFit="1" customWidth="1"/>
    <col min="2" max="2" width="15" bestFit="1" customWidth="1"/>
    <col min="5" max="5" width="67.08984375" bestFit="1" customWidth="1"/>
  </cols>
  <sheetData>
    <row r="1" spans="1:6" ht="15.5" x14ac:dyDescent="0.35">
      <c r="A1" s="2" t="s">
        <v>0</v>
      </c>
      <c r="B1" s="2" t="s">
        <v>160</v>
      </c>
      <c r="E1" s="2" t="s">
        <v>207</v>
      </c>
    </row>
    <row r="2" spans="1:6" x14ac:dyDescent="0.35">
      <c r="A2" t="s">
        <v>112</v>
      </c>
      <c r="B2">
        <v>2</v>
      </c>
      <c r="E2" t="s">
        <v>20</v>
      </c>
      <c r="F2">
        <v>5</v>
      </c>
    </row>
    <row r="3" spans="1:6" x14ac:dyDescent="0.35">
      <c r="A3" t="s">
        <v>65</v>
      </c>
      <c r="B3">
        <v>2.1</v>
      </c>
      <c r="E3" t="s">
        <v>21</v>
      </c>
      <c r="F3">
        <v>5</v>
      </c>
    </row>
    <row r="4" spans="1:6" x14ac:dyDescent="0.35">
      <c r="A4" t="s">
        <v>77</v>
      </c>
      <c r="B4">
        <v>2.1</v>
      </c>
      <c r="E4" t="s">
        <v>22</v>
      </c>
      <c r="F4">
        <v>5</v>
      </c>
    </row>
    <row r="5" spans="1:6" x14ac:dyDescent="0.35">
      <c r="A5" t="s">
        <v>69</v>
      </c>
      <c r="B5">
        <v>2.2000000000000002</v>
      </c>
      <c r="E5" t="s">
        <v>40</v>
      </c>
      <c r="F5">
        <v>5</v>
      </c>
    </row>
    <row r="6" spans="1:6" x14ac:dyDescent="0.35">
      <c r="A6" t="s">
        <v>76</v>
      </c>
      <c r="B6">
        <v>2.2000000000000002</v>
      </c>
      <c r="E6" t="s">
        <v>41</v>
      </c>
      <c r="F6">
        <v>5</v>
      </c>
    </row>
    <row r="7" spans="1:6" x14ac:dyDescent="0.35">
      <c r="A7" t="s">
        <v>70</v>
      </c>
      <c r="B7">
        <v>2.2999999999999998</v>
      </c>
    </row>
    <row r="8" spans="1:6" ht="15.5" x14ac:dyDescent="0.35">
      <c r="A8" t="s">
        <v>74</v>
      </c>
      <c r="B8">
        <v>2.2999999999999998</v>
      </c>
      <c r="E8" s="2" t="s">
        <v>208</v>
      </c>
      <c r="F8" s="2"/>
    </row>
    <row r="9" spans="1:6" x14ac:dyDescent="0.35">
      <c r="A9" t="s">
        <v>63</v>
      </c>
      <c r="B9">
        <v>2.5</v>
      </c>
      <c r="E9" t="s">
        <v>112</v>
      </c>
      <c r="F9">
        <v>2</v>
      </c>
    </row>
    <row r="10" spans="1:6" x14ac:dyDescent="0.35">
      <c r="A10" t="s">
        <v>72</v>
      </c>
      <c r="B10">
        <v>2.6</v>
      </c>
      <c r="E10" t="s">
        <v>65</v>
      </c>
      <c r="F10">
        <v>2.1</v>
      </c>
    </row>
    <row r="11" spans="1:6" x14ac:dyDescent="0.35">
      <c r="A11" t="s">
        <v>67</v>
      </c>
      <c r="B11">
        <v>2.7</v>
      </c>
      <c r="E11" t="s">
        <v>77</v>
      </c>
      <c r="F11">
        <v>2.1</v>
      </c>
    </row>
    <row r="12" spans="1:6" x14ac:dyDescent="0.35">
      <c r="A12" t="s">
        <v>66</v>
      </c>
      <c r="B12">
        <v>2.8</v>
      </c>
      <c r="E12" t="s">
        <v>69</v>
      </c>
      <c r="F12">
        <v>2.2000000000000002</v>
      </c>
    </row>
    <row r="13" spans="1:6" x14ac:dyDescent="0.35">
      <c r="A13" t="s">
        <v>68</v>
      </c>
      <c r="B13">
        <v>2.9</v>
      </c>
      <c r="E13" t="s">
        <v>76</v>
      </c>
      <c r="F13">
        <v>2.2000000000000002</v>
      </c>
    </row>
    <row r="14" spans="1:6" x14ac:dyDescent="0.35">
      <c r="A14" t="s">
        <v>64</v>
      </c>
      <c r="B14">
        <v>3</v>
      </c>
    </row>
    <row r="15" spans="1:6" x14ac:dyDescent="0.35">
      <c r="A15" t="s">
        <v>71</v>
      </c>
      <c r="B15">
        <v>3</v>
      </c>
    </row>
    <row r="16" spans="1:6" x14ac:dyDescent="0.35">
      <c r="A16" t="s">
        <v>73</v>
      </c>
      <c r="B16">
        <v>3</v>
      </c>
    </row>
    <row r="17" spans="1:2" x14ac:dyDescent="0.35">
      <c r="A17" t="s">
        <v>75</v>
      </c>
      <c r="B17">
        <v>3</v>
      </c>
    </row>
    <row r="18" spans="1:2" x14ac:dyDescent="0.35">
      <c r="A18" t="s">
        <v>82</v>
      </c>
      <c r="B18">
        <v>3</v>
      </c>
    </row>
    <row r="19" spans="1:2" x14ac:dyDescent="0.35">
      <c r="A19" t="s">
        <v>25</v>
      </c>
      <c r="B19">
        <v>3.3</v>
      </c>
    </row>
    <row r="20" spans="1:2" x14ac:dyDescent="0.35">
      <c r="A20" t="s">
        <v>14</v>
      </c>
      <c r="B20">
        <v>3.8</v>
      </c>
    </row>
    <row r="21" spans="1:2" x14ac:dyDescent="0.35">
      <c r="A21" t="s">
        <v>31</v>
      </c>
      <c r="B21">
        <v>3.8</v>
      </c>
    </row>
    <row r="22" spans="1:2" x14ac:dyDescent="0.35">
      <c r="A22" t="s">
        <v>32</v>
      </c>
      <c r="B22">
        <v>3.8</v>
      </c>
    </row>
    <row r="23" spans="1:2" x14ac:dyDescent="0.35">
      <c r="A23" t="s">
        <v>10</v>
      </c>
      <c r="B23">
        <v>4</v>
      </c>
    </row>
    <row r="24" spans="1:2" x14ac:dyDescent="0.35">
      <c r="A24" t="s">
        <v>12</v>
      </c>
      <c r="B24">
        <v>4</v>
      </c>
    </row>
    <row r="25" spans="1:2" x14ac:dyDescent="0.35">
      <c r="A25" t="s">
        <v>27</v>
      </c>
      <c r="B25">
        <v>4</v>
      </c>
    </row>
    <row r="26" spans="1:2" x14ac:dyDescent="0.35">
      <c r="A26" t="s">
        <v>86</v>
      </c>
      <c r="B26">
        <v>4</v>
      </c>
    </row>
    <row r="27" spans="1:2" x14ac:dyDescent="0.35">
      <c r="A27" t="s">
        <v>6</v>
      </c>
      <c r="B27">
        <v>4.0999999999999996</v>
      </c>
    </row>
    <row r="28" spans="1:2" x14ac:dyDescent="0.35">
      <c r="A28" t="s">
        <v>15</v>
      </c>
      <c r="B28">
        <v>4.0999999999999996</v>
      </c>
    </row>
    <row r="29" spans="1:2" x14ac:dyDescent="0.35">
      <c r="A29" t="s">
        <v>33</v>
      </c>
      <c r="B29">
        <v>4.0999999999999996</v>
      </c>
    </row>
    <row r="30" spans="1:2" x14ac:dyDescent="0.35">
      <c r="A30" t="s">
        <v>19</v>
      </c>
      <c r="B30">
        <v>4.2</v>
      </c>
    </row>
    <row r="31" spans="1:2" x14ac:dyDescent="0.35">
      <c r="A31" t="s">
        <v>29</v>
      </c>
      <c r="B31">
        <v>4.3</v>
      </c>
    </row>
    <row r="32" spans="1:2" x14ac:dyDescent="0.35">
      <c r="A32" t="s">
        <v>35</v>
      </c>
      <c r="B32">
        <v>4.3</v>
      </c>
    </row>
    <row r="33" spans="1:2" x14ac:dyDescent="0.35">
      <c r="A33" t="s">
        <v>37</v>
      </c>
      <c r="B33">
        <v>4.3</v>
      </c>
    </row>
    <row r="34" spans="1:2" x14ac:dyDescent="0.35">
      <c r="A34" t="s">
        <v>42</v>
      </c>
      <c r="B34">
        <v>4.3</v>
      </c>
    </row>
    <row r="35" spans="1:2" x14ac:dyDescent="0.35">
      <c r="A35" t="s">
        <v>28</v>
      </c>
      <c r="B35">
        <v>4.4000000000000004</v>
      </c>
    </row>
    <row r="36" spans="1:2" x14ac:dyDescent="0.35">
      <c r="A36" t="s">
        <v>5</v>
      </c>
      <c r="B36">
        <v>4.5</v>
      </c>
    </row>
    <row r="37" spans="1:2" x14ac:dyDescent="0.35">
      <c r="A37" t="s">
        <v>18</v>
      </c>
      <c r="B37">
        <v>4.5</v>
      </c>
    </row>
    <row r="38" spans="1:2" x14ac:dyDescent="0.35">
      <c r="A38" t="s">
        <v>39</v>
      </c>
      <c r="B38">
        <v>4.5</v>
      </c>
    </row>
    <row r="39" spans="1:2" x14ac:dyDescent="0.35">
      <c r="A39" t="s">
        <v>43</v>
      </c>
      <c r="B39">
        <v>4.5</v>
      </c>
    </row>
    <row r="40" spans="1:2" x14ac:dyDescent="0.35">
      <c r="A40" t="s">
        <v>7</v>
      </c>
      <c r="B40">
        <v>4.5999999999999996</v>
      </c>
    </row>
    <row r="41" spans="1:2" x14ac:dyDescent="0.35">
      <c r="A41" t="s">
        <v>11</v>
      </c>
      <c r="B41">
        <v>4.5999999999999996</v>
      </c>
    </row>
    <row r="42" spans="1:2" x14ac:dyDescent="0.35">
      <c r="A42" t="s">
        <v>23</v>
      </c>
      <c r="B42">
        <v>4.5999999999999996</v>
      </c>
    </row>
    <row r="43" spans="1:2" x14ac:dyDescent="0.35">
      <c r="A43" t="s">
        <v>24</v>
      </c>
      <c r="B43">
        <v>4.5999999999999996</v>
      </c>
    </row>
    <row r="44" spans="1:2" x14ac:dyDescent="0.35">
      <c r="A44" t="s">
        <v>30</v>
      </c>
      <c r="B44">
        <v>4.5999999999999996</v>
      </c>
    </row>
    <row r="45" spans="1:2" x14ac:dyDescent="0.35">
      <c r="A45" t="s">
        <v>8</v>
      </c>
      <c r="B45">
        <v>4.7</v>
      </c>
    </row>
    <row r="46" spans="1:2" x14ac:dyDescent="0.35">
      <c r="A46" t="s">
        <v>16</v>
      </c>
      <c r="B46">
        <v>4.7</v>
      </c>
    </row>
    <row r="47" spans="1:2" x14ac:dyDescent="0.35">
      <c r="A47" t="s">
        <v>36</v>
      </c>
      <c r="B47">
        <v>4.7</v>
      </c>
    </row>
    <row r="48" spans="1:2" x14ac:dyDescent="0.35">
      <c r="A48" t="s">
        <v>38</v>
      </c>
      <c r="B48">
        <v>4.7</v>
      </c>
    </row>
    <row r="49" spans="1:2" x14ac:dyDescent="0.35">
      <c r="A49" t="s">
        <v>9</v>
      </c>
      <c r="B49">
        <v>4.8</v>
      </c>
    </row>
    <row r="50" spans="1:2" x14ac:dyDescent="0.35">
      <c r="A50" t="s">
        <v>13</v>
      </c>
      <c r="B50">
        <v>4.8</v>
      </c>
    </row>
    <row r="51" spans="1:2" x14ac:dyDescent="0.35">
      <c r="A51" t="s">
        <v>17</v>
      </c>
      <c r="B51">
        <v>4.8</v>
      </c>
    </row>
    <row r="52" spans="1:2" x14ac:dyDescent="0.35">
      <c r="A52" t="s">
        <v>20</v>
      </c>
      <c r="B52">
        <v>5</v>
      </c>
    </row>
    <row r="53" spans="1:2" x14ac:dyDescent="0.35">
      <c r="A53" t="s">
        <v>21</v>
      </c>
      <c r="B53">
        <v>5</v>
      </c>
    </row>
    <row r="54" spans="1:2" x14ac:dyDescent="0.35">
      <c r="A54" t="s">
        <v>22</v>
      </c>
      <c r="B54">
        <v>5</v>
      </c>
    </row>
    <row r="55" spans="1:2" x14ac:dyDescent="0.35">
      <c r="A55" t="s">
        <v>40</v>
      </c>
      <c r="B55">
        <v>5</v>
      </c>
    </row>
    <row r="56" spans="1:2" x14ac:dyDescent="0.35">
      <c r="A56" t="s">
        <v>41</v>
      </c>
      <c r="B56">
        <v>5</v>
      </c>
    </row>
    <row r="57" spans="1:2" x14ac:dyDescent="0.35">
      <c r="A57" t="s">
        <v>83</v>
      </c>
      <c r="B57">
        <v>5</v>
      </c>
    </row>
    <row r="58" spans="1:2" x14ac:dyDescent="0.35">
      <c r="A58" t="s">
        <v>103</v>
      </c>
      <c r="B58">
        <v>5</v>
      </c>
    </row>
    <row r="59" spans="1:2" x14ac:dyDescent="0.35">
      <c r="A59" t="s">
        <v>26</v>
      </c>
      <c r="B59" t="s">
        <v>117</v>
      </c>
    </row>
    <row r="60" spans="1:2" x14ac:dyDescent="0.35">
      <c r="A60" t="s">
        <v>34</v>
      </c>
      <c r="B60" t="s">
        <v>117</v>
      </c>
    </row>
    <row r="61" spans="1:2" x14ac:dyDescent="0.35">
      <c r="A61" t="s">
        <v>44</v>
      </c>
      <c r="B61" t="s">
        <v>117</v>
      </c>
    </row>
    <row r="62" spans="1:2" x14ac:dyDescent="0.35">
      <c r="A62" t="s">
        <v>45</v>
      </c>
      <c r="B62" t="s">
        <v>117</v>
      </c>
    </row>
    <row r="63" spans="1:2" x14ac:dyDescent="0.35">
      <c r="A63" t="s">
        <v>46</v>
      </c>
      <c r="B63" t="s">
        <v>117</v>
      </c>
    </row>
    <row r="64" spans="1:2" x14ac:dyDescent="0.35">
      <c r="A64" t="s">
        <v>47</v>
      </c>
      <c r="B64" t="s">
        <v>117</v>
      </c>
    </row>
    <row r="65" spans="1:2" x14ac:dyDescent="0.35">
      <c r="A65" t="s">
        <v>48</v>
      </c>
      <c r="B65" t="s">
        <v>117</v>
      </c>
    </row>
    <row r="66" spans="1:2" x14ac:dyDescent="0.35">
      <c r="A66" t="s">
        <v>49</v>
      </c>
      <c r="B66" t="s">
        <v>117</v>
      </c>
    </row>
    <row r="67" spans="1:2" x14ac:dyDescent="0.35">
      <c r="A67" t="s">
        <v>50</v>
      </c>
      <c r="B67" t="s">
        <v>117</v>
      </c>
    </row>
    <row r="68" spans="1:2" x14ac:dyDescent="0.35">
      <c r="A68" t="s">
        <v>51</v>
      </c>
      <c r="B68" t="s">
        <v>117</v>
      </c>
    </row>
    <row r="69" spans="1:2" x14ac:dyDescent="0.35">
      <c r="A69" t="s">
        <v>52</v>
      </c>
      <c r="B69" t="s">
        <v>117</v>
      </c>
    </row>
    <row r="70" spans="1:2" x14ac:dyDescent="0.35">
      <c r="A70" t="s">
        <v>53</v>
      </c>
      <c r="B70" t="s">
        <v>117</v>
      </c>
    </row>
    <row r="71" spans="1:2" x14ac:dyDescent="0.35">
      <c r="A71" t="s">
        <v>54</v>
      </c>
      <c r="B71" t="s">
        <v>117</v>
      </c>
    </row>
    <row r="72" spans="1:2" x14ac:dyDescent="0.35">
      <c r="A72" t="s">
        <v>55</v>
      </c>
      <c r="B72" t="s">
        <v>117</v>
      </c>
    </row>
    <row r="73" spans="1:2" x14ac:dyDescent="0.35">
      <c r="A73" t="s">
        <v>56</v>
      </c>
      <c r="B73" t="s">
        <v>117</v>
      </c>
    </row>
    <row r="74" spans="1:2" x14ac:dyDescent="0.35">
      <c r="A74" t="s">
        <v>57</v>
      </c>
      <c r="B74" t="s">
        <v>117</v>
      </c>
    </row>
    <row r="75" spans="1:2" x14ac:dyDescent="0.35">
      <c r="A75" t="s">
        <v>58</v>
      </c>
      <c r="B75" t="s">
        <v>117</v>
      </c>
    </row>
    <row r="76" spans="1:2" x14ac:dyDescent="0.35">
      <c r="A76" t="s">
        <v>59</v>
      </c>
      <c r="B76" t="s">
        <v>117</v>
      </c>
    </row>
    <row r="77" spans="1:2" x14ac:dyDescent="0.35">
      <c r="A77" t="s">
        <v>60</v>
      </c>
      <c r="B77" t="s">
        <v>117</v>
      </c>
    </row>
    <row r="78" spans="1:2" x14ac:dyDescent="0.35">
      <c r="A78" t="s">
        <v>61</v>
      </c>
      <c r="B78" t="s">
        <v>117</v>
      </c>
    </row>
    <row r="79" spans="1:2" x14ac:dyDescent="0.35">
      <c r="A79" t="s">
        <v>62</v>
      </c>
      <c r="B79" t="s">
        <v>117</v>
      </c>
    </row>
    <row r="80" spans="1:2" x14ac:dyDescent="0.35">
      <c r="A80" t="s">
        <v>78</v>
      </c>
      <c r="B80" t="s">
        <v>117</v>
      </c>
    </row>
    <row r="81" spans="1:2" x14ac:dyDescent="0.35">
      <c r="A81" t="s">
        <v>79</v>
      </c>
      <c r="B81" t="s">
        <v>117</v>
      </c>
    </row>
    <row r="82" spans="1:2" x14ac:dyDescent="0.35">
      <c r="A82" t="s">
        <v>80</v>
      </c>
      <c r="B82" t="s">
        <v>117</v>
      </c>
    </row>
    <row r="83" spans="1:2" x14ac:dyDescent="0.35">
      <c r="A83" t="s">
        <v>81</v>
      </c>
      <c r="B83" t="s">
        <v>117</v>
      </c>
    </row>
    <row r="84" spans="1:2" x14ac:dyDescent="0.35">
      <c r="A84" t="s">
        <v>84</v>
      </c>
      <c r="B84" t="s">
        <v>117</v>
      </c>
    </row>
    <row r="85" spans="1:2" x14ac:dyDescent="0.35">
      <c r="A85" t="s">
        <v>85</v>
      </c>
      <c r="B85" t="s">
        <v>117</v>
      </c>
    </row>
    <row r="86" spans="1:2" x14ac:dyDescent="0.35">
      <c r="A86" t="s">
        <v>87</v>
      </c>
      <c r="B86" t="s">
        <v>117</v>
      </c>
    </row>
    <row r="87" spans="1:2" x14ac:dyDescent="0.35">
      <c r="A87" t="s">
        <v>88</v>
      </c>
      <c r="B87" t="s">
        <v>117</v>
      </c>
    </row>
    <row r="88" spans="1:2" x14ac:dyDescent="0.35">
      <c r="A88" t="s">
        <v>89</v>
      </c>
      <c r="B88" t="s">
        <v>117</v>
      </c>
    </row>
    <row r="89" spans="1:2" x14ac:dyDescent="0.35">
      <c r="A89" t="s">
        <v>90</v>
      </c>
      <c r="B89" t="s">
        <v>117</v>
      </c>
    </row>
    <row r="90" spans="1:2" x14ac:dyDescent="0.35">
      <c r="A90" t="s">
        <v>91</v>
      </c>
      <c r="B90" t="s">
        <v>117</v>
      </c>
    </row>
    <row r="91" spans="1:2" x14ac:dyDescent="0.35">
      <c r="A91" t="s">
        <v>92</v>
      </c>
      <c r="B91" t="s">
        <v>117</v>
      </c>
    </row>
    <row r="92" spans="1:2" x14ac:dyDescent="0.35">
      <c r="A92" t="s">
        <v>93</v>
      </c>
      <c r="B92" t="s">
        <v>117</v>
      </c>
    </row>
    <row r="93" spans="1:2" x14ac:dyDescent="0.35">
      <c r="A93" t="s">
        <v>94</v>
      </c>
      <c r="B93" t="s">
        <v>117</v>
      </c>
    </row>
    <row r="94" spans="1:2" x14ac:dyDescent="0.35">
      <c r="A94" t="s">
        <v>95</v>
      </c>
      <c r="B94" t="s">
        <v>117</v>
      </c>
    </row>
    <row r="95" spans="1:2" x14ac:dyDescent="0.35">
      <c r="A95" t="s">
        <v>96</v>
      </c>
      <c r="B95" t="s">
        <v>117</v>
      </c>
    </row>
    <row r="96" spans="1:2" x14ac:dyDescent="0.35">
      <c r="A96" t="s">
        <v>97</v>
      </c>
      <c r="B96" t="s">
        <v>117</v>
      </c>
    </row>
    <row r="97" spans="1:2" x14ac:dyDescent="0.35">
      <c r="A97" t="s">
        <v>98</v>
      </c>
      <c r="B97" t="s">
        <v>117</v>
      </c>
    </row>
    <row r="98" spans="1:2" x14ac:dyDescent="0.35">
      <c r="A98" t="s">
        <v>99</v>
      </c>
      <c r="B98" t="s">
        <v>117</v>
      </c>
    </row>
    <row r="99" spans="1:2" x14ac:dyDescent="0.35">
      <c r="A99" t="s">
        <v>100</v>
      </c>
      <c r="B99" t="s">
        <v>117</v>
      </c>
    </row>
    <row r="100" spans="1:2" x14ac:dyDescent="0.35">
      <c r="A100" t="s">
        <v>101</v>
      </c>
      <c r="B100" t="s">
        <v>117</v>
      </c>
    </row>
    <row r="101" spans="1:2" x14ac:dyDescent="0.35">
      <c r="A101" t="s">
        <v>102</v>
      </c>
      <c r="B101" t="s">
        <v>117</v>
      </c>
    </row>
    <row r="102" spans="1:2" x14ac:dyDescent="0.35">
      <c r="A102" t="s">
        <v>104</v>
      </c>
      <c r="B102" t="s">
        <v>117</v>
      </c>
    </row>
    <row r="103" spans="1:2" x14ac:dyDescent="0.35">
      <c r="A103" t="s">
        <v>105</v>
      </c>
      <c r="B103" t="s">
        <v>117</v>
      </c>
    </row>
    <row r="104" spans="1:2" x14ac:dyDescent="0.35">
      <c r="A104" t="s">
        <v>106</v>
      </c>
      <c r="B104" t="s">
        <v>117</v>
      </c>
    </row>
    <row r="105" spans="1:2" x14ac:dyDescent="0.35">
      <c r="A105" t="s">
        <v>107</v>
      </c>
      <c r="B105" t="s">
        <v>117</v>
      </c>
    </row>
    <row r="106" spans="1:2" x14ac:dyDescent="0.35">
      <c r="A106" t="s">
        <v>108</v>
      </c>
      <c r="B106" t="s">
        <v>117</v>
      </c>
    </row>
    <row r="107" spans="1:2" x14ac:dyDescent="0.35">
      <c r="A107" t="s">
        <v>109</v>
      </c>
      <c r="B107" t="s">
        <v>117</v>
      </c>
    </row>
    <row r="108" spans="1:2" x14ac:dyDescent="0.35">
      <c r="A108" t="s">
        <v>110</v>
      </c>
      <c r="B108" t="s">
        <v>117</v>
      </c>
    </row>
    <row r="109" spans="1:2" x14ac:dyDescent="0.35">
      <c r="A109" t="s">
        <v>111</v>
      </c>
      <c r="B109" t="s">
        <v>117</v>
      </c>
    </row>
    <row r="110" spans="1:2" x14ac:dyDescent="0.35">
      <c r="A110" t="s">
        <v>113</v>
      </c>
      <c r="B110" t="s">
        <v>117</v>
      </c>
    </row>
  </sheetData>
  <autoFilter ref="B1:B110" xr:uid="{7A24D02C-64D1-4C67-A075-04615AE23B29}"/>
  <sortState xmlns:xlrd2="http://schemas.microsoft.com/office/spreadsheetml/2017/richdata2" ref="A2:B110">
    <sortCondition ref="B1:B110"/>
  </sortState>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5B08-928E-40E1-8FC4-B5178463F40D}">
  <sheetPr filterMode="1"/>
  <dimension ref="A1:E111"/>
  <sheetViews>
    <sheetView workbookViewId="0">
      <selection activeCell="E11" sqref="E11"/>
    </sheetView>
  </sheetViews>
  <sheetFormatPr defaultRowHeight="14.5" x14ac:dyDescent="0.35"/>
  <cols>
    <col min="1" max="1" width="89.1796875" bestFit="1" customWidth="1"/>
  </cols>
  <sheetData>
    <row r="1" spans="1:5" ht="15.5" x14ac:dyDescent="0.35">
      <c r="A1" s="2" t="s">
        <v>0</v>
      </c>
      <c r="B1" s="2" t="s">
        <v>4</v>
      </c>
    </row>
    <row r="2" spans="1:5" x14ac:dyDescent="0.35">
      <c r="A2" t="s">
        <v>66</v>
      </c>
      <c r="B2">
        <v>69</v>
      </c>
      <c r="E2" s="7" t="s">
        <v>206</v>
      </c>
    </row>
    <row r="3" spans="1:5" x14ac:dyDescent="0.35">
      <c r="A3" t="s">
        <v>11</v>
      </c>
      <c r="B3">
        <v>55</v>
      </c>
    </row>
    <row r="4" spans="1:5" x14ac:dyDescent="0.35">
      <c r="A4" t="s">
        <v>30</v>
      </c>
      <c r="B4">
        <v>49</v>
      </c>
    </row>
    <row r="5" spans="1:5" x14ac:dyDescent="0.35">
      <c r="A5" t="s">
        <v>24</v>
      </c>
      <c r="B5">
        <v>44</v>
      </c>
    </row>
    <row r="6" spans="1:5" x14ac:dyDescent="0.35">
      <c r="A6" t="s">
        <v>16</v>
      </c>
      <c r="B6">
        <v>39</v>
      </c>
    </row>
    <row r="7" spans="1:5" x14ac:dyDescent="0.35">
      <c r="A7" t="s">
        <v>42</v>
      </c>
      <c r="B7">
        <v>36</v>
      </c>
    </row>
    <row r="8" spans="1:5" x14ac:dyDescent="0.35">
      <c r="A8" t="s">
        <v>39</v>
      </c>
      <c r="B8">
        <v>32</v>
      </c>
    </row>
    <row r="9" spans="1:5" x14ac:dyDescent="0.35">
      <c r="A9" t="s">
        <v>7</v>
      </c>
      <c r="B9">
        <v>24</v>
      </c>
    </row>
    <row r="10" spans="1:5" x14ac:dyDescent="0.35">
      <c r="A10" t="s">
        <v>33</v>
      </c>
      <c r="B10">
        <v>20</v>
      </c>
    </row>
    <row r="11" spans="1:5" x14ac:dyDescent="0.35">
      <c r="A11" t="s">
        <v>38</v>
      </c>
      <c r="B11">
        <v>20</v>
      </c>
    </row>
    <row r="12" spans="1:5" hidden="1" x14ac:dyDescent="0.35">
      <c r="A12" t="s">
        <v>72</v>
      </c>
      <c r="B12">
        <v>17</v>
      </c>
    </row>
    <row r="13" spans="1:5" hidden="1" x14ac:dyDescent="0.35">
      <c r="A13" t="s">
        <v>68</v>
      </c>
      <c r="B13">
        <v>16</v>
      </c>
    </row>
    <row r="14" spans="1:5" hidden="1" x14ac:dyDescent="0.35">
      <c r="A14" t="s">
        <v>10</v>
      </c>
      <c r="B14">
        <v>15</v>
      </c>
    </row>
    <row r="15" spans="1:5" hidden="1" x14ac:dyDescent="0.35">
      <c r="A15" t="s">
        <v>67</v>
      </c>
      <c r="B15">
        <v>15</v>
      </c>
    </row>
    <row r="16" spans="1:5" hidden="1" x14ac:dyDescent="0.35">
      <c r="A16" t="s">
        <v>6</v>
      </c>
      <c r="B16">
        <v>14</v>
      </c>
    </row>
    <row r="17" spans="1:2" hidden="1" x14ac:dyDescent="0.35">
      <c r="A17" t="s">
        <v>28</v>
      </c>
      <c r="B17">
        <v>14</v>
      </c>
    </row>
    <row r="18" spans="1:2" hidden="1" x14ac:dyDescent="0.35">
      <c r="A18" t="s">
        <v>25</v>
      </c>
      <c r="B18">
        <v>13</v>
      </c>
    </row>
    <row r="19" spans="1:2" hidden="1" x14ac:dyDescent="0.35">
      <c r="A19" t="s">
        <v>32</v>
      </c>
      <c r="B19">
        <v>13</v>
      </c>
    </row>
    <row r="20" spans="1:2" hidden="1" x14ac:dyDescent="0.35">
      <c r="A20" t="s">
        <v>65</v>
      </c>
      <c r="B20">
        <v>13</v>
      </c>
    </row>
    <row r="21" spans="1:2" hidden="1" x14ac:dyDescent="0.35">
      <c r="A21" t="s">
        <v>15</v>
      </c>
      <c r="B21">
        <v>12</v>
      </c>
    </row>
    <row r="22" spans="1:2" hidden="1" x14ac:dyDescent="0.35">
      <c r="A22" t="s">
        <v>17</v>
      </c>
      <c r="B22">
        <v>12</v>
      </c>
    </row>
    <row r="23" spans="1:2" hidden="1" x14ac:dyDescent="0.35">
      <c r="A23" t="s">
        <v>31</v>
      </c>
      <c r="B23">
        <v>12</v>
      </c>
    </row>
    <row r="24" spans="1:2" hidden="1" x14ac:dyDescent="0.35">
      <c r="A24" t="s">
        <v>36</v>
      </c>
      <c r="B24">
        <v>12</v>
      </c>
    </row>
    <row r="25" spans="1:2" hidden="1" x14ac:dyDescent="0.35">
      <c r="A25" t="s">
        <v>64</v>
      </c>
      <c r="B25">
        <v>10</v>
      </c>
    </row>
    <row r="26" spans="1:2" hidden="1" x14ac:dyDescent="0.35">
      <c r="A26" t="s">
        <v>19</v>
      </c>
      <c r="B26">
        <v>9</v>
      </c>
    </row>
    <row r="27" spans="1:2" hidden="1" x14ac:dyDescent="0.35">
      <c r="A27" t="s">
        <v>35</v>
      </c>
      <c r="B27">
        <v>9</v>
      </c>
    </row>
    <row r="28" spans="1:2" hidden="1" x14ac:dyDescent="0.35">
      <c r="A28" t="s">
        <v>37</v>
      </c>
      <c r="B28">
        <v>9</v>
      </c>
    </row>
    <row r="29" spans="1:2" hidden="1" x14ac:dyDescent="0.35">
      <c r="A29" t="s">
        <v>8</v>
      </c>
      <c r="B29">
        <v>7</v>
      </c>
    </row>
    <row r="30" spans="1:2" hidden="1" x14ac:dyDescent="0.35">
      <c r="A30" t="s">
        <v>29</v>
      </c>
      <c r="B30">
        <v>7</v>
      </c>
    </row>
    <row r="31" spans="1:2" hidden="1" x14ac:dyDescent="0.35">
      <c r="A31" t="s">
        <v>70</v>
      </c>
      <c r="B31">
        <v>7</v>
      </c>
    </row>
    <row r="32" spans="1:2" hidden="1" x14ac:dyDescent="0.35">
      <c r="A32" t="s">
        <v>77</v>
      </c>
      <c r="B32">
        <v>7</v>
      </c>
    </row>
    <row r="33" spans="1:2" hidden="1" x14ac:dyDescent="0.35">
      <c r="A33" t="s">
        <v>18</v>
      </c>
      <c r="B33">
        <v>6</v>
      </c>
    </row>
    <row r="34" spans="1:2" hidden="1" x14ac:dyDescent="0.35">
      <c r="A34" t="s">
        <v>27</v>
      </c>
      <c r="B34">
        <v>6</v>
      </c>
    </row>
    <row r="35" spans="1:2" hidden="1" x14ac:dyDescent="0.35">
      <c r="A35" t="s">
        <v>63</v>
      </c>
      <c r="B35">
        <v>6</v>
      </c>
    </row>
    <row r="36" spans="1:2" hidden="1" x14ac:dyDescent="0.35">
      <c r="A36" t="s">
        <v>69</v>
      </c>
      <c r="B36">
        <v>6</v>
      </c>
    </row>
    <row r="37" spans="1:2" hidden="1" x14ac:dyDescent="0.35">
      <c r="A37" t="s">
        <v>74</v>
      </c>
      <c r="B37">
        <v>6</v>
      </c>
    </row>
    <row r="38" spans="1:2" hidden="1" x14ac:dyDescent="0.35">
      <c r="A38" t="s">
        <v>76</v>
      </c>
      <c r="B38">
        <v>6</v>
      </c>
    </row>
    <row r="39" spans="1:2" hidden="1" x14ac:dyDescent="0.35">
      <c r="A39" t="s">
        <v>9</v>
      </c>
      <c r="B39">
        <v>5</v>
      </c>
    </row>
    <row r="40" spans="1:2" hidden="1" x14ac:dyDescent="0.35">
      <c r="A40" t="s">
        <v>13</v>
      </c>
      <c r="B40">
        <v>5</v>
      </c>
    </row>
    <row r="41" spans="1:2" hidden="1" x14ac:dyDescent="0.35">
      <c r="A41" t="s">
        <v>14</v>
      </c>
      <c r="B41">
        <v>5</v>
      </c>
    </row>
    <row r="42" spans="1:2" hidden="1" x14ac:dyDescent="0.35">
      <c r="A42" t="s">
        <v>23</v>
      </c>
      <c r="B42">
        <v>5</v>
      </c>
    </row>
    <row r="43" spans="1:2" hidden="1" x14ac:dyDescent="0.35">
      <c r="A43" t="s">
        <v>71</v>
      </c>
      <c r="B43">
        <v>5</v>
      </c>
    </row>
    <row r="44" spans="1:2" hidden="1" x14ac:dyDescent="0.35">
      <c r="A44" t="s">
        <v>73</v>
      </c>
      <c r="B44">
        <v>5</v>
      </c>
    </row>
    <row r="45" spans="1:2" hidden="1" x14ac:dyDescent="0.35">
      <c r="A45" t="s">
        <v>75</v>
      </c>
      <c r="B45">
        <v>5</v>
      </c>
    </row>
    <row r="46" spans="1:2" hidden="1" x14ac:dyDescent="0.35">
      <c r="A46" t="s">
        <v>22</v>
      </c>
      <c r="B46">
        <v>3</v>
      </c>
    </row>
    <row r="47" spans="1:2" hidden="1" x14ac:dyDescent="0.35">
      <c r="A47" t="s">
        <v>5</v>
      </c>
      <c r="B47">
        <v>2</v>
      </c>
    </row>
    <row r="48" spans="1:2" hidden="1" x14ac:dyDescent="0.35">
      <c r="A48" t="s">
        <v>12</v>
      </c>
      <c r="B48">
        <v>2</v>
      </c>
    </row>
    <row r="49" spans="1:2" hidden="1" x14ac:dyDescent="0.35">
      <c r="A49" t="s">
        <v>20</v>
      </c>
      <c r="B49">
        <v>2</v>
      </c>
    </row>
    <row r="50" spans="1:2" hidden="1" x14ac:dyDescent="0.35">
      <c r="A50" t="s">
        <v>21</v>
      </c>
      <c r="B50">
        <v>2</v>
      </c>
    </row>
    <row r="51" spans="1:2" hidden="1" x14ac:dyDescent="0.35">
      <c r="A51" t="s">
        <v>41</v>
      </c>
      <c r="B51">
        <v>2</v>
      </c>
    </row>
    <row r="52" spans="1:2" hidden="1" x14ac:dyDescent="0.35">
      <c r="A52" t="s">
        <v>43</v>
      </c>
      <c r="B52">
        <v>2</v>
      </c>
    </row>
    <row r="53" spans="1:2" hidden="1" x14ac:dyDescent="0.35">
      <c r="A53" t="s">
        <v>40</v>
      </c>
      <c r="B53">
        <v>1</v>
      </c>
    </row>
    <row r="54" spans="1:2" hidden="1" x14ac:dyDescent="0.35">
      <c r="A54" t="s">
        <v>82</v>
      </c>
      <c r="B54">
        <v>1</v>
      </c>
    </row>
    <row r="55" spans="1:2" hidden="1" x14ac:dyDescent="0.35">
      <c r="A55" t="s">
        <v>83</v>
      </c>
      <c r="B55">
        <v>1</v>
      </c>
    </row>
    <row r="56" spans="1:2" hidden="1" x14ac:dyDescent="0.35">
      <c r="A56" t="s">
        <v>86</v>
      </c>
      <c r="B56">
        <v>1</v>
      </c>
    </row>
    <row r="57" spans="1:2" hidden="1" x14ac:dyDescent="0.35">
      <c r="A57" t="s">
        <v>103</v>
      </c>
      <c r="B57">
        <v>1</v>
      </c>
    </row>
    <row r="58" spans="1:2" hidden="1" x14ac:dyDescent="0.35">
      <c r="A58" t="s">
        <v>112</v>
      </c>
      <c r="B58">
        <v>1</v>
      </c>
    </row>
    <row r="59" spans="1:2" hidden="1" x14ac:dyDescent="0.35">
      <c r="A59" t="s">
        <v>26</v>
      </c>
      <c r="B59">
        <v>0</v>
      </c>
    </row>
    <row r="60" spans="1:2" hidden="1" x14ac:dyDescent="0.35">
      <c r="A60" t="s">
        <v>34</v>
      </c>
      <c r="B60">
        <v>0</v>
      </c>
    </row>
    <row r="61" spans="1:2" hidden="1" x14ac:dyDescent="0.35">
      <c r="A61" t="s">
        <v>44</v>
      </c>
      <c r="B61">
        <v>0</v>
      </c>
    </row>
    <row r="62" spans="1:2" hidden="1" x14ac:dyDescent="0.35">
      <c r="A62" t="s">
        <v>45</v>
      </c>
      <c r="B62">
        <v>0</v>
      </c>
    </row>
    <row r="63" spans="1:2" hidden="1" x14ac:dyDescent="0.35">
      <c r="A63" t="s">
        <v>46</v>
      </c>
      <c r="B63">
        <v>0</v>
      </c>
    </row>
    <row r="64" spans="1:2" hidden="1" x14ac:dyDescent="0.35">
      <c r="A64" t="s">
        <v>47</v>
      </c>
      <c r="B64">
        <v>0</v>
      </c>
    </row>
    <row r="65" spans="1:2" hidden="1" x14ac:dyDescent="0.35">
      <c r="A65" t="s">
        <v>48</v>
      </c>
      <c r="B65">
        <v>0</v>
      </c>
    </row>
    <row r="66" spans="1:2" hidden="1" x14ac:dyDescent="0.35">
      <c r="A66" t="s">
        <v>49</v>
      </c>
      <c r="B66">
        <v>0</v>
      </c>
    </row>
    <row r="67" spans="1:2" hidden="1" x14ac:dyDescent="0.35">
      <c r="A67" t="s">
        <v>50</v>
      </c>
      <c r="B67">
        <v>0</v>
      </c>
    </row>
    <row r="68" spans="1:2" hidden="1" x14ac:dyDescent="0.35">
      <c r="A68" t="s">
        <v>51</v>
      </c>
      <c r="B68">
        <v>0</v>
      </c>
    </row>
    <row r="69" spans="1:2" hidden="1" x14ac:dyDescent="0.35">
      <c r="A69" t="s">
        <v>52</v>
      </c>
      <c r="B69">
        <v>0</v>
      </c>
    </row>
    <row r="70" spans="1:2" hidden="1" x14ac:dyDescent="0.35">
      <c r="A70" t="s">
        <v>53</v>
      </c>
      <c r="B70">
        <v>0</v>
      </c>
    </row>
    <row r="71" spans="1:2" hidden="1" x14ac:dyDescent="0.35">
      <c r="A71" t="s">
        <v>54</v>
      </c>
      <c r="B71">
        <v>0</v>
      </c>
    </row>
    <row r="72" spans="1:2" hidden="1" x14ac:dyDescent="0.35">
      <c r="A72" t="s">
        <v>55</v>
      </c>
      <c r="B72">
        <v>0</v>
      </c>
    </row>
    <row r="73" spans="1:2" hidden="1" x14ac:dyDescent="0.35">
      <c r="A73" t="s">
        <v>56</v>
      </c>
      <c r="B73">
        <v>0</v>
      </c>
    </row>
    <row r="74" spans="1:2" hidden="1" x14ac:dyDescent="0.35">
      <c r="A74" t="s">
        <v>57</v>
      </c>
      <c r="B74">
        <v>0</v>
      </c>
    </row>
    <row r="75" spans="1:2" hidden="1" x14ac:dyDescent="0.35">
      <c r="A75" t="s">
        <v>58</v>
      </c>
      <c r="B75">
        <v>0</v>
      </c>
    </row>
    <row r="76" spans="1:2" hidden="1" x14ac:dyDescent="0.35">
      <c r="A76" t="s">
        <v>59</v>
      </c>
      <c r="B76">
        <v>0</v>
      </c>
    </row>
    <row r="77" spans="1:2" hidden="1" x14ac:dyDescent="0.35">
      <c r="A77" t="s">
        <v>60</v>
      </c>
      <c r="B77">
        <v>0</v>
      </c>
    </row>
    <row r="78" spans="1:2" hidden="1" x14ac:dyDescent="0.35">
      <c r="A78" t="s">
        <v>61</v>
      </c>
      <c r="B78">
        <v>0</v>
      </c>
    </row>
    <row r="79" spans="1:2" hidden="1" x14ac:dyDescent="0.35">
      <c r="A79" t="s">
        <v>62</v>
      </c>
      <c r="B79">
        <v>0</v>
      </c>
    </row>
    <row r="80" spans="1:2" hidden="1" x14ac:dyDescent="0.35">
      <c r="A80" t="s">
        <v>78</v>
      </c>
      <c r="B80">
        <v>0</v>
      </c>
    </row>
    <row r="81" spans="1:2" hidden="1" x14ac:dyDescent="0.35">
      <c r="A81" t="s">
        <v>79</v>
      </c>
      <c r="B81">
        <v>0</v>
      </c>
    </row>
    <row r="82" spans="1:2" hidden="1" x14ac:dyDescent="0.35">
      <c r="A82" t="s">
        <v>80</v>
      </c>
      <c r="B82">
        <v>0</v>
      </c>
    </row>
    <row r="83" spans="1:2" hidden="1" x14ac:dyDescent="0.35">
      <c r="A83" t="s">
        <v>81</v>
      </c>
      <c r="B83">
        <v>0</v>
      </c>
    </row>
    <row r="84" spans="1:2" hidden="1" x14ac:dyDescent="0.35">
      <c r="A84" t="s">
        <v>84</v>
      </c>
      <c r="B84">
        <v>0</v>
      </c>
    </row>
    <row r="85" spans="1:2" hidden="1" x14ac:dyDescent="0.35">
      <c r="A85" t="s">
        <v>85</v>
      </c>
      <c r="B85">
        <v>0</v>
      </c>
    </row>
    <row r="86" spans="1:2" hidden="1" x14ac:dyDescent="0.35">
      <c r="A86" t="s">
        <v>87</v>
      </c>
      <c r="B86">
        <v>0</v>
      </c>
    </row>
    <row r="87" spans="1:2" hidden="1" x14ac:dyDescent="0.35">
      <c r="A87" t="s">
        <v>88</v>
      </c>
      <c r="B87">
        <v>0</v>
      </c>
    </row>
    <row r="88" spans="1:2" hidden="1" x14ac:dyDescent="0.35">
      <c r="A88" t="s">
        <v>89</v>
      </c>
      <c r="B88">
        <v>0</v>
      </c>
    </row>
    <row r="89" spans="1:2" hidden="1" x14ac:dyDescent="0.35">
      <c r="A89" t="s">
        <v>90</v>
      </c>
      <c r="B89">
        <v>0</v>
      </c>
    </row>
    <row r="90" spans="1:2" hidden="1" x14ac:dyDescent="0.35">
      <c r="A90" t="s">
        <v>91</v>
      </c>
      <c r="B90">
        <v>0</v>
      </c>
    </row>
    <row r="91" spans="1:2" hidden="1" x14ac:dyDescent="0.35">
      <c r="A91" t="s">
        <v>92</v>
      </c>
      <c r="B91">
        <v>0</v>
      </c>
    </row>
    <row r="92" spans="1:2" hidden="1" x14ac:dyDescent="0.35">
      <c r="A92" t="s">
        <v>93</v>
      </c>
      <c r="B92">
        <v>0</v>
      </c>
    </row>
    <row r="93" spans="1:2" hidden="1" x14ac:dyDescent="0.35">
      <c r="A93" t="s">
        <v>94</v>
      </c>
      <c r="B93">
        <v>0</v>
      </c>
    </row>
    <row r="94" spans="1:2" hidden="1" x14ac:dyDescent="0.35">
      <c r="A94" t="s">
        <v>95</v>
      </c>
      <c r="B94">
        <v>0</v>
      </c>
    </row>
    <row r="95" spans="1:2" hidden="1" x14ac:dyDescent="0.35">
      <c r="A95" t="s">
        <v>96</v>
      </c>
      <c r="B95">
        <v>0</v>
      </c>
    </row>
    <row r="96" spans="1:2" hidden="1" x14ac:dyDescent="0.35">
      <c r="A96" t="s">
        <v>97</v>
      </c>
      <c r="B96">
        <v>0</v>
      </c>
    </row>
    <row r="97" spans="1:2" hidden="1" x14ac:dyDescent="0.35">
      <c r="A97" t="s">
        <v>98</v>
      </c>
      <c r="B97">
        <v>0</v>
      </c>
    </row>
    <row r="98" spans="1:2" hidden="1" x14ac:dyDescent="0.35">
      <c r="A98" t="s">
        <v>99</v>
      </c>
      <c r="B98">
        <v>0</v>
      </c>
    </row>
    <row r="99" spans="1:2" hidden="1" x14ac:dyDescent="0.35">
      <c r="A99" t="s">
        <v>100</v>
      </c>
      <c r="B99">
        <v>0</v>
      </c>
    </row>
    <row r="100" spans="1:2" hidden="1" x14ac:dyDescent="0.35">
      <c r="A100" t="s">
        <v>101</v>
      </c>
      <c r="B100">
        <v>0</v>
      </c>
    </row>
    <row r="101" spans="1:2" hidden="1" x14ac:dyDescent="0.35">
      <c r="A101" t="s">
        <v>102</v>
      </c>
      <c r="B101">
        <v>0</v>
      </c>
    </row>
    <row r="102" spans="1:2" hidden="1" x14ac:dyDescent="0.35">
      <c r="A102" t="s">
        <v>104</v>
      </c>
      <c r="B102">
        <v>0</v>
      </c>
    </row>
    <row r="103" spans="1:2" hidden="1" x14ac:dyDescent="0.35">
      <c r="A103" t="s">
        <v>105</v>
      </c>
      <c r="B103">
        <v>0</v>
      </c>
    </row>
    <row r="104" spans="1:2" hidden="1" x14ac:dyDescent="0.35">
      <c r="A104" t="s">
        <v>106</v>
      </c>
      <c r="B104">
        <v>0</v>
      </c>
    </row>
    <row r="105" spans="1:2" hidden="1" x14ac:dyDescent="0.35">
      <c r="A105" t="s">
        <v>107</v>
      </c>
      <c r="B105">
        <v>0</v>
      </c>
    </row>
    <row r="106" spans="1:2" hidden="1" x14ac:dyDescent="0.35">
      <c r="A106" t="s">
        <v>108</v>
      </c>
      <c r="B106">
        <v>0</v>
      </c>
    </row>
    <row r="107" spans="1:2" hidden="1" x14ac:dyDescent="0.35">
      <c r="A107" t="s">
        <v>109</v>
      </c>
      <c r="B107">
        <v>0</v>
      </c>
    </row>
    <row r="108" spans="1:2" hidden="1" x14ac:dyDescent="0.35">
      <c r="A108" t="s">
        <v>110</v>
      </c>
      <c r="B108">
        <v>0</v>
      </c>
    </row>
    <row r="109" spans="1:2" hidden="1" x14ac:dyDescent="0.35">
      <c r="A109" t="s">
        <v>111</v>
      </c>
      <c r="B109">
        <v>0</v>
      </c>
    </row>
    <row r="110" spans="1:2" hidden="1" x14ac:dyDescent="0.35">
      <c r="A110" t="s">
        <v>113</v>
      </c>
      <c r="B110">
        <v>0</v>
      </c>
    </row>
    <row r="111" spans="1:2" hidden="1" x14ac:dyDescent="0.35"/>
  </sheetData>
  <autoFilter ref="A1:E111" xr:uid="{A86A5B08-928E-40E1-8FC4-B5178463F40D}">
    <filterColumn colId="1">
      <top10 val="10" filterVal="20"/>
    </filterColumn>
  </autoFilter>
  <sortState xmlns:xlrd2="http://schemas.microsoft.com/office/spreadsheetml/2017/richdata2" ref="A2:B110">
    <sortCondition descending="1" ref="B1:B110"/>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EF485-08B7-415A-B38C-AA7C51C9DC9B}">
  <dimension ref="A1"/>
  <sheetViews>
    <sheetView tabSelected="1" topLeftCell="A24" workbookViewId="0">
      <selection activeCell="Q41" sqref="Q41"/>
    </sheetView>
  </sheetViews>
  <sheetFormatPr defaultRowHeight="14.5" x14ac:dyDescent="0.35"/>
  <cols>
    <col min="1" max="16384" width="8.726562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EC45-C0D6-4FE7-8E43-3BF6FFEE6B38}">
  <sheetPr filterMode="1"/>
  <dimension ref="A1:F111"/>
  <sheetViews>
    <sheetView workbookViewId="0">
      <selection activeCell="B113" sqref="B113"/>
    </sheetView>
  </sheetViews>
  <sheetFormatPr defaultRowHeight="14.5" x14ac:dyDescent="0.35"/>
  <cols>
    <col min="1" max="1" width="89.1796875" bestFit="1" customWidth="1"/>
    <col min="2" max="2" width="8.81640625" bestFit="1" customWidth="1"/>
  </cols>
  <sheetData>
    <row r="1" spans="1:6" ht="15.5" x14ac:dyDescent="0.35">
      <c r="A1" s="2" t="s">
        <v>0</v>
      </c>
      <c r="B1" s="4" t="s">
        <v>3</v>
      </c>
    </row>
    <row r="2" spans="1:6" x14ac:dyDescent="0.35">
      <c r="A2" t="s">
        <v>111</v>
      </c>
      <c r="B2" s="1">
        <v>0.64</v>
      </c>
      <c r="F2" s="7" t="s">
        <v>205</v>
      </c>
    </row>
    <row r="3" spans="1:6" x14ac:dyDescent="0.35">
      <c r="A3" t="s">
        <v>53</v>
      </c>
      <c r="B3" s="1">
        <v>0.61</v>
      </c>
    </row>
    <row r="4" spans="1:6" x14ac:dyDescent="0.35">
      <c r="A4" t="s">
        <v>13</v>
      </c>
      <c r="B4" s="1">
        <v>0.55000000000000004</v>
      </c>
    </row>
    <row r="5" spans="1:6" x14ac:dyDescent="0.35">
      <c r="A5" t="s">
        <v>65</v>
      </c>
      <c r="B5" s="1">
        <v>0.55000000000000004</v>
      </c>
    </row>
    <row r="6" spans="1:6" x14ac:dyDescent="0.35">
      <c r="A6" t="s">
        <v>29</v>
      </c>
      <c r="B6" s="1">
        <v>0.54</v>
      </c>
    </row>
    <row r="7" spans="1:6" x14ac:dyDescent="0.35">
      <c r="A7" t="s">
        <v>64</v>
      </c>
      <c r="B7" s="1">
        <v>0.54</v>
      </c>
    </row>
    <row r="8" spans="1:6" x14ac:dyDescent="0.35">
      <c r="A8" t="s">
        <v>25</v>
      </c>
      <c r="B8" s="1">
        <v>0.53</v>
      </c>
    </row>
    <row r="9" spans="1:6" x14ac:dyDescent="0.35">
      <c r="A9" t="s">
        <v>41</v>
      </c>
      <c r="B9" s="1">
        <v>0.53</v>
      </c>
    </row>
    <row r="10" spans="1:6" x14ac:dyDescent="0.35">
      <c r="A10" t="s">
        <v>35</v>
      </c>
      <c r="B10" s="1">
        <v>0.52</v>
      </c>
    </row>
    <row r="11" spans="1:6" x14ac:dyDescent="0.35">
      <c r="A11" t="s">
        <v>67</v>
      </c>
      <c r="B11" s="1">
        <v>0.52</v>
      </c>
    </row>
    <row r="12" spans="1:6" hidden="1" x14ac:dyDescent="0.35">
      <c r="A12" t="s">
        <v>20</v>
      </c>
      <c r="B12" s="1">
        <v>0.51</v>
      </c>
    </row>
    <row r="13" spans="1:6" hidden="1" x14ac:dyDescent="0.35">
      <c r="A13" t="s">
        <v>46</v>
      </c>
      <c r="B13" s="1">
        <v>0.5</v>
      </c>
    </row>
    <row r="14" spans="1:6" hidden="1" x14ac:dyDescent="0.35">
      <c r="A14" t="s">
        <v>49</v>
      </c>
      <c r="B14" s="1">
        <v>0.5</v>
      </c>
    </row>
    <row r="15" spans="1:6" hidden="1" x14ac:dyDescent="0.35">
      <c r="A15" t="s">
        <v>54</v>
      </c>
      <c r="B15" s="1">
        <v>0.5</v>
      </c>
    </row>
    <row r="16" spans="1:6" hidden="1" x14ac:dyDescent="0.35">
      <c r="A16" t="s">
        <v>70</v>
      </c>
      <c r="B16" s="1">
        <v>0.5</v>
      </c>
    </row>
    <row r="17" spans="1:2" hidden="1" x14ac:dyDescent="0.35">
      <c r="A17" t="s">
        <v>92</v>
      </c>
      <c r="B17" s="1">
        <v>0.5</v>
      </c>
    </row>
    <row r="18" spans="1:2" hidden="1" x14ac:dyDescent="0.35">
      <c r="A18" t="s">
        <v>96</v>
      </c>
      <c r="B18" s="1">
        <v>0.5</v>
      </c>
    </row>
    <row r="19" spans="1:2" hidden="1" x14ac:dyDescent="0.35">
      <c r="A19" t="s">
        <v>112</v>
      </c>
      <c r="B19" s="1">
        <v>0.5</v>
      </c>
    </row>
    <row r="20" spans="1:2" hidden="1" x14ac:dyDescent="0.35">
      <c r="A20" t="s">
        <v>22</v>
      </c>
      <c r="B20" s="1">
        <v>0.49</v>
      </c>
    </row>
    <row r="21" spans="1:2" hidden="1" x14ac:dyDescent="0.35">
      <c r="A21" t="s">
        <v>24</v>
      </c>
      <c r="B21" s="1">
        <v>0.49</v>
      </c>
    </row>
    <row r="22" spans="1:2" hidden="1" x14ac:dyDescent="0.35">
      <c r="A22" t="s">
        <v>45</v>
      </c>
      <c r="B22" s="1">
        <v>0.49</v>
      </c>
    </row>
    <row r="23" spans="1:2" hidden="1" x14ac:dyDescent="0.35">
      <c r="A23" t="s">
        <v>51</v>
      </c>
      <c r="B23" s="1">
        <v>0.49</v>
      </c>
    </row>
    <row r="24" spans="1:2" hidden="1" x14ac:dyDescent="0.35">
      <c r="A24" t="s">
        <v>61</v>
      </c>
      <c r="B24" s="1">
        <v>0.49</v>
      </c>
    </row>
    <row r="25" spans="1:2" hidden="1" x14ac:dyDescent="0.35">
      <c r="A25" t="s">
        <v>66</v>
      </c>
      <c r="B25" s="1">
        <v>0.49</v>
      </c>
    </row>
    <row r="26" spans="1:2" hidden="1" x14ac:dyDescent="0.35">
      <c r="A26" t="s">
        <v>81</v>
      </c>
      <c r="B26" s="1">
        <v>0.49</v>
      </c>
    </row>
    <row r="27" spans="1:2" hidden="1" x14ac:dyDescent="0.35">
      <c r="A27" t="s">
        <v>83</v>
      </c>
      <c r="B27" s="1">
        <v>0.49</v>
      </c>
    </row>
    <row r="28" spans="1:2" hidden="1" x14ac:dyDescent="0.35">
      <c r="A28" t="s">
        <v>86</v>
      </c>
      <c r="B28" s="1">
        <v>0.49</v>
      </c>
    </row>
    <row r="29" spans="1:2" hidden="1" x14ac:dyDescent="0.35">
      <c r="A29" t="s">
        <v>88</v>
      </c>
      <c r="B29" s="1">
        <v>0.49</v>
      </c>
    </row>
    <row r="30" spans="1:2" hidden="1" x14ac:dyDescent="0.35">
      <c r="A30" t="s">
        <v>99</v>
      </c>
      <c r="B30" s="1">
        <v>0.49</v>
      </c>
    </row>
    <row r="31" spans="1:2" hidden="1" x14ac:dyDescent="0.35">
      <c r="A31" t="s">
        <v>101</v>
      </c>
      <c r="B31" s="1">
        <v>0.49</v>
      </c>
    </row>
    <row r="32" spans="1:2" hidden="1" x14ac:dyDescent="0.35">
      <c r="A32" t="s">
        <v>37</v>
      </c>
      <c r="B32" s="1">
        <v>0.48</v>
      </c>
    </row>
    <row r="33" spans="1:2" hidden="1" x14ac:dyDescent="0.35">
      <c r="A33" t="s">
        <v>60</v>
      </c>
      <c r="B33" s="1">
        <v>0.48</v>
      </c>
    </row>
    <row r="34" spans="1:2" hidden="1" x14ac:dyDescent="0.35">
      <c r="A34" t="s">
        <v>93</v>
      </c>
      <c r="B34" s="1">
        <v>0.48</v>
      </c>
    </row>
    <row r="35" spans="1:2" hidden="1" x14ac:dyDescent="0.35">
      <c r="A35" t="s">
        <v>94</v>
      </c>
      <c r="B35" s="1">
        <v>0.48</v>
      </c>
    </row>
    <row r="36" spans="1:2" hidden="1" x14ac:dyDescent="0.35">
      <c r="A36" t="s">
        <v>6</v>
      </c>
      <c r="B36" s="1">
        <v>0.47</v>
      </c>
    </row>
    <row r="37" spans="1:2" hidden="1" x14ac:dyDescent="0.35">
      <c r="A37" t="s">
        <v>17</v>
      </c>
      <c r="B37" s="1">
        <v>0.47</v>
      </c>
    </row>
    <row r="38" spans="1:2" hidden="1" x14ac:dyDescent="0.35">
      <c r="A38" t="s">
        <v>76</v>
      </c>
      <c r="B38" s="1">
        <v>0.47</v>
      </c>
    </row>
    <row r="39" spans="1:2" hidden="1" x14ac:dyDescent="0.35">
      <c r="A39" t="s">
        <v>77</v>
      </c>
      <c r="B39" s="1">
        <v>0.47</v>
      </c>
    </row>
    <row r="40" spans="1:2" hidden="1" x14ac:dyDescent="0.35">
      <c r="A40" t="s">
        <v>78</v>
      </c>
      <c r="B40" s="1">
        <v>0.47</v>
      </c>
    </row>
    <row r="41" spans="1:2" hidden="1" x14ac:dyDescent="0.35">
      <c r="A41" t="s">
        <v>95</v>
      </c>
      <c r="B41" s="1">
        <v>0.47</v>
      </c>
    </row>
    <row r="42" spans="1:2" hidden="1" x14ac:dyDescent="0.35">
      <c r="A42" t="s">
        <v>113</v>
      </c>
      <c r="B42" s="1">
        <v>0.47</v>
      </c>
    </row>
    <row r="43" spans="1:2" hidden="1" x14ac:dyDescent="0.35">
      <c r="A43" t="s">
        <v>21</v>
      </c>
      <c r="B43" s="1">
        <v>0.46</v>
      </c>
    </row>
    <row r="44" spans="1:2" hidden="1" x14ac:dyDescent="0.35">
      <c r="A44" t="s">
        <v>34</v>
      </c>
      <c r="B44" s="1">
        <v>0.46</v>
      </c>
    </row>
    <row r="45" spans="1:2" hidden="1" x14ac:dyDescent="0.35">
      <c r="A45" t="s">
        <v>82</v>
      </c>
      <c r="B45" s="1">
        <v>0.46</v>
      </c>
    </row>
    <row r="46" spans="1:2" hidden="1" x14ac:dyDescent="0.35">
      <c r="A46" t="s">
        <v>14</v>
      </c>
      <c r="B46" s="1">
        <v>0.45</v>
      </c>
    </row>
    <row r="47" spans="1:2" hidden="1" x14ac:dyDescent="0.35">
      <c r="A47" t="s">
        <v>59</v>
      </c>
      <c r="B47" s="1">
        <v>0.45</v>
      </c>
    </row>
    <row r="48" spans="1:2" hidden="1" x14ac:dyDescent="0.35">
      <c r="A48" t="s">
        <v>69</v>
      </c>
      <c r="B48" s="1">
        <v>0.45</v>
      </c>
    </row>
    <row r="49" spans="1:2" hidden="1" x14ac:dyDescent="0.35">
      <c r="A49" t="s">
        <v>72</v>
      </c>
      <c r="B49" s="1">
        <v>0.45</v>
      </c>
    </row>
    <row r="50" spans="1:2" hidden="1" x14ac:dyDescent="0.35">
      <c r="A50" t="s">
        <v>74</v>
      </c>
      <c r="B50" s="1">
        <v>0.43</v>
      </c>
    </row>
    <row r="51" spans="1:2" hidden="1" x14ac:dyDescent="0.35">
      <c r="A51" t="s">
        <v>75</v>
      </c>
      <c r="B51" s="1">
        <v>0.43</v>
      </c>
    </row>
    <row r="52" spans="1:2" hidden="1" x14ac:dyDescent="0.35">
      <c r="A52" t="s">
        <v>79</v>
      </c>
      <c r="B52" s="1">
        <v>0.43</v>
      </c>
    </row>
    <row r="53" spans="1:2" hidden="1" x14ac:dyDescent="0.35">
      <c r="A53" t="s">
        <v>91</v>
      </c>
      <c r="B53" s="1">
        <v>0.43</v>
      </c>
    </row>
    <row r="54" spans="1:2" hidden="1" x14ac:dyDescent="0.35">
      <c r="A54" t="s">
        <v>18</v>
      </c>
      <c r="B54" s="1">
        <v>0.42</v>
      </c>
    </row>
    <row r="55" spans="1:2" hidden="1" x14ac:dyDescent="0.35">
      <c r="A55" t="s">
        <v>26</v>
      </c>
      <c r="B55" s="1">
        <v>0.42</v>
      </c>
    </row>
    <row r="56" spans="1:2" hidden="1" x14ac:dyDescent="0.35">
      <c r="A56" t="s">
        <v>47</v>
      </c>
      <c r="B56" s="1">
        <v>0.42</v>
      </c>
    </row>
    <row r="57" spans="1:2" hidden="1" x14ac:dyDescent="0.35">
      <c r="A57" t="s">
        <v>102</v>
      </c>
      <c r="B57" s="1">
        <v>0.42</v>
      </c>
    </row>
    <row r="58" spans="1:2" hidden="1" x14ac:dyDescent="0.35">
      <c r="A58" t="s">
        <v>42</v>
      </c>
      <c r="B58" s="1">
        <v>0.41</v>
      </c>
    </row>
    <row r="59" spans="1:2" hidden="1" x14ac:dyDescent="0.35">
      <c r="A59" t="s">
        <v>58</v>
      </c>
      <c r="B59" s="1">
        <v>0.41</v>
      </c>
    </row>
    <row r="60" spans="1:2" hidden="1" x14ac:dyDescent="0.35">
      <c r="A60" t="s">
        <v>104</v>
      </c>
      <c r="B60" s="1">
        <v>0.41</v>
      </c>
    </row>
    <row r="61" spans="1:2" hidden="1" x14ac:dyDescent="0.35">
      <c r="A61" t="s">
        <v>40</v>
      </c>
      <c r="B61" s="1">
        <v>0.4</v>
      </c>
    </row>
    <row r="62" spans="1:2" hidden="1" x14ac:dyDescent="0.35">
      <c r="A62" t="s">
        <v>71</v>
      </c>
      <c r="B62" s="1">
        <v>0.39</v>
      </c>
    </row>
    <row r="63" spans="1:2" hidden="1" x14ac:dyDescent="0.35">
      <c r="A63" t="s">
        <v>5</v>
      </c>
      <c r="B63" s="1">
        <v>0.38</v>
      </c>
    </row>
    <row r="64" spans="1:2" hidden="1" x14ac:dyDescent="0.35">
      <c r="A64" t="s">
        <v>43</v>
      </c>
      <c r="B64" s="1">
        <v>0.38</v>
      </c>
    </row>
    <row r="65" spans="1:2" hidden="1" x14ac:dyDescent="0.35">
      <c r="A65" t="s">
        <v>44</v>
      </c>
      <c r="B65" s="1">
        <v>0.38</v>
      </c>
    </row>
    <row r="66" spans="1:2" hidden="1" x14ac:dyDescent="0.35">
      <c r="A66" t="s">
        <v>52</v>
      </c>
      <c r="B66" s="1">
        <v>0.38</v>
      </c>
    </row>
    <row r="67" spans="1:2" hidden="1" x14ac:dyDescent="0.35">
      <c r="A67" t="s">
        <v>8</v>
      </c>
      <c r="B67" s="1">
        <v>0.37</v>
      </c>
    </row>
    <row r="68" spans="1:2" hidden="1" x14ac:dyDescent="0.35">
      <c r="A68" t="s">
        <v>12</v>
      </c>
      <c r="B68" s="1">
        <v>0.37</v>
      </c>
    </row>
    <row r="69" spans="1:2" hidden="1" x14ac:dyDescent="0.35">
      <c r="A69" t="s">
        <v>84</v>
      </c>
      <c r="B69" s="1">
        <v>0.36</v>
      </c>
    </row>
    <row r="70" spans="1:2" hidden="1" x14ac:dyDescent="0.35">
      <c r="A70" t="s">
        <v>27</v>
      </c>
      <c r="B70" s="1">
        <v>0.35</v>
      </c>
    </row>
    <row r="71" spans="1:2" hidden="1" x14ac:dyDescent="0.35">
      <c r="A71" t="s">
        <v>30</v>
      </c>
      <c r="B71" s="1">
        <v>0.35</v>
      </c>
    </row>
    <row r="72" spans="1:2" hidden="1" x14ac:dyDescent="0.35">
      <c r="A72" t="s">
        <v>16</v>
      </c>
      <c r="B72" s="1">
        <v>0.34</v>
      </c>
    </row>
    <row r="73" spans="1:2" hidden="1" x14ac:dyDescent="0.35">
      <c r="A73" t="s">
        <v>36</v>
      </c>
      <c r="B73" s="1">
        <v>0.34</v>
      </c>
    </row>
    <row r="74" spans="1:2" hidden="1" x14ac:dyDescent="0.35">
      <c r="A74" t="s">
        <v>107</v>
      </c>
      <c r="B74" s="1">
        <v>0.34</v>
      </c>
    </row>
    <row r="75" spans="1:2" hidden="1" x14ac:dyDescent="0.35">
      <c r="A75" t="s">
        <v>108</v>
      </c>
      <c r="B75" s="1">
        <v>0.34</v>
      </c>
    </row>
    <row r="76" spans="1:2" hidden="1" x14ac:dyDescent="0.35">
      <c r="A76" t="s">
        <v>19</v>
      </c>
      <c r="B76" s="1">
        <v>0.33</v>
      </c>
    </row>
    <row r="77" spans="1:2" hidden="1" x14ac:dyDescent="0.35">
      <c r="A77" t="s">
        <v>50</v>
      </c>
      <c r="B77" s="1">
        <v>0.33</v>
      </c>
    </row>
    <row r="78" spans="1:2" hidden="1" x14ac:dyDescent="0.35">
      <c r="A78" t="s">
        <v>32</v>
      </c>
      <c r="B78" s="1">
        <v>0.32</v>
      </c>
    </row>
    <row r="79" spans="1:2" hidden="1" x14ac:dyDescent="0.35">
      <c r="A79" t="s">
        <v>33</v>
      </c>
      <c r="B79" s="1">
        <v>0.3</v>
      </c>
    </row>
    <row r="80" spans="1:2" hidden="1" x14ac:dyDescent="0.35">
      <c r="A80" t="s">
        <v>73</v>
      </c>
      <c r="B80" s="1">
        <v>0.28999999999999998</v>
      </c>
    </row>
    <row r="81" spans="1:2" hidden="1" x14ac:dyDescent="0.35">
      <c r="A81" t="s">
        <v>38</v>
      </c>
      <c r="B81" s="1">
        <v>0.27</v>
      </c>
    </row>
    <row r="82" spans="1:2" hidden="1" x14ac:dyDescent="0.35">
      <c r="A82" t="s">
        <v>39</v>
      </c>
      <c r="B82" s="1">
        <v>0.27</v>
      </c>
    </row>
    <row r="83" spans="1:2" hidden="1" x14ac:dyDescent="0.35">
      <c r="A83" t="s">
        <v>62</v>
      </c>
      <c r="B83" s="1">
        <v>0.27</v>
      </c>
    </row>
    <row r="84" spans="1:2" hidden="1" x14ac:dyDescent="0.35">
      <c r="A84" t="s">
        <v>9</v>
      </c>
      <c r="B84" s="1">
        <v>0.26</v>
      </c>
    </row>
    <row r="85" spans="1:2" hidden="1" x14ac:dyDescent="0.35">
      <c r="A85" t="s">
        <v>7</v>
      </c>
      <c r="B85" s="1">
        <v>0.25</v>
      </c>
    </row>
    <row r="86" spans="1:2" hidden="1" x14ac:dyDescent="0.35">
      <c r="A86" t="s">
        <v>11</v>
      </c>
      <c r="B86" s="1">
        <v>0.24</v>
      </c>
    </row>
    <row r="87" spans="1:2" hidden="1" x14ac:dyDescent="0.35">
      <c r="A87" t="s">
        <v>106</v>
      </c>
      <c r="B87" s="1">
        <v>0.24</v>
      </c>
    </row>
    <row r="88" spans="1:2" hidden="1" x14ac:dyDescent="0.35">
      <c r="A88" t="s">
        <v>28</v>
      </c>
      <c r="B88" s="1">
        <v>0.23</v>
      </c>
    </row>
    <row r="89" spans="1:2" hidden="1" x14ac:dyDescent="0.35">
      <c r="A89" t="s">
        <v>56</v>
      </c>
      <c r="B89" s="1">
        <v>0.22</v>
      </c>
    </row>
    <row r="90" spans="1:2" hidden="1" x14ac:dyDescent="0.35">
      <c r="A90" t="s">
        <v>68</v>
      </c>
      <c r="B90" s="1">
        <v>0.22</v>
      </c>
    </row>
    <row r="91" spans="1:2" hidden="1" x14ac:dyDescent="0.35">
      <c r="A91" t="s">
        <v>103</v>
      </c>
      <c r="B91" s="1">
        <v>0.21</v>
      </c>
    </row>
    <row r="92" spans="1:2" hidden="1" x14ac:dyDescent="0.35">
      <c r="A92" t="s">
        <v>15</v>
      </c>
      <c r="B92" s="1">
        <v>0.2</v>
      </c>
    </row>
    <row r="93" spans="1:2" hidden="1" x14ac:dyDescent="0.35">
      <c r="A93" t="s">
        <v>23</v>
      </c>
      <c r="B93" s="1">
        <v>0.19</v>
      </c>
    </row>
    <row r="94" spans="1:2" hidden="1" x14ac:dyDescent="0.35">
      <c r="A94" t="s">
        <v>31</v>
      </c>
      <c r="B94" s="1">
        <v>0.18</v>
      </c>
    </row>
    <row r="95" spans="1:2" hidden="1" x14ac:dyDescent="0.35">
      <c r="A95" t="s">
        <v>87</v>
      </c>
      <c r="B95" s="1">
        <v>0.14000000000000001</v>
      </c>
    </row>
    <row r="96" spans="1:2" hidden="1" x14ac:dyDescent="0.35">
      <c r="A96" t="s">
        <v>90</v>
      </c>
      <c r="B96" s="1">
        <v>0.14000000000000001</v>
      </c>
    </row>
    <row r="97" spans="1:2" hidden="1" x14ac:dyDescent="0.35">
      <c r="A97" t="s">
        <v>63</v>
      </c>
      <c r="B97" s="1">
        <v>0.13</v>
      </c>
    </row>
    <row r="98" spans="1:2" hidden="1" x14ac:dyDescent="0.35">
      <c r="A98" t="s">
        <v>89</v>
      </c>
      <c r="B98" s="1">
        <v>0.11</v>
      </c>
    </row>
    <row r="99" spans="1:2" hidden="1" x14ac:dyDescent="0.35">
      <c r="A99" t="s">
        <v>10</v>
      </c>
      <c r="B99" s="1">
        <v>0.09</v>
      </c>
    </row>
    <row r="100" spans="1:2" hidden="1" x14ac:dyDescent="0.35">
      <c r="A100" t="s">
        <v>97</v>
      </c>
      <c r="B100" s="1">
        <v>0.08</v>
      </c>
    </row>
    <row r="101" spans="1:2" hidden="1" x14ac:dyDescent="0.35">
      <c r="A101" t="s">
        <v>80</v>
      </c>
      <c r="B101" s="1">
        <v>0.04</v>
      </c>
    </row>
    <row r="102" spans="1:2" hidden="1" x14ac:dyDescent="0.35">
      <c r="A102" t="s">
        <v>100</v>
      </c>
      <c r="B102" s="1">
        <v>0.04</v>
      </c>
    </row>
    <row r="103" spans="1:2" hidden="1" x14ac:dyDescent="0.35">
      <c r="A103" t="s">
        <v>57</v>
      </c>
      <c r="B103" s="1">
        <v>0.03</v>
      </c>
    </row>
    <row r="104" spans="1:2" hidden="1" x14ac:dyDescent="0.35">
      <c r="A104" t="s">
        <v>48</v>
      </c>
      <c r="B104" s="1">
        <v>0.02</v>
      </c>
    </row>
    <row r="105" spans="1:2" hidden="1" x14ac:dyDescent="0.35">
      <c r="A105" t="s">
        <v>55</v>
      </c>
      <c r="B105" s="1">
        <v>0.02</v>
      </c>
    </row>
    <row r="106" spans="1:2" hidden="1" x14ac:dyDescent="0.35">
      <c r="A106" t="s">
        <v>85</v>
      </c>
      <c r="B106" s="1">
        <v>0.02</v>
      </c>
    </row>
    <row r="107" spans="1:2" hidden="1" x14ac:dyDescent="0.35">
      <c r="A107" t="s">
        <v>98</v>
      </c>
      <c r="B107" s="1">
        <v>0.02</v>
      </c>
    </row>
    <row r="108" spans="1:2" hidden="1" x14ac:dyDescent="0.35">
      <c r="A108" t="s">
        <v>109</v>
      </c>
      <c r="B108" s="1">
        <v>0.02</v>
      </c>
    </row>
    <row r="109" spans="1:2" hidden="1" x14ac:dyDescent="0.35">
      <c r="A109" t="s">
        <v>110</v>
      </c>
      <c r="B109" s="1">
        <v>0.02</v>
      </c>
    </row>
    <row r="110" spans="1:2" hidden="1" x14ac:dyDescent="0.35">
      <c r="A110" t="s">
        <v>105</v>
      </c>
      <c r="B110" s="1">
        <v>0.01</v>
      </c>
    </row>
    <row r="111" spans="1:2" hidden="1" x14ac:dyDescent="0.35"/>
  </sheetData>
  <autoFilter ref="A1:C111" xr:uid="{C9A4EC45-C0D6-4FE7-8E43-3BF6FFEE6B38}">
    <filterColumn colId="1">
      <top10 val="10" filterVal="0.52"/>
    </filterColumn>
  </autoFilter>
  <sortState xmlns:xlrd2="http://schemas.microsoft.com/office/spreadsheetml/2017/richdata2" ref="A2:B110">
    <sortCondition descending="1" ref="B1:B110"/>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BCED5-D086-4D48-8A98-AACD08CECC5B}">
  <dimension ref="A1:F113"/>
  <sheetViews>
    <sheetView workbookViewId="0">
      <pane ySplit="1" topLeftCell="A4" activePane="bottomLeft" state="frozen"/>
      <selection pane="bottomLeft" activeCell="F19" sqref="F19"/>
    </sheetView>
  </sheetViews>
  <sheetFormatPr defaultRowHeight="14.5" x14ac:dyDescent="0.35"/>
  <sheetData>
    <row r="1" spans="1:2" ht="15.5" x14ac:dyDescent="0.35">
      <c r="A1" s="2" t="s">
        <v>4</v>
      </c>
      <c r="B1" s="2" t="s">
        <v>160</v>
      </c>
    </row>
    <row r="2" spans="1:2" x14ac:dyDescent="0.35">
      <c r="A2">
        <v>2</v>
      </c>
      <c r="B2">
        <v>4.5</v>
      </c>
    </row>
    <row r="3" spans="1:2" x14ac:dyDescent="0.35">
      <c r="A3">
        <v>14</v>
      </c>
      <c r="B3">
        <v>4.0999999999999996</v>
      </c>
    </row>
    <row r="4" spans="1:2" x14ac:dyDescent="0.35">
      <c r="A4">
        <v>24</v>
      </c>
      <c r="B4">
        <v>4.5999999999999996</v>
      </c>
    </row>
    <row r="5" spans="1:2" x14ac:dyDescent="0.35">
      <c r="A5">
        <v>7</v>
      </c>
      <c r="B5">
        <v>4.7</v>
      </c>
    </row>
    <row r="6" spans="1:2" x14ac:dyDescent="0.35">
      <c r="A6">
        <v>5</v>
      </c>
      <c r="B6">
        <v>4.8</v>
      </c>
    </row>
    <row r="7" spans="1:2" x14ac:dyDescent="0.35">
      <c r="A7">
        <v>15</v>
      </c>
      <c r="B7">
        <v>4</v>
      </c>
    </row>
    <row r="8" spans="1:2" x14ac:dyDescent="0.35">
      <c r="A8">
        <v>55</v>
      </c>
      <c r="B8">
        <v>4.5999999999999996</v>
      </c>
    </row>
    <row r="9" spans="1:2" x14ac:dyDescent="0.35">
      <c r="A9">
        <v>2</v>
      </c>
      <c r="B9">
        <v>4</v>
      </c>
    </row>
    <row r="10" spans="1:2" x14ac:dyDescent="0.35">
      <c r="A10">
        <v>5</v>
      </c>
      <c r="B10">
        <v>4.8</v>
      </c>
    </row>
    <row r="11" spans="1:2" x14ac:dyDescent="0.35">
      <c r="A11">
        <v>5</v>
      </c>
      <c r="B11">
        <v>3.8</v>
      </c>
    </row>
    <row r="12" spans="1:2" x14ac:dyDescent="0.35">
      <c r="A12">
        <v>12</v>
      </c>
      <c r="B12">
        <v>4.0999999999999996</v>
      </c>
    </row>
    <row r="13" spans="1:2" x14ac:dyDescent="0.35">
      <c r="A13">
        <v>39</v>
      </c>
      <c r="B13">
        <v>4.7</v>
      </c>
    </row>
    <row r="14" spans="1:2" x14ac:dyDescent="0.35">
      <c r="A14">
        <v>12</v>
      </c>
      <c r="B14">
        <v>4.8</v>
      </c>
    </row>
    <row r="15" spans="1:2" x14ac:dyDescent="0.35">
      <c r="A15">
        <v>6</v>
      </c>
      <c r="B15">
        <v>4.5</v>
      </c>
    </row>
    <row r="16" spans="1:2" x14ac:dyDescent="0.35">
      <c r="A16">
        <v>9</v>
      </c>
      <c r="B16">
        <v>4.2</v>
      </c>
    </row>
    <row r="17" spans="1:6" x14ac:dyDescent="0.35">
      <c r="A17">
        <v>2</v>
      </c>
      <c r="B17">
        <v>5</v>
      </c>
    </row>
    <row r="18" spans="1:6" x14ac:dyDescent="0.35">
      <c r="A18">
        <v>2</v>
      </c>
      <c r="B18">
        <v>5</v>
      </c>
    </row>
    <row r="19" spans="1:6" x14ac:dyDescent="0.35">
      <c r="A19">
        <v>3</v>
      </c>
      <c r="B19">
        <v>5</v>
      </c>
      <c r="F19" t="s">
        <v>197</v>
      </c>
    </row>
    <row r="20" spans="1:6" x14ac:dyDescent="0.35">
      <c r="A20">
        <v>5</v>
      </c>
      <c r="B20">
        <v>4.5999999999999996</v>
      </c>
    </row>
    <row r="21" spans="1:6" x14ac:dyDescent="0.35">
      <c r="A21">
        <v>44</v>
      </c>
      <c r="B21">
        <v>4.5999999999999996</v>
      </c>
    </row>
    <row r="22" spans="1:6" x14ac:dyDescent="0.35">
      <c r="A22">
        <v>13</v>
      </c>
      <c r="B22">
        <v>3.3</v>
      </c>
    </row>
    <row r="23" spans="1:6" x14ac:dyDescent="0.35">
      <c r="A23">
        <v>0</v>
      </c>
      <c r="B23" t="s">
        <v>117</v>
      </c>
    </row>
    <row r="24" spans="1:6" x14ac:dyDescent="0.35">
      <c r="A24">
        <v>6</v>
      </c>
      <c r="B24">
        <v>4</v>
      </c>
    </row>
    <row r="25" spans="1:6" x14ac:dyDescent="0.35">
      <c r="A25">
        <v>14</v>
      </c>
      <c r="B25">
        <v>4.4000000000000004</v>
      </c>
    </row>
    <row r="26" spans="1:6" x14ac:dyDescent="0.35">
      <c r="A26">
        <v>7</v>
      </c>
      <c r="B26">
        <v>4.3</v>
      </c>
    </row>
    <row r="27" spans="1:6" x14ac:dyDescent="0.35">
      <c r="A27">
        <v>49</v>
      </c>
      <c r="B27">
        <v>4.5999999999999996</v>
      </c>
    </row>
    <row r="28" spans="1:6" x14ac:dyDescent="0.35">
      <c r="A28">
        <v>12</v>
      </c>
      <c r="B28">
        <v>3.8</v>
      </c>
    </row>
    <row r="29" spans="1:6" x14ac:dyDescent="0.35">
      <c r="A29">
        <v>13</v>
      </c>
      <c r="B29">
        <v>3.8</v>
      </c>
    </row>
    <row r="30" spans="1:6" x14ac:dyDescent="0.35">
      <c r="A30">
        <v>20</v>
      </c>
      <c r="B30">
        <v>4.0999999999999996</v>
      </c>
    </row>
    <row r="31" spans="1:6" x14ac:dyDescent="0.35">
      <c r="A31">
        <v>0</v>
      </c>
      <c r="B31" t="s">
        <v>117</v>
      </c>
    </row>
    <row r="32" spans="1:6" x14ac:dyDescent="0.35">
      <c r="A32">
        <v>9</v>
      </c>
      <c r="B32">
        <v>4.3</v>
      </c>
    </row>
    <row r="33" spans="1:2" x14ac:dyDescent="0.35">
      <c r="A33">
        <v>12</v>
      </c>
      <c r="B33">
        <v>4.7</v>
      </c>
    </row>
    <row r="34" spans="1:2" x14ac:dyDescent="0.35">
      <c r="A34">
        <v>9</v>
      </c>
      <c r="B34">
        <v>4.3</v>
      </c>
    </row>
    <row r="35" spans="1:2" x14ac:dyDescent="0.35">
      <c r="A35">
        <v>20</v>
      </c>
      <c r="B35">
        <v>4.7</v>
      </c>
    </row>
    <row r="36" spans="1:2" x14ac:dyDescent="0.35">
      <c r="A36">
        <v>32</v>
      </c>
      <c r="B36">
        <v>4.5</v>
      </c>
    </row>
    <row r="37" spans="1:2" x14ac:dyDescent="0.35">
      <c r="A37">
        <v>1</v>
      </c>
      <c r="B37">
        <v>5</v>
      </c>
    </row>
    <row r="38" spans="1:2" x14ac:dyDescent="0.35">
      <c r="A38">
        <v>2</v>
      </c>
      <c r="B38">
        <v>5</v>
      </c>
    </row>
    <row r="39" spans="1:2" x14ac:dyDescent="0.35">
      <c r="A39">
        <v>36</v>
      </c>
      <c r="B39">
        <v>4.3</v>
      </c>
    </row>
    <row r="40" spans="1:2" x14ac:dyDescent="0.35">
      <c r="A40">
        <v>2</v>
      </c>
      <c r="B40">
        <v>4.5</v>
      </c>
    </row>
    <row r="41" spans="1:2" x14ac:dyDescent="0.35">
      <c r="A41">
        <v>0</v>
      </c>
      <c r="B41" t="s">
        <v>117</v>
      </c>
    </row>
    <row r="42" spans="1:2" x14ac:dyDescent="0.35">
      <c r="A42">
        <v>0</v>
      </c>
      <c r="B42" t="s">
        <v>117</v>
      </c>
    </row>
    <row r="43" spans="1:2" x14ac:dyDescent="0.35">
      <c r="A43">
        <v>0</v>
      </c>
      <c r="B43" t="s">
        <v>117</v>
      </c>
    </row>
    <row r="44" spans="1:2" x14ac:dyDescent="0.35">
      <c r="A44">
        <v>0</v>
      </c>
      <c r="B44" t="s">
        <v>117</v>
      </c>
    </row>
    <row r="45" spans="1:2" x14ac:dyDescent="0.35">
      <c r="A45">
        <v>0</v>
      </c>
      <c r="B45" t="s">
        <v>117</v>
      </c>
    </row>
    <row r="46" spans="1:2" x14ac:dyDescent="0.35">
      <c r="A46">
        <v>0</v>
      </c>
      <c r="B46" t="s">
        <v>117</v>
      </c>
    </row>
    <row r="47" spans="1:2" x14ac:dyDescent="0.35">
      <c r="A47">
        <v>0</v>
      </c>
      <c r="B47" t="s">
        <v>117</v>
      </c>
    </row>
    <row r="48" spans="1:2" x14ac:dyDescent="0.35">
      <c r="A48">
        <v>0</v>
      </c>
      <c r="B48" t="s">
        <v>117</v>
      </c>
    </row>
    <row r="49" spans="1:2" x14ac:dyDescent="0.35">
      <c r="A49">
        <v>0</v>
      </c>
      <c r="B49" t="s">
        <v>117</v>
      </c>
    </row>
    <row r="50" spans="1:2" x14ac:dyDescent="0.35">
      <c r="A50">
        <v>0</v>
      </c>
      <c r="B50" t="s">
        <v>117</v>
      </c>
    </row>
    <row r="51" spans="1:2" x14ac:dyDescent="0.35">
      <c r="A51">
        <v>0</v>
      </c>
      <c r="B51" t="s">
        <v>117</v>
      </c>
    </row>
    <row r="52" spans="1:2" x14ac:dyDescent="0.35">
      <c r="A52">
        <v>0</v>
      </c>
      <c r="B52" t="s">
        <v>117</v>
      </c>
    </row>
    <row r="53" spans="1:2" x14ac:dyDescent="0.35">
      <c r="A53">
        <v>0</v>
      </c>
      <c r="B53" t="s">
        <v>117</v>
      </c>
    </row>
    <row r="54" spans="1:2" x14ac:dyDescent="0.35">
      <c r="A54">
        <v>0</v>
      </c>
      <c r="B54" t="s">
        <v>117</v>
      </c>
    </row>
    <row r="55" spans="1:2" x14ac:dyDescent="0.35">
      <c r="A55">
        <v>0</v>
      </c>
      <c r="B55" t="s">
        <v>117</v>
      </c>
    </row>
    <row r="56" spans="1:2" x14ac:dyDescent="0.35">
      <c r="A56">
        <v>0</v>
      </c>
      <c r="B56" t="s">
        <v>117</v>
      </c>
    </row>
    <row r="57" spans="1:2" x14ac:dyDescent="0.35">
      <c r="A57">
        <v>0</v>
      </c>
      <c r="B57" t="s">
        <v>117</v>
      </c>
    </row>
    <row r="58" spans="1:2" x14ac:dyDescent="0.35">
      <c r="A58">
        <v>0</v>
      </c>
      <c r="B58" t="s">
        <v>117</v>
      </c>
    </row>
    <row r="59" spans="1:2" x14ac:dyDescent="0.35">
      <c r="A59">
        <v>0</v>
      </c>
      <c r="B59" t="s">
        <v>117</v>
      </c>
    </row>
    <row r="60" spans="1:2" x14ac:dyDescent="0.35">
      <c r="A60">
        <v>6</v>
      </c>
      <c r="B60">
        <v>2.5</v>
      </c>
    </row>
    <row r="61" spans="1:2" x14ac:dyDescent="0.35">
      <c r="A61">
        <v>10</v>
      </c>
      <c r="B61">
        <v>3</v>
      </c>
    </row>
    <row r="62" spans="1:2" x14ac:dyDescent="0.35">
      <c r="A62">
        <v>13</v>
      </c>
      <c r="B62">
        <v>2.1</v>
      </c>
    </row>
    <row r="63" spans="1:2" x14ac:dyDescent="0.35">
      <c r="A63">
        <v>69</v>
      </c>
      <c r="B63">
        <v>2.8</v>
      </c>
    </row>
    <row r="64" spans="1:2" x14ac:dyDescent="0.35">
      <c r="A64">
        <v>15</v>
      </c>
      <c r="B64">
        <v>2.7</v>
      </c>
    </row>
    <row r="65" spans="1:2" x14ac:dyDescent="0.35">
      <c r="A65">
        <v>16</v>
      </c>
      <c r="B65">
        <v>2.9</v>
      </c>
    </row>
    <row r="66" spans="1:2" x14ac:dyDescent="0.35">
      <c r="A66">
        <v>6</v>
      </c>
      <c r="B66">
        <v>2.2000000000000002</v>
      </c>
    </row>
    <row r="67" spans="1:2" x14ac:dyDescent="0.35">
      <c r="A67">
        <v>7</v>
      </c>
      <c r="B67">
        <v>2.2999999999999998</v>
      </c>
    </row>
    <row r="68" spans="1:2" x14ac:dyDescent="0.35">
      <c r="A68">
        <v>5</v>
      </c>
      <c r="B68">
        <v>3</v>
      </c>
    </row>
    <row r="69" spans="1:2" x14ac:dyDescent="0.35">
      <c r="A69">
        <v>17</v>
      </c>
      <c r="B69">
        <v>2.6</v>
      </c>
    </row>
    <row r="70" spans="1:2" x14ac:dyDescent="0.35">
      <c r="A70">
        <v>5</v>
      </c>
      <c r="B70">
        <v>3</v>
      </c>
    </row>
    <row r="71" spans="1:2" x14ac:dyDescent="0.35">
      <c r="A71">
        <v>6</v>
      </c>
      <c r="B71">
        <v>2.2999999999999998</v>
      </c>
    </row>
    <row r="72" spans="1:2" x14ac:dyDescent="0.35">
      <c r="A72">
        <v>5</v>
      </c>
      <c r="B72">
        <v>3</v>
      </c>
    </row>
    <row r="73" spans="1:2" x14ac:dyDescent="0.35">
      <c r="A73">
        <v>6</v>
      </c>
      <c r="B73">
        <v>2.2000000000000002</v>
      </c>
    </row>
    <row r="74" spans="1:2" x14ac:dyDescent="0.35">
      <c r="A74">
        <v>7</v>
      </c>
      <c r="B74">
        <v>2.1</v>
      </c>
    </row>
    <row r="75" spans="1:2" x14ac:dyDescent="0.35">
      <c r="A75">
        <v>0</v>
      </c>
      <c r="B75" t="s">
        <v>117</v>
      </c>
    </row>
    <row r="76" spans="1:2" x14ac:dyDescent="0.35">
      <c r="A76">
        <v>0</v>
      </c>
      <c r="B76" t="s">
        <v>117</v>
      </c>
    </row>
    <row r="77" spans="1:2" x14ac:dyDescent="0.35">
      <c r="A77">
        <v>0</v>
      </c>
      <c r="B77" t="s">
        <v>117</v>
      </c>
    </row>
    <row r="78" spans="1:2" x14ac:dyDescent="0.35">
      <c r="A78">
        <v>0</v>
      </c>
      <c r="B78" t="s">
        <v>117</v>
      </c>
    </row>
    <row r="79" spans="1:2" x14ac:dyDescent="0.35">
      <c r="A79">
        <v>1</v>
      </c>
      <c r="B79">
        <v>3</v>
      </c>
    </row>
    <row r="80" spans="1:2" x14ac:dyDescent="0.35">
      <c r="A80">
        <v>1</v>
      </c>
      <c r="B80">
        <v>5</v>
      </c>
    </row>
    <row r="81" spans="1:2" x14ac:dyDescent="0.35">
      <c r="A81">
        <v>0</v>
      </c>
      <c r="B81" t="s">
        <v>117</v>
      </c>
    </row>
    <row r="82" spans="1:2" x14ac:dyDescent="0.35">
      <c r="A82">
        <v>0</v>
      </c>
      <c r="B82" t="s">
        <v>117</v>
      </c>
    </row>
    <row r="83" spans="1:2" x14ac:dyDescent="0.35">
      <c r="A83">
        <v>1</v>
      </c>
      <c r="B83">
        <v>4</v>
      </c>
    </row>
    <row r="84" spans="1:2" x14ac:dyDescent="0.35">
      <c r="A84">
        <v>0</v>
      </c>
      <c r="B84" t="s">
        <v>117</v>
      </c>
    </row>
    <row r="85" spans="1:2" x14ac:dyDescent="0.35">
      <c r="A85">
        <v>0</v>
      </c>
      <c r="B85" t="s">
        <v>117</v>
      </c>
    </row>
    <row r="86" spans="1:2" x14ac:dyDescent="0.35">
      <c r="A86">
        <v>0</v>
      </c>
      <c r="B86" t="s">
        <v>117</v>
      </c>
    </row>
    <row r="87" spans="1:2" x14ac:dyDescent="0.35">
      <c r="A87">
        <v>0</v>
      </c>
      <c r="B87" t="s">
        <v>117</v>
      </c>
    </row>
    <row r="88" spans="1:2" x14ac:dyDescent="0.35">
      <c r="A88">
        <v>0</v>
      </c>
      <c r="B88" t="s">
        <v>117</v>
      </c>
    </row>
    <row r="89" spans="1:2" x14ac:dyDescent="0.35">
      <c r="A89">
        <v>0</v>
      </c>
      <c r="B89" t="s">
        <v>117</v>
      </c>
    </row>
    <row r="90" spans="1:2" x14ac:dyDescent="0.35">
      <c r="A90">
        <v>0</v>
      </c>
      <c r="B90" t="s">
        <v>117</v>
      </c>
    </row>
    <row r="91" spans="1:2" x14ac:dyDescent="0.35">
      <c r="A91">
        <v>0</v>
      </c>
      <c r="B91" t="s">
        <v>117</v>
      </c>
    </row>
    <row r="92" spans="1:2" x14ac:dyDescent="0.35">
      <c r="A92">
        <v>0</v>
      </c>
      <c r="B92" t="s">
        <v>117</v>
      </c>
    </row>
    <row r="93" spans="1:2" x14ac:dyDescent="0.35">
      <c r="A93">
        <v>0</v>
      </c>
      <c r="B93" t="s">
        <v>117</v>
      </c>
    </row>
    <row r="94" spans="1:2" x14ac:dyDescent="0.35">
      <c r="A94">
        <v>0</v>
      </c>
      <c r="B94" t="s">
        <v>117</v>
      </c>
    </row>
    <row r="95" spans="1:2" x14ac:dyDescent="0.35">
      <c r="A95">
        <v>0</v>
      </c>
      <c r="B95" t="s">
        <v>117</v>
      </c>
    </row>
    <row r="96" spans="1:2" x14ac:dyDescent="0.35">
      <c r="A96">
        <v>0</v>
      </c>
      <c r="B96" t="s">
        <v>117</v>
      </c>
    </row>
    <row r="97" spans="1:3" x14ac:dyDescent="0.35">
      <c r="A97">
        <v>0</v>
      </c>
      <c r="B97" t="s">
        <v>117</v>
      </c>
    </row>
    <row r="98" spans="1:3" x14ac:dyDescent="0.35">
      <c r="A98">
        <v>0</v>
      </c>
      <c r="B98" t="s">
        <v>117</v>
      </c>
    </row>
    <row r="99" spans="1:3" x14ac:dyDescent="0.35">
      <c r="A99">
        <v>0</v>
      </c>
      <c r="B99" t="s">
        <v>117</v>
      </c>
    </row>
    <row r="100" spans="1:3" x14ac:dyDescent="0.35">
      <c r="A100">
        <v>1</v>
      </c>
      <c r="B100">
        <v>5</v>
      </c>
    </row>
    <row r="101" spans="1:3" x14ac:dyDescent="0.35">
      <c r="A101">
        <v>0</v>
      </c>
      <c r="B101" t="s">
        <v>117</v>
      </c>
    </row>
    <row r="102" spans="1:3" x14ac:dyDescent="0.35">
      <c r="A102">
        <v>0</v>
      </c>
      <c r="B102" t="s">
        <v>117</v>
      </c>
    </row>
    <row r="103" spans="1:3" x14ac:dyDescent="0.35">
      <c r="A103">
        <v>0</v>
      </c>
      <c r="B103" t="s">
        <v>117</v>
      </c>
    </row>
    <row r="104" spans="1:3" x14ac:dyDescent="0.35">
      <c r="A104">
        <v>0</v>
      </c>
      <c r="B104" t="s">
        <v>117</v>
      </c>
    </row>
    <row r="105" spans="1:3" x14ac:dyDescent="0.35">
      <c r="A105">
        <v>0</v>
      </c>
      <c r="B105" t="s">
        <v>117</v>
      </c>
    </row>
    <row r="106" spans="1:3" x14ac:dyDescent="0.35">
      <c r="A106">
        <v>0</v>
      </c>
      <c r="B106" t="s">
        <v>117</v>
      </c>
    </row>
    <row r="107" spans="1:3" x14ac:dyDescent="0.35">
      <c r="A107">
        <v>0</v>
      </c>
      <c r="B107" t="s">
        <v>117</v>
      </c>
    </row>
    <row r="108" spans="1:3" x14ac:dyDescent="0.35">
      <c r="A108">
        <v>0</v>
      </c>
      <c r="B108" t="s">
        <v>117</v>
      </c>
    </row>
    <row r="109" spans="1:3" x14ac:dyDescent="0.35">
      <c r="A109">
        <v>1</v>
      </c>
      <c r="B109">
        <v>2</v>
      </c>
    </row>
    <row r="110" spans="1:3" x14ac:dyDescent="0.35">
      <c r="A110">
        <v>0</v>
      </c>
      <c r="B110" t="s">
        <v>117</v>
      </c>
    </row>
    <row r="112" spans="1:3" x14ac:dyDescent="0.35">
      <c r="A112">
        <f>MAX(A2:A110)</f>
        <v>69</v>
      </c>
      <c r="B112">
        <f>MAX(B2:B110)</f>
        <v>5</v>
      </c>
      <c r="C112" t="s">
        <v>157</v>
      </c>
    </row>
    <row r="113" spans="1:3" x14ac:dyDescent="0.35">
      <c r="A113">
        <f>MIN(A2:A110)</f>
        <v>0</v>
      </c>
      <c r="B113">
        <f>MIN(B2:B110)</f>
        <v>2</v>
      </c>
      <c r="C113" t="s">
        <v>158</v>
      </c>
    </row>
  </sheetData>
  <autoFilter ref="B1:B110" xr:uid="{B2ABCED5-D086-4D48-8A98-AACD08CECC5B}"/>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6FAF6-95E2-40F0-8F65-5165CAB9A01D}">
  <dimension ref="A1:G113"/>
  <sheetViews>
    <sheetView topLeftCell="B1" workbookViewId="0">
      <selection activeCell="I11" sqref="I11"/>
    </sheetView>
  </sheetViews>
  <sheetFormatPr defaultRowHeight="14.5" x14ac:dyDescent="0.35"/>
  <sheetData>
    <row r="1" spans="1:7" ht="15.5" x14ac:dyDescent="0.35">
      <c r="A1" s="4" t="s">
        <v>3</v>
      </c>
      <c r="B1" s="2" t="s">
        <v>4</v>
      </c>
    </row>
    <row r="2" spans="1:7" x14ac:dyDescent="0.35">
      <c r="A2" s="1">
        <v>0.38</v>
      </c>
      <c r="B2">
        <v>2</v>
      </c>
      <c r="D2" t="s">
        <v>181</v>
      </c>
    </row>
    <row r="3" spans="1:7" x14ac:dyDescent="0.35">
      <c r="A3" s="1">
        <v>0.47</v>
      </c>
      <c r="B3">
        <v>14</v>
      </c>
      <c r="D3" t="s">
        <v>182</v>
      </c>
      <c r="G3">
        <f>CORREL(A2:A110, B2:B110)</f>
        <v>2.5890929201949353E-2</v>
      </c>
    </row>
    <row r="4" spans="1:7" x14ac:dyDescent="0.35">
      <c r="A4" s="1">
        <v>0.25</v>
      </c>
      <c r="B4">
        <v>24</v>
      </c>
    </row>
    <row r="5" spans="1:7" x14ac:dyDescent="0.35">
      <c r="A5" s="1">
        <v>0.37</v>
      </c>
      <c r="B5">
        <v>7</v>
      </c>
    </row>
    <row r="6" spans="1:7" x14ac:dyDescent="0.35">
      <c r="A6" s="1">
        <v>0.26</v>
      </c>
      <c r="B6">
        <v>5</v>
      </c>
    </row>
    <row r="7" spans="1:7" x14ac:dyDescent="0.35">
      <c r="A7" s="1">
        <v>0.09</v>
      </c>
      <c r="B7">
        <v>15</v>
      </c>
    </row>
    <row r="8" spans="1:7" x14ac:dyDescent="0.35">
      <c r="A8" s="1">
        <v>0.24</v>
      </c>
      <c r="B8">
        <v>55</v>
      </c>
    </row>
    <row r="9" spans="1:7" x14ac:dyDescent="0.35">
      <c r="A9" s="1">
        <v>0.37</v>
      </c>
      <c r="B9">
        <v>2</v>
      </c>
    </row>
    <row r="10" spans="1:7" x14ac:dyDescent="0.35">
      <c r="A10" s="1">
        <v>0.55000000000000004</v>
      </c>
      <c r="B10">
        <v>5</v>
      </c>
    </row>
    <row r="11" spans="1:7" x14ac:dyDescent="0.35">
      <c r="A11" s="1">
        <v>0.45</v>
      </c>
      <c r="B11">
        <v>5</v>
      </c>
    </row>
    <row r="12" spans="1:7" x14ac:dyDescent="0.35">
      <c r="A12" s="1">
        <v>0.2</v>
      </c>
      <c r="B12">
        <v>12</v>
      </c>
    </row>
    <row r="13" spans="1:7" x14ac:dyDescent="0.35">
      <c r="A13" s="1">
        <v>0.34</v>
      </c>
      <c r="B13">
        <v>39</v>
      </c>
    </row>
    <row r="14" spans="1:7" x14ac:dyDescent="0.35">
      <c r="A14" s="1">
        <v>0.47</v>
      </c>
      <c r="B14">
        <v>12</v>
      </c>
    </row>
    <row r="15" spans="1:7" x14ac:dyDescent="0.35">
      <c r="A15" s="1">
        <v>0.42</v>
      </c>
      <c r="B15">
        <v>6</v>
      </c>
    </row>
    <row r="16" spans="1:7" x14ac:dyDescent="0.35">
      <c r="A16" s="1">
        <v>0.33</v>
      </c>
      <c r="B16">
        <v>9</v>
      </c>
    </row>
    <row r="17" spans="1:4" x14ac:dyDescent="0.35">
      <c r="A17" s="1">
        <v>0.51</v>
      </c>
      <c r="B17">
        <v>2</v>
      </c>
    </row>
    <row r="18" spans="1:4" x14ac:dyDescent="0.35">
      <c r="A18" s="1">
        <v>0.46</v>
      </c>
      <c r="B18">
        <v>2</v>
      </c>
    </row>
    <row r="19" spans="1:4" x14ac:dyDescent="0.35">
      <c r="A19" s="1">
        <v>0.49</v>
      </c>
      <c r="B19">
        <v>3</v>
      </c>
    </row>
    <row r="20" spans="1:4" x14ac:dyDescent="0.35">
      <c r="A20" s="1">
        <v>0.19</v>
      </c>
      <c r="B20">
        <v>5</v>
      </c>
    </row>
    <row r="21" spans="1:4" x14ac:dyDescent="0.35">
      <c r="A21" s="1">
        <v>0.49</v>
      </c>
      <c r="B21">
        <v>44</v>
      </c>
    </row>
    <row r="22" spans="1:4" x14ac:dyDescent="0.35">
      <c r="A22" s="1">
        <v>0.53</v>
      </c>
      <c r="B22">
        <v>13</v>
      </c>
      <c r="D22" s="7" t="s">
        <v>183</v>
      </c>
    </row>
    <row r="23" spans="1:4" x14ac:dyDescent="0.35">
      <c r="A23" s="1">
        <v>0.42</v>
      </c>
      <c r="B23">
        <v>0</v>
      </c>
      <c r="D23" s="7" t="s">
        <v>184</v>
      </c>
    </row>
    <row r="24" spans="1:4" x14ac:dyDescent="0.35">
      <c r="A24" s="1">
        <v>0.35</v>
      </c>
      <c r="B24">
        <v>6</v>
      </c>
    </row>
    <row r="25" spans="1:4" x14ac:dyDescent="0.35">
      <c r="A25" s="1">
        <v>0.23</v>
      </c>
      <c r="B25">
        <v>14</v>
      </c>
    </row>
    <row r="26" spans="1:4" x14ac:dyDescent="0.35">
      <c r="A26" s="1">
        <v>0.54</v>
      </c>
      <c r="B26">
        <v>7</v>
      </c>
    </row>
    <row r="27" spans="1:4" x14ac:dyDescent="0.35">
      <c r="A27" s="1">
        <v>0.35</v>
      </c>
      <c r="B27">
        <v>49</v>
      </c>
    </row>
    <row r="28" spans="1:4" x14ac:dyDescent="0.35">
      <c r="A28" s="1">
        <v>0.18</v>
      </c>
      <c r="B28">
        <v>12</v>
      </c>
    </row>
    <row r="29" spans="1:4" x14ac:dyDescent="0.35">
      <c r="A29" s="1">
        <v>0.32</v>
      </c>
      <c r="B29">
        <v>13</v>
      </c>
    </row>
    <row r="30" spans="1:4" x14ac:dyDescent="0.35">
      <c r="A30" s="1">
        <v>0.3</v>
      </c>
      <c r="B30">
        <v>20</v>
      </c>
    </row>
    <row r="31" spans="1:4" x14ac:dyDescent="0.35">
      <c r="A31" s="1">
        <v>0.46</v>
      </c>
      <c r="B31">
        <v>0</v>
      </c>
    </row>
    <row r="32" spans="1:4" x14ac:dyDescent="0.35">
      <c r="A32" s="1">
        <v>0.52</v>
      </c>
      <c r="B32">
        <v>9</v>
      </c>
    </row>
    <row r="33" spans="1:2" x14ac:dyDescent="0.35">
      <c r="A33" s="1">
        <v>0.34</v>
      </c>
      <c r="B33">
        <v>12</v>
      </c>
    </row>
    <row r="34" spans="1:2" x14ac:dyDescent="0.35">
      <c r="A34" s="1">
        <v>0.48</v>
      </c>
      <c r="B34">
        <v>9</v>
      </c>
    </row>
    <row r="35" spans="1:2" x14ac:dyDescent="0.35">
      <c r="A35" s="1">
        <v>0.27</v>
      </c>
      <c r="B35">
        <v>20</v>
      </c>
    </row>
    <row r="36" spans="1:2" x14ac:dyDescent="0.35">
      <c r="A36" s="1">
        <v>0.27</v>
      </c>
      <c r="B36">
        <v>32</v>
      </c>
    </row>
    <row r="37" spans="1:2" x14ac:dyDescent="0.35">
      <c r="A37" s="1">
        <v>0.4</v>
      </c>
      <c r="B37">
        <v>1</v>
      </c>
    </row>
    <row r="38" spans="1:2" x14ac:dyDescent="0.35">
      <c r="A38" s="1">
        <v>0.53</v>
      </c>
      <c r="B38">
        <v>2</v>
      </c>
    </row>
    <row r="39" spans="1:2" x14ac:dyDescent="0.35">
      <c r="A39" s="1">
        <v>0.41</v>
      </c>
      <c r="B39">
        <v>36</v>
      </c>
    </row>
    <row r="40" spans="1:2" x14ac:dyDescent="0.35">
      <c r="A40" s="1">
        <v>0.38</v>
      </c>
      <c r="B40">
        <v>2</v>
      </c>
    </row>
    <row r="41" spans="1:2" x14ac:dyDescent="0.35">
      <c r="A41" s="1">
        <v>0.38</v>
      </c>
      <c r="B41">
        <v>0</v>
      </c>
    </row>
    <row r="42" spans="1:2" x14ac:dyDescent="0.35">
      <c r="A42" s="1">
        <v>0.49</v>
      </c>
      <c r="B42">
        <v>0</v>
      </c>
    </row>
    <row r="43" spans="1:2" x14ac:dyDescent="0.35">
      <c r="A43" s="1">
        <v>0.5</v>
      </c>
      <c r="B43">
        <v>0</v>
      </c>
    </row>
    <row r="44" spans="1:2" x14ac:dyDescent="0.35">
      <c r="A44" s="1">
        <v>0.42</v>
      </c>
      <c r="B44">
        <v>0</v>
      </c>
    </row>
    <row r="45" spans="1:2" x14ac:dyDescent="0.35">
      <c r="A45" s="1">
        <v>0.02</v>
      </c>
      <c r="B45">
        <v>0</v>
      </c>
    </row>
    <row r="46" spans="1:2" x14ac:dyDescent="0.35">
      <c r="A46" s="1">
        <v>0.5</v>
      </c>
      <c r="B46">
        <v>0</v>
      </c>
    </row>
    <row r="47" spans="1:2" x14ac:dyDescent="0.35">
      <c r="A47" s="1">
        <v>0.33</v>
      </c>
      <c r="B47">
        <v>0</v>
      </c>
    </row>
    <row r="48" spans="1:2" x14ac:dyDescent="0.35">
      <c r="A48" s="1">
        <v>0.49</v>
      </c>
      <c r="B48">
        <v>0</v>
      </c>
    </row>
    <row r="49" spans="1:2" x14ac:dyDescent="0.35">
      <c r="A49" s="1">
        <v>0.38</v>
      </c>
      <c r="B49">
        <v>0</v>
      </c>
    </row>
    <row r="50" spans="1:2" x14ac:dyDescent="0.35">
      <c r="A50" s="1">
        <v>0.61</v>
      </c>
      <c r="B50">
        <v>0</v>
      </c>
    </row>
    <row r="51" spans="1:2" x14ac:dyDescent="0.35">
      <c r="A51" s="1">
        <v>0.5</v>
      </c>
      <c r="B51">
        <v>0</v>
      </c>
    </row>
    <row r="52" spans="1:2" x14ac:dyDescent="0.35">
      <c r="A52" s="1">
        <v>0.02</v>
      </c>
      <c r="B52">
        <v>0</v>
      </c>
    </row>
    <row r="53" spans="1:2" x14ac:dyDescent="0.35">
      <c r="A53" s="1">
        <v>0.22</v>
      </c>
      <c r="B53">
        <v>0</v>
      </c>
    </row>
    <row r="54" spans="1:2" x14ac:dyDescent="0.35">
      <c r="A54" s="1">
        <v>0.03</v>
      </c>
      <c r="B54">
        <v>0</v>
      </c>
    </row>
    <row r="55" spans="1:2" x14ac:dyDescent="0.35">
      <c r="A55" s="1">
        <v>0.41</v>
      </c>
      <c r="B55">
        <v>0</v>
      </c>
    </row>
    <row r="56" spans="1:2" x14ac:dyDescent="0.35">
      <c r="A56" s="1">
        <v>0.45</v>
      </c>
      <c r="B56">
        <v>0</v>
      </c>
    </row>
    <row r="57" spans="1:2" x14ac:dyDescent="0.35">
      <c r="A57" s="1">
        <v>0.48</v>
      </c>
      <c r="B57">
        <v>0</v>
      </c>
    </row>
    <row r="58" spans="1:2" x14ac:dyDescent="0.35">
      <c r="A58" s="1">
        <v>0.49</v>
      </c>
      <c r="B58">
        <v>0</v>
      </c>
    </row>
    <row r="59" spans="1:2" x14ac:dyDescent="0.35">
      <c r="A59" s="1">
        <v>0.27</v>
      </c>
      <c r="B59">
        <v>0</v>
      </c>
    </row>
    <row r="60" spans="1:2" x14ac:dyDescent="0.35">
      <c r="A60" s="1">
        <v>0.13</v>
      </c>
      <c r="B60">
        <v>6</v>
      </c>
    </row>
    <row r="61" spans="1:2" x14ac:dyDescent="0.35">
      <c r="A61" s="1">
        <v>0.54</v>
      </c>
      <c r="B61">
        <v>10</v>
      </c>
    </row>
    <row r="62" spans="1:2" x14ac:dyDescent="0.35">
      <c r="A62" s="1">
        <v>0.55000000000000004</v>
      </c>
      <c r="B62">
        <v>13</v>
      </c>
    </row>
    <row r="63" spans="1:2" x14ac:dyDescent="0.35">
      <c r="A63" s="1">
        <v>0.49</v>
      </c>
      <c r="B63">
        <v>69</v>
      </c>
    </row>
    <row r="64" spans="1:2" x14ac:dyDescent="0.35">
      <c r="A64" s="1">
        <v>0.52</v>
      </c>
      <c r="B64">
        <v>15</v>
      </c>
    </row>
    <row r="65" spans="1:2" x14ac:dyDescent="0.35">
      <c r="A65" s="1">
        <v>0.22</v>
      </c>
      <c r="B65">
        <v>16</v>
      </c>
    </row>
    <row r="66" spans="1:2" x14ac:dyDescent="0.35">
      <c r="A66" s="1">
        <v>0.45</v>
      </c>
      <c r="B66">
        <v>6</v>
      </c>
    </row>
    <row r="67" spans="1:2" x14ac:dyDescent="0.35">
      <c r="A67" s="1">
        <v>0.5</v>
      </c>
      <c r="B67">
        <v>7</v>
      </c>
    </row>
    <row r="68" spans="1:2" x14ac:dyDescent="0.35">
      <c r="A68" s="1">
        <v>0.39</v>
      </c>
      <c r="B68">
        <v>5</v>
      </c>
    </row>
    <row r="69" spans="1:2" x14ac:dyDescent="0.35">
      <c r="A69" s="1">
        <v>0.45</v>
      </c>
      <c r="B69">
        <v>17</v>
      </c>
    </row>
    <row r="70" spans="1:2" x14ac:dyDescent="0.35">
      <c r="A70" s="1">
        <v>0.28999999999999998</v>
      </c>
      <c r="B70">
        <v>5</v>
      </c>
    </row>
    <row r="71" spans="1:2" x14ac:dyDescent="0.35">
      <c r="A71" s="1">
        <v>0.43</v>
      </c>
      <c r="B71">
        <v>6</v>
      </c>
    </row>
    <row r="72" spans="1:2" x14ac:dyDescent="0.35">
      <c r="A72" s="1">
        <v>0.43</v>
      </c>
      <c r="B72">
        <v>5</v>
      </c>
    </row>
    <row r="73" spans="1:2" x14ac:dyDescent="0.35">
      <c r="A73" s="1">
        <v>0.47</v>
      </c>
      <c r="B73">
        <v>6</v>
      </c>
    </row>
    <row r="74" spans="1:2" x14ac:dyDescent="0.35">
      <c r="A74" s="1">
        <v>0.47</v>
      </c>
      <c r="B74">
        <v>7</v>
      </c>
    </row>
    <row r="75" spans="1:2" x14ac:dyDescent="0.35">
      <c r="A75" s="1">
        <v>0.47</v>
      </c>
      <c r="B75">
        <v>0</v>
      </c>
    </row>
    <row r="76" spans="1:2" x14ac:dyDescent="0.35">
      <c r="A76" s="1">
        <v>0.43</v>
      </c>
      <c r="B76">
        <v>0</v>
      </c>
    </row>
    <row r="77" spans="1:2" x14ac:dyDescent="0.35">
      <c r="A77" s="1">
        <v>0.04</v>
      </c>
      <c r="B77">
        <v>0</v>
      </c>
    </row>
    <row r="78" spans="1:2" x14ac:dyDescent="0.35">
      <c r="A78" s="1">
        <v>0.49</v>
      </c>
      <c r="B78">
        <v>0</v>
      </c>
    </row>
    <row r="79" spans="1:2" x14ac:dyDescent="0.35">
      <c r="A79" s="1">
        <v>0.46</v>
      </c>
      <c r="B79">
        <v>1</v>
      </c>
    </row>
    <row r="80" spans="1:2" x14ac:dyDescent="0.35">
      <c r="A80" s="1">
        <v>0.49</v>
      </c>
      <c r="B80">
        <v>1</v>
      </c>
    </row>
    <row r="81" spans="1:2" x14ac:dyDescent="0.35">
      <c r="A81" s="1">
        <v>0.36</v>
      </c>
      <c r="B81">
        <v>0</v>
      </c>
    </row>
    <row r="82" spans="1:2" x14ac:dyDescent="0.35">
      <c r="A82" s="1">
        <v>0.02</v>
      </c>
      <c r="B82">
        <v>0</v>
      </c>
    </row>
    <row r="83" spans="1:2" x14ac:dyDescent="0.35">
      <c r="A83" s="1">
        <v>0.49</v>
      </c>
      <c r="B83">
        <v>1</v>
      </c>
    </row>
    <row r="84" spans="1:2" x14ac:dyDescent="0.35">
      <c r="A84" s="1">
        <v>0.14000000000000001</v>
      </c>
      <c r="B84">
        <v>0</v>
      </c>
    </row>
    <row r="85" spans="1:2" x14ac:dyDescent="0.35">
      <c r="A85" s="1">
        <v>0.49</v>
      </c>
      <c r="B85">
        <v>0</v>
      </c>
    </row>
    <row r="86" spans="1:2" x14ac:dyDescent="0.35">
      <c r="A86" s="1">
        <v>0.11</v>
      </c>
      <c r="B86">
        <v>0</v>
      </c>
    </row>
    <row r="87" spans="1:2" x14ac:dyDescent="0.35">
      <c r="A87" s="1">
        <v>0.14000000000000001</v>
      </c>
      <c r="B87">
        <v>0</v>
      </c>
    </row>
    <row r="88" spans="1:2" x14ac:dyDescent="0.35">
      <c r="A88" s="1">
        <v>0.43</v>
      </c>
      <c r="B88">
        <v>0</v>
      </c>
    </row>
    <row r="89" spans="1:2" x14ac:dyDescent="0.35">
      <c r="A89" s="1">
        <v>0.5</v>
      </c>
      <c r="B89">
        <v>0</v>
      </c>
    </row>
    <row r="90" spans="1:2" x14ac:dyDescent="0.35">
      <c r="A90" s="1">
        <v>0.48</v>
      </c>
      <c r="B90">
        <v>0</v>
      </c>
    </row>
    <row r="91" spans="1:2" x14ac:dyDescent="0.35">
      <c r="A91" s="1">
        <v>0.48</v>
      </c>
      <c r="B91">
        <v>0</v>
      </c>
    </row>
    <row r="92" spans="1:2" x14ac:dyDescent="0.35">
      <c r="A92" s="1">
        <v>0.47</v>
      </c>
      <c r="B92">
        <v>0</v>
      </c>
    </row>
    <row r="93" spans="1:2" x14ac:dyDescent="0.35">
      <c r="A93" s="1">
        <v>0.5</v>
      </c>
      <c r="B93">
        <v>0</v>
      </c>
    </row>
    <row r="94" spans="1:2" x14ac:dyDescent="0.35">
      <c r="A94" s="1">
        <v>0.08</v>
      </c>
      <c r="B94">
        <v>0</v>
      </c>
    </row>
    <row r="95" spans="1:2" x14ac:dyDescent="0.35">
      <c r="A95" s="1">
        <v>0.02</v>
      </c>
      <c r="B95">
        <v>0</v>
      </c>
    </row>
    <row r="96" spans="1:2" x14ac:dyDescent="0.35">
      <c r="A96" s="1">
        <v>0.49</v>
      </c>
      <c r="B96">
        <v>0</v>
      </c>
    </row>
    <row r="97" spans="1:3" x14ac:dyDescent="0.35">
      <c r="A97" s="1">
        <v>0.04</v>
      </c>
      <c r="B97">
        <v>0</v>
      </c>
    </row>
    <row r="98" spans="1:3" x14ac:dyDescent="0.35">
      <c r="A98" s="1">
        <v>0.49</v>
      </c>
      <c r="B98">
        <v>0</v>
      </c>
    </row>
    <row r="99" spans="1:3" x14ac:dyDescent="0.35">
      <c r="A99" s="1">
        <v>0.42</v>
      </c>
      <c r="B99">
        <v>0</v>
      </c>
    </row>
    <row r="100" spans="1:3" x14ac:dyDescent="0.35">
      <c r="A100" s="1">
        <v>0.21</v>
      </c>
      <c r="B100">
        <v>1</v>
      </c>
    </row>
    <row r="101" spans="1:3" x14ac:dyDescent="0.35">
      <c r="A101" s="1">
        <v>0.41</v>
      </c>
      <c r="B101">
        <v>0</v>
      </c>
    </row>
    <row r="102" spans="1:3" x14ac:dyDescent="0.35">
      <c r="A102" s="1">
        <v>0.01</v>
      </c>
      <c r="B102">
        <v>0</v>
      </c>
    </row>
    <row r="103" spans="1:3" x14ac:dyDescent="0.35">
      <c r="A103" s="1">
        <v>0.24</v>
      </c>
      <c r="B103">
        <v>0</v>
      </c>
    </row>
    <row r="104" spans="1:3" x14ac:dyDescent="0.35">
      <c r="A104" s="1">
        <v>0.34</v>
      </c>
      <c r="B104">
        <v>0</v>
      </c>
    </row>
    <row r="105" spans="1:3" x14ac:dyDescent="0.35">
      <c r="A105" s="1">
        <v>0.34</v>
      </c>
      <c r="B105">
        <v>0</v>
      </c>
    </row>
    <row r="106" spans="1:3" x14ac:dyDescent="0.35">
      <c r="A106" s="1">
        <v>0.02</v>
      </c>
      <c r="B106">
        <v>0</v>
      </c>
    </row>
    <row r="107" spans="1:3" x14ac:dyDescent="0.35">
      <c r="A107" s="1">
        <v>0.02</v>
      </c>
      <c r="B107">
        <v>0</v>
      </c>
    </row>
    <row r="108" spans="1:3" x14ac:dyDescent="0.35">
      <c r="A108" s="1">
        <v>0.64</v>
      </c>
      <c r="B108">
        <v>0</v>
      </c>
    </row>
    <row r="109" spans="1:3" x14ac:dyDescent="0.35">
      <c r="A109" s="1">
        <v>0.5</v>
      </c>
      <c r="B109">
        <v>1</v>
      </c>
    </row>
    <row r="110" spans="1:3" x14ac:dyDescent="0.35">
      <c r="A110" s="1">
        <v>0.47</v>
      </c>
      <c r="B110">
        <v>0</v>
      </c>
    </row>
    <row r="112" spans="1:3" x14ac:dyDescent="0.35">
      <c r="A112" s="1">
        <f>MAX(A2:A110)</f>
        <v>0.64</v>
      </c>
      <c r="B112" t="s">
        <v>157</v>
      </c>
      <c r="C112">
        <f>MAX(B2:B110)</f>
        <v>69</v>
      </c>
    </row>
    <row r="113" spans="1:3" x14ac:dyDescent="0.35">
      <c r="A113" s="1">
        <f>MIN(A2:A110)</f>
        <v>0.01</v>
      </c>
      <c r="B113" t="s">
        <v>158</v>
      </c>
      <c r="C113">
        <f>MIN(B2:B110)</f>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Discount category average</vt:lpstr>
      <vt:lpstr>ProductRatingsCount</vt:lpstr>
      <vt:lpstr>Review+CustomerEngagement</vt:lpstr>
      <vt:lpstr>ProductRatings+Reviews</vt:lpstr>
      <vt:lpstr>RatingComparison</vt:lpstr>
      <vt:lpstr>ProductsByDiscountCategory</vt:lpstr>
      <vt:lpstr>Staging Data</vt:lpstr>
      <vt:lpstr>Top5Bottom5RatedProducts</vt:lpstr>
      <vt:lpstr>Top10ReviewedProducts</vt:lpstr>
      <vt:lpstr>Dashboard</vt:lpstr>
      <vt:lpstr>Top10DiscountedProducts</vt:lpstr>
      <vt:lpstr>Rating+Review</vt:lpstr>
      <vt:lpstr>Discount%+Review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Muriuki</dc:creator>
  <cp:lastModifiedBy>Rachel Muriuki</cp:lastModifiedBy>
  <dcterms:created xsi:type="dcterms:W3CDTF">2026-01-28T11:52:41Z</dcterms:created>
  <dcterms:modified xsi:type="dcterms:W3CDTF">2026-02-02T07:17:29Z</dcterms:modified>
</cp:coreProperties>
</file>